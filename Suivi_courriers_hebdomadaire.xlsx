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Registre" sheetId="2" state="visible" r:id="rId4"/>
    <sheet name="Point hebdomadaire" sheetId="3" state="visible" r:id="rId5"/>
    <sheet name="Synthèse annuelle" sheetId="4" state="visible" r:id="rId6"/>
    <sheet name="Paramètres" sheetId="5" state="visible" r:id="rId7"/>
  </sheets>
  <definedNames>
    <definedName function="false" hidden="false" localSheetId="1" name="_xlnm.Print_Titles" vbProcedure="false">Registre!$4:$4</definedName>
    <definedName function="false" hidden="true" localSheetId="1" name="_xlnm._FilterDatabase" vbProcedure="false">Registre!$A$4:$U$1004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Dimanche de la semaine, ou aujourd'hui si la semaine n'est pas terminée. Sert au calcul des courriers en instance et en retard.</t>
        </r>
      </text>
    </comment>
    <comment ref="D3" authorId="0">
      <text>
        <r>
          <rPr>
            <sz val="10"/>
            <rFont val="Arial"/>
            <family val="2"/>
          </rPr>
          <t xml:space="preserve">Saisissez n'importe quel jour de la semaine voulue ; le tableau se recalcule du lundi au dimanche.</t>
        </r>
      </text>
    </comment>
  </commentList>
</comments>
</file>

<file path=xl/sharedStrings.xml><?xml version="1.0" encoding="utf-8"?>
<sst xmlns="http://schemas.openxmlformats.org/spreadsheetml/2006/main" count="266" uniqueCount="166">
  <si>
    <t xml:space="preserve">Tableau de suivi hebdomadaire des courriers arrivés</t>
  </si>
  <si>
    <t xml:space="preserve">Objet</t>
  </si>
  <si>
    <t xml:space="preserve">Enregistrer chaque courrier arrivé au ministère et obtenir automatiquement le point hebdomadaire (volumes, imputations, traitement, retards).</t>
  </si>
  <si>
    <t xml:space="preserve">Onglets</t>
  </si>
  <si>
    <t xml:space="preserve">• Registre : une ligne par courrier reçu (jusqu'à 1 000 lignes préparées). Les lignes 5 à 16 contiennent des exemples à remplacer.</t>
  </si>
  <si>
    <t xml:space="preserve">• Point hebdomadaire : saisir une date dans la cellule jaune D3 ; tous les tableaux se recalculent pour la semaine (lundi → dimanche).</t>
  </si>
  <si>
    <t xml:space="preserve">• Synthèse annuelle : vue des 52/53 semaines de l'année choisie dans Paramètres, avec graphique d'évolution.</t>
  </si>
  <si>
    <t xml:space="preserve">• Paramètres : listes déroulantes (services, types, statuts…) et délais de traitement par priorité, à adapter au ministère.</t>
  </si>
  <si>
    <t xml:space="preserve">Code couleur</t>
  </si>
  <si>
    <t xml:space="preserve">• Cellules jaunes, texte bleu : à saisir.   • Cellules grises : calculées automatiquement, ne pas modifier.</t>
  </si>
  <si>
    <t xml:space="preserve">• « En retard ? » = OUI (rouge) lorsque la date limite est dépassée et que le courrier n'est pas traité ; « Traité hors délai » (orange) sinon.</t>
  </si>
  <si>
    <t xml:space="preserve">Règles de calcul</t>
  </si>
  <si>
    <t xml:space="preserve">• Date limite = date d'imputation (ou d'arrivée à défaut) + délai associé à la priorité (onglet Paramètres).</t>
  </si>
  <si>
    <t xml:space="preserve">• Un courrier est « traité » dès qu'une date de traitement est saisie. Il est « en instance » tant qu'aucune date n'est saisie (sauf statut « Classé sans suite »).</t>
  </si>
  <si>
    <t xml:space="preserve">• Numéro de semaine selon la norme ISO 8601 (semaine du lundi au dimanche, utilisée en France et en Afrique francophone).</t>
  </si>
  <si>
    <t xml:space="preserve">Procédure hebdomadaire conseillée</t>
  </si>
  <si>
    <t xml:space="preserve">1. Au fil de l'eau : le bureau d'ordre enregistre chaque courrier dans le Registre dès réception (date, expéditeur, objet, priorité).</t>
  </si>
  <si>
    <t xml:space="preserve">2. À l'imputation : renseigner le service imputé et la date d'imputation.</t>
  </si>
  <si>
    <t xml:space="preserve">3. À la réponse / clôture : mettre le statut à « Traité » et saisir la date de traitement.</t>
  </si>
  <si>
    <t xml:space="preserve">4. Chaque vendredi : ouvrir « Point hebdomadaire », saisir une date de la semaine, compléter les observations, imprimer ou exporter en PDF.</t>
  </si>
  <si>
    <t xml:space="preserve">Registre des courriers arrivés</t>
  </si>
  <si>
    <t xml:space="preserve">Une ligne par courrier. Cellules jaunes = à saisir · cellules grises = calculées automatiquement (ne pas modifier). Les lignes 5 à 16 sont des exemples à remplacer.</t>
  </si>
  <si>
    <t xml:space="preserve">Saisie</t>
  </si>
  <si>
    <t xml:space="preserve">N° d'ordre</t>
  </si>
  <si>
    <t xml:space="preserve">Date d'arrivée</t>
  </si>
  <si>
    <t xml:space="preserve">Semaine n°</t>
  </si>
  <si>
    <t xml:space="preserve">Semaine du (lundi)</t>
  </si>
  <si>
    <t xml:space="preserve">Réf. du courrier</t>
  </si>
  <si>
    <t xml:space="preserve">Date du courrier</t>
  </si>
  <si>
    <t xml:space="preserve">Expéditeur</t>
  </si>
  <si>
    <t xml:space="preserve">Catégorie expéditeur</t>
  </si>
  <si>
    <t xml:space="preserve">Type de courrier</t>
  </si>
  <si>
    <t xml:space="preserve">Mode de réception</t>
  </si>
  <si>
    <t xml:space="preserve">Priorité</t>
  </si>
  <si>
    <t xml:space="preserve">Service imputé</t>
  </si>
  <si>
    <t xml:space="preserve">Date d'imputation</t>
  </si>
  <si>
    <t xml:space="preserve">Délai (jours)</t>
  </si>
  <si>
    <t xml:space="preserve">Date limite</t>
  </si>
  <si>
    <t xml:space="preserve">Statut</t>
  </si>
  <si>
    <t xml:space="preserve">Date de traitement</t>
  </si>
  <si>
    <t xml:space="preserve">Durée de traitement (jours)</t>
  </si>
  <si>
    <t xml:space="preserve">En retard ?</t>
  </si>
  <si>
    <t xml:space="preserve">Observations</t>
  </si>
  <si>
    <t xml:space="preserve">N°0412/MEF/SG</t>
  </si>
  <si>
    <t xml:space="preserve">Ministère de l'Économie et des Finances</t>
  </si>
  <si>
    <t xml:space="preserve">Administration publique</t>
  </si>
  <si>
    <t xml:space="preserve">Transmission du calendrier budgétaire 2027</t>
  </si>
  <si>
    <t xml:space="preserve">Lettre</t>
  </si>
  <si>
    <t xml:space="preserve">Valise / Coursier</t>
  </si>
  <si>
    <t xml:space="preserve">Urgent</t>
  </si>
  <si>
    <t xml:space="preserve">Direction des Affaires Administratives et Financières</t>
  </si>
  <si>
    <t xml:space="preserve">Traité</t>
  </si>
  <si>
    <t xml:space="preserve">s/n</t>
  </si>
  <si>
    <t xml:space="preserve">M. Kouassi Yao</t>
  </si>
  <si>
    <t xml:space="preserve">Particulier</t>
  </si>
  <si>
    <t xml:space="preserve">Demande de stage</t>
  </si>
  <si>
    <t xml:space="preserve">Demande</t>
  </si>
  <si>
    <t xml:space="preserve">Dépôt physique</t>
  </si>
  <si>
    <t xml:space="preserve">Normal</t>
  </si>
  <si>
    <t xml:space="preserve">Direction des Ressources Humaines</t>
  </si>
  <si>
    <t xml:space="preserve">AN/CF/2026-118</t>
  </si>
  <si>
    <t xml:space="preserve">Assemblée Nationale – Commission des Finances</t>
  </si>
  <si>
    <t xml:space="preserve">Institution / Parlement</t>
  </si>
  <si>
    <t xml:space="preserve">Convocation audition du Ministre</t>
  </si>
  <si>
    <t xml:space="preserve">Convocation</t>
  </si>
  <si>
    <t xml:space="preserve">Courrier postal</t>
  </si>
  <si>
    <t xml:space="preserve">Très urgent</t>
  </si>
  <si>
    <t xml:space="preserve">Cabinet du Ministre</t>
  </si>
  <si>
    <t xml:space="preserve">UE/DEL/2026/553</t>
  </si>
  <si>
    <t xml:space="preserve">Délégation de l'Union européenne</t>
  </si>
  <si>
    <t xml:space="preserve">Partenaire technique et financier</t>
  </si>
  <si>
    <t xml:space="preserve">Rapport de mission de suivi du projet</t>
  </si>
  <si>
    <t xml:space="preserve">Rapport</t>
  </si>
  <si>
    <t xml:space="preserve">Courriel</t>
  </si>
  <si>
    <t xml:space="preserve">Direction de la Planification et des Études</t>
  </si>
  <si>
    <t xml:space="preserve">En cours</t>
  </si>
  <si>
    <t xml:space="preserve">FAC-2026-0981</t>
  </si>
  <si>
    <t xml:space="preserve">Société SOGEBAT</t>
  </si>
  <si>
    <t xml:space="preserve">Entreprise</t>
  </si>
  <si>
    <t xml:space="preserve">Facture travaux de réhabilitation</t>
  </si>
  <si>
    <t xml:space="preserve">Facture</t>
  </si>
  <si>
    <t xml:space="preserve">ONG/AV/045</t>
  </si>
  <si>
    <t xml:space="preserve">ONG Agir Ensemble</t>
  </si>
  <si>
    <t xml:space="preserve">Association / ONG</t>
  </si>
  <si>
    <t xml:space="preserve">Invitation à l'atelier de validation</t>
  </si>
  <si>
    <t xml:space="preserve">Invitation</t>
  </si>
  <si>
    <t xml:space="preserve">Pour information</t>
  </si>
  <si>
    <t xml:space="preserve">Direction de la Communication</t>
  </si>
  <si>
    <t xml:space="preserve">Classé sans suite</t>
  </si>
  <si>
    <t xml:space="preserve">PM/SGG/2026-77</t>
  </si>
  <si>
    <t xml:space="preserve">Primature – Secrétariat Général du Gouvernement</t>
  </si>
  <si>
    <t xml:space="preserve">Circulaire relative à la préparation du Conseil des Ministres</t>
  </si>
  <si>
    <t xml:space="preserve">Circulaire</t>
  </si>
  <si>
    <t xml:space="preserve">Secrétariat Général</t>
  </si>
  <si>
    <t xml:space="preserve">Relance faite le 28/09</t>
  </si>
  <si>
    <t xml:space="preserve">Mme Diallo Aminata</t>
  </si>
  <si>
    <t xml:space="preserve">Réclamation relative au paiement de pension</t>
  </si>
  <si>
    <t xml:space="preserve">Réclamation</t>
  </si>
  <si>
    <t xml:space="preserve">Direction des Affaires Juridiques</t>
  </si>
  <si>
    <t xml:space="preserve">Imputé</t>
  </si>
  <si>
    <t xml:space="preserve">IGE/2026/31</t>
  </si>
  <si>
    <t xml:space="preserve">Inspection Générale d'État</t>
  </si>
  <si>
    <t xml:space="preserve">Demande de pièces justificatives – audit 2025</t>
  </si>
  <si>
    <t xml:space="preserve">Inspection Générale</t>
  </si>
  <si>
    <t xml:space="preserve">BM/2026/1207</t>
  </si>
  <si>
    <t xml:space="preserve">Banque mondiale</t>
  </si>
  <si>
    <t xml:space="preserve">Avis de non-objection – plan de passation</t>
  </si>
  <si>
    <t xml:space="preserve">DRH/NS/2026-14</t>
  </si>
  <si>
    <t xml:space="preserve">Note de service – congés administratifs</t>
  </si>
  <si>
    <t xml:space="preserve">Note de service</t>
  </si>
  <si>
    <t xml:space="preserve">Syndicat national des agents</t>
  </si>
  <si>
    <t xml:space="preserve">Demande d'audience</t>
  </si>
  <si>
    <t xml:space="preserve">Reçu</t>
  </si>
  <si>
    <t xml:space="preserve">En attente d'imputation</t>
  </si>
  <si>
    <t xml:space="preserve">Point hebdomadaire des courriers arrivés</t>
  </si>
  <si>
    <t xml:space="preserve">Saisir une date de la semaine à analyser :</t>
  </si>
  <si>
    <t xml:space="preserve">INDICATEURS CLÉS DE LA SEMAINE</t>
  </si>
  <si>
    <t xml:space="preserve">Courriers reçus</t>
  </si>
  <si>
    <t xml:space="preserve">Du (lundi)</t>
  </si>
  <si>
    <t xml:space="preserve">Courriers traités (toutes dates d'arrivée)</t>
  </si>
  <si>
    <t xml:space="preserve">Au (dimanche)</t>
  </si>
  <si>
    <t xml:space="preserve">dont reçus cette semaine</t>
  </si>
  <si>
    <t xml:space="preserve">Situation arrêtée au</t>
  </si>
  <si>
    <t xml:space="preserve">Part des courriers de la semaine traités dans la semaine</t>
  </si>
  <si>
    <t xml:space="preserve">Courriers en instance en fin de semaine</t>
  </si>
  <si>
    <t xml:space="preserve">dont en retard (date limite dépassée)</t>
  </si>
  <si>
    <t xml:space="preserve">Courriers très urgents / urgents reçus</t>
  </si>
  <si>
    <t xml:space="preserve">Durée moyenne de traitement (jours)</t>
  </si>
  <si>
    <t xml:space="preserve">Reçus la semaine précédente</t>
  </si>
  <si>
    <t xml:space="preserve">Évolution vs semaine précédente</t>
  </si>
  <si>
    <t xml:space="preserve">1. Répartition par service imputé</t>
  </si>
  <si>
    <t xml:space="preserve">Élément</t>
  </si>
  <si>
    <t xml:space="preserve">Reçus</t>
  </si>
  <si>
    <t xml:space="preserve">Traités dans la semaine</t>
  </si>
  <si>
    <t xml:space="preserve">En instance fin de semaine</t>
  </si>
  <si>
    <t xml:space="preserve">dont en retard</t>
  </si>
  <si>
    <t xml:space="preserve">TOTAL</t>
  </si>
  <si>
    <t xml:space="preserve">Courriers reçus non encore imputés</t>
  </si>
  <si>
    <t xml:space="preserve">2. Répartition par type de courrier</t>
  </si>
  <si>
    <t xml:space="preserve">Part (%)</t>
  </si>
  <si>
    <t xml:space="preserve">3. Répartition par priorité</t>
  </si>
  <si>
    <t xml:space="preserve">4. Répartition par statut (courriers reçus dans la semaine)</t>
  </si>
  <si>
    <t xml:space="preserve">Nombre</t>
  </si>
  <si>
    <t xml:space="preserve">5. Répartition par catégorie d'expéditeur</t>
  </si>
  <si>
    <t xml:space="preserve">6. Répartition par mode de réception</t>
  </si>
  <si>
    <t xml:space="preserve">Observations / faits marquants de la semaine</t>
  </si>
  <si>
    <t xml:space="preserve">Établi par :</t>
  </si>
  <si>
    <t xml:space="preserve">Visa du Secrétaire Général :</t>
  </si>
  <si>
    <t xml:space="preserve">Synthèse hebdomadaire sur l'année</t>
  </si>
  <si>
    <t xml:space="preserve">Du</t>
  </si>
  <si>
    <t xml:space="preserve">Au</t>
  </si>
  <si>
    <t xml:space="preserve">Traités</t>
  </si>
  <si>
    <t xml:space="preserve">Urgents / très urgents reçus</t>
  </si>
  <si>
    <t xml:space="preserve">Part des reçus déjà traités</t>
  </si>
  <si>
    <t xml:space="preserve">Paramètres et listes de référence</t>
  </si>
  <si>
    <t xml:space="preserve">Les cellules jaunes sont modifiables : adaptez les listes à l'organigramme du ministère (ajoutez des lignes en dessous si besoin).</t>
  </si>
  <si>
    <t xml:space="preserve">Services</t>
  </si>
  <si>
    <t xml:space="preserve">Types de courrier</t>
  </si>
  <si>
    <t xml:space="preserve">Catégories expéditeur</t>
  </si>
  <si>
    <t xml:space="preserve">Modes de réception</t>
  </si>
  <si>
    <t xml:space="preserve">Statuts</t>
  </si>
  <si>
    <t xml:space="preserve">Délai de traitement (jours)</t>
  </si>
  <si>
    <t xml:space="preserve">Fax</t>
  </si>
  <si>
    <t xml:space="preserve">Délais indicatifs (en jours calendaires), à fixer selon les règles internes du ministère.</t>
  </si>
  <si>
    <t xml:space="preserve">Autre</t>
  </si>
  <si>
    <t xml:space="preserve">Année de la synthèse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</si>
</sst>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General"/>
    <numFmt numFmtId="167" formatCode="0"/>
    <numFmt numFmtId="168" formatCode="0.0%"/>
    <numFmt numFmtId="169" formatCode="0.0"/>
    <numFmt numFmtId="170" formatCode="\+0.0%;\-0.0%;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2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ill>
        <patternFill>
          <bgColor rgb="FFFCE4D6"/>
        </patternFill>
      </fill>
    </dxf>
    <dxf>
      <fill>
        <patternFill>
          <bgColor rgb="FFE2EFDA"/>
        </patternFill>
      </fill>
    </dxf>
    <dxf>
      <font>
        <name val="Arial"/>
        <charset val="1"/>
        <family val="0"/>
        <b val="1"/>
        <color rgb="FFC00000"/>
      </font>
    </dxf>
    <dxf>
      <font>
        <color rgb="FFFFFFFF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AA433F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F9F9F9"/>
      <rgbColor rgb="FFFF99CC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595959"/>
      <rgbColor rgb="FFCC8F8E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Courriers par service (semaine)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'Point hebdomadaire'!B17</c:f>
              <c:strCache>
                <c:ptCount val="1"/>
                <c:pt idx="0">
                  <c:v>Reçus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'Point hebdomadaire'!$A$18:$A$29</c:f>
              <c:strCache>
                <c:ptCount val="12"/>
                <c:pt idx="0">
                  <c:v>Cabinet du Ministre</c:v>
                </c:pt>
                <c:pt idx="1">
                  <c:v>Secrétariat Général</c:v>
                </c:pt>
                <c:pt idx="2">
                  <c:v>Direction des Affaires Administratives et Financières</c:v>
                </c:pt>
                <c:pt idx="3">
                  <c:v>Direction des Ressources Humaines</c:v>
                </c:pt>
                <c:pt idx="4">
                  <c:v>Direction de la Planification et des Études</c:v>
                </c:pt>
                <c:pt idx="5">
                  <c:v>Direction des Affaires Juridiques</c:v>
                </c:pt>
                <c:pt idx="6">
                  <c:v>Direction de la Communication</c:v>
                </c:pt>
                <c:pt idx="7">
                  <c:v>Inspection Générale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'Point hebdomadaire'!$B$18:$B$29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'Point hebdomadaire'!C17</c:f>
              <c:strCache>
                <c:ptCount val="1"/>
                <c:pt idx="0">
                  <c:v>Traités dans la semaine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'Point hebdomadaire'!$A$18:$A$29</c:f>
              <c:strCache>
                <c:ptCount val="12"/>
                <c:pt idx="0">
                  <c:v>Cabinet du Ministre</c:v>
                </c:pt>
                <c:pt idx="1">
                  <c:v>Secrétariat Général</c:v>
                </c:pt>
                <c:pt idx="2">
                  <c:v>Direction des Affaires Administratives et Financières</c:v>
                </c:pt>
                <c:pt idx="3">
                  <c:v>Direction des Ressources Humaines</c:v>
                </c:pt>
                <c:pt idx="4">
                  <c:v>Direction de la Planification et des Études</c:v>
                </c:pt>
                <c:pt idx="5">
                  <c:v>Direction des Affaires Juridiques</c:v>
                </c:pt>
                <c:pt idx="6">
                  <c:v>Direction de la Communication</c:v>
                </c:pt>
                <c:pt idx="7">
                  <c:v>Inspection Générale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'Point hebdomadaire'!$C$18:$C$29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ser>
          <c:idx val="2"/>
          <c:order val="2"/>
          <c:tx>
            <c:strRef>
              <c:f>'Point hebdomadaire'!D17</c:f>
              <c:strCache>
                <c:ptCount val="1"/>
                <c:pt idx="0">
                  <c:v>En instance fin de semaine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'Point hebdomadaire'!$A$18:$A$29</c:f>
              <c:strCache>
                <c:ptCount val="12"/>
                <c:pt idx="0">
                  <c:v>Cabinet du Ministre</c:v>
                </c:pt>
                <c:pt idx="1">
                  <c:v>Secrétariat Général</c:v>
                </c:pt>
                <c:pt idx="2">
                  <c:v>Direction des Affaires Administratives et Financières</c:v>
                </c:pt>
                <c:pt idx="3">
                  <c:v>Direction des Ressources Humaines</c:v>
                </c:pt>
                <c:pt idx="4">
                  <c:v>Direction de la Planification et des Études</c:v>
                </c:pt>
                <c:pt idx="5">
                  <c:v>Direction des Affaires Juridiques</c:v>
                </c:pt>
                <c:pt idx="6">
                  <c:v>Direction de la Communication</c:v>
                </c:pt>
                <c:pt idx="7">
                  <c:v>Inspection Générale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</c:strCache>
            </c:strRef>
          </c:cat>
          <c:val>
            <c:numRef>
              <c:f>'Point hebdomadaire'!$D$18:$D$29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79972036"/>
        <c:axId val="22091763"/>
      </c:barChart>
      <c:catAx>
        <c:axId val="799720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91763"/>
        <c:crosses val="autoZero"/>
        <c:auto val="1"/>
        <c:lblAlgn val="ctr"/>
        <c:lblOffset val="100"/>
        <c:noMultiLvlLbl val="0"/>
      </c:catAx>
      <c:valAx>
        <c:axId val="220917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972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Courriers reçus et traités par semaine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'Synthèse annuelle'!D4</c:f>
              <c:strCache>
                <c:ptCount val="1"/>
                <c:pt idx="0">
                  <c:v>Reçus</c:v>
                </c:pt>
              </c:strCache>
            </c:strRef>
          </c:tx>
          <c:spPr>
            <a:solidFill>
              <a:srgbClr val="aa433f"/>
            </a:solidFill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annuelle'!$A$5:$A$57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'Synthèse annuelle'!$D$5:$D$57</c:f>
              <c:numCache>
                <c:formatCode>0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</c:v>
                </c:pt>
                <c:pt idx="38">
                  <c:v>4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'Synthèse annuelle'!E4</c:f>
              <c:strCache>
                <c:ptCount val="1"/>
                <c:pt idx="0">
                  <c:v>Traités</c:v>
                </c:pt>
              </c:strCache>
            </c:strRef>
          </c:tx>
          <c:spPr>
            <a:solidFill>
              <a:srgbClr val="cc8f8e"/>
            </a:solidFill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'Synthèse annuelle'!$A$5:$A$57</c:f>
              <c:strCache>
                <c:ptCount val="5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</c:strCache>
            </c:strRef>
          </c:cat>
          <c:val>
            <c:numRef>
              <c:f>'Synthèse annuelle'!$E$5:$E$57</c:f>
              <c:numCache>
                <c:formatCode>0</c:formatCode>
                <c:ptCount val="5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1</c:v>
                </c:pt>
                <c:pt idx="39">
                  <c:v>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709304"/>
        <c:axId val="26142799"/>
      </c:lineChart>
      <c:catAx>
        <c:axId val="6670930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Semaine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142799"/>
        <c:crosses val="autoZero"/>
        <c:auto val="1"/>
        <c:lblAlgn val="ctr"/>
        <c:lblOffset val="100"/>
        <c:noMultiLvlLbl val="0"/>
      </c:catAx>
      <c:valAx>
        <c:axId val="261427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Nombre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70930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130680</xdr:rowOff>
    </xdr:from>
    <xdr:to>
      <xdr:col>16</xdr:col>
      <xdr:colOff>48960</xdr:colOff>
      <xdr:row>18</xdr:row>
      <xdr:rowOff>19440</xdr:rowOff>
    </xdr:to>
    <xdr:graphicFrame>
      <xdr:nvGraphicFramePr>
        <xdr:cNvPr id="0" name="Chart 1"/>
        <xdr:cNvGraphicFramePr/>
      </xdr:nvGraphicFramePr>
      <xdr:xfrm>
        <a:off x="15249600" y="3808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131040</xdr:rowOff>
    </xdr:from>
    <xdr:to>
      <xdr:col>20</xdr:col>
      <xdr:colOff>331560</xdr:colOff>
      <xdr:row>17</xdr:row>
      <xdr:rowOff>170280</xdr:rowOff>
    </xdr:to>
    <xdr:graphicFrame>
      <xdr:nvGraphicFramePr>
        <xdr:cNvPr id="1" name="Chart 1"/>
        <xdr:cNvGraphicFramePr/>
      </xdr:nvGraphicFramePr>
      <xdr:xfrm>
        <a:off x="1196028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3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6" customFormat="false" ht="15" hidden="false" customHeight="false" outlineLevel="0" collapsed="false">
      <c r="B16" s="2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19" customFormat="false" ht="15" hidden="false" customHeight="false" outlineLevel="0" collapsed="false">
      <c r="B19" s="3" t="s">
        <v>14</v>
      </c>
    </row>
    <row r="21" customFormat="false" ht="1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3" t="s">
        <v>16</v>
      </c>
    </row>
    <row r="23" customFormat="false" ht="15" hidden="false" customHeight="false" outlineLevel="0" collapsed="false">
      <c r="B23" s="3" t="s">
        <v>17</v>
      </c>
    </row>
    <row r="24" customFormat="false" ht="15" hidden="false" customHeight="false" outlineLevel="0" collapsed="false">
      <c r="B24" s="3" t="s">
        <v>18</v>
      </c>
    </row>
    <row r="25" customFormat="false" ht="15" hidden="false" customHeight="false" outlineLevel="0" collapsed="false">
      <c r="B25" s="3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U1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28"/>
    <col collapsed="false" customWidth="true" hidden="false" outlineLevel="0" max="8" min="8" style="0" width="22"/>
    <col collapsed="false" customWidth="true" hidden="false" outlineLevel="0" max="9" min="9" style="0" width="40"/>
    <col collapsed="false" customWidth="true" hidden="false" outlineLevel="0" max="11" min="10" style="0" width="15"/>
    <col collapsed="false" customWidth="true" hidden="false" outlineLevel="0" max="12" min="12" style="0" width="14"/>
    <col collapsed="false" customWidth="true" hidden="false" outlineLevel="0" max="13" min="13" style="0" width="30"/>
    <col collapsed="false" customWidth="true" hidden="false" outlineLevel="0" max="14" min="14" style="0" width="12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4"/>
    <col collapsed="false" customWidth="true" hidden="false" outlineLevel="0" max="19" min="18" style="0" width="12"/>
    <col collapsed="false" customWidth="true" hidden="false" outlineLevel="0" max="20" min="20" style="0" width="14"/>
    <col collapsed="false" customWidth="true" hidden="false" outlineLevel="0" max="21" min="21" style="0" width="30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4" t="s">
        <v>21</v>
      </c>
    </row>
    <row r="3" customFormat="false" ht="15" hidden="false" customHeight="false" outlineLevel="0" collapsed="false">
      <c r="A3" s="5" t="s">
        <v>22</v>
      </c>
    </row>
    <row r="4" customFormat="false" ht="42" hidden="false" customHeight="true" outlineLevel="0" collapsed="false">
      <c r="A4" s="6" t="s">
        <v>23</v>
      </c>
      <c r="B4" s="6" t="s">
        <v>24</v>
      </c>
      <c r="C4" s="6" t="s">
        <v>25</v>
      </c>
      <c r="D4" s="6" t="s">
        <v>26</v>
      </c>
      <c r="E4" s="6" t="s">
        <v>27</v>
      </c>
      <c r="F4" s="6" t="s">
        <v>28</v>
      </c>
      <c r="G4" s="6" t="s">
        <v>29</v>
      </c>
      <c r="H4" s="6" t="s">
        <v>30</v>
      </c>
      <c r="I4" s="6" t="s">
        <v>1</v>
      </c>
      <c r="J4" s="6" t="s">
        <v>31</v>
      </c>
      <c r="K4" s="6" t="s">
        <v>32</v>
      </c>
      <c r="L4" s="6" t="s">
        <v>33</v>
      </c>
      <c r="M4" s="6" t="s">
        <v>34</v>
      </c>
      <c r="N4" s="6" t="s">
        <v>35</v>
      </c>
      <c r="O4" s="6" t="s">
        <v>36</v>
      </c>
      <c r="P4" s="6" t="s">
        <v>37</v>
      </c>
      <c r="Q4" s="6" t="s">
        <v>38</v>
      </c>
      <c r="R4" s="6" t="s">
        <v>39</v>
      </c>
      <c r="S4" s="6" t="s">
        <v>40</v>
      </c>
      <c r="T4" s="6" t="s">
        <v>41</v>
      </c>
      <c r="U4" s="6" t="s">
        <v>42</v>
      </c>
    </row>
    <row r="5" customFormat="false" ht="23.85" hidden="false" customHeight="false" outlineLevel="0" collapsed="false">
      <c r="A5" s="7" t="str">
        <f aca="false">IF(B5="","",YEAR(B5)&amp;"/"&amp;TEXT(ROW()-4,"0000"))</f>
        <v>2026/0001</v>
      </c>
      <c r="B5" s="8" t="n">
        <v>46279</v>
      </c>
      <c r="C5" s="7" t="n">
        <f aca="false">IF(B5="","",INT((B5-DATE(YEAR(B5-WEEKDAY(B5-1)+4),1,3)+WEEKDAY(DATE(YEAR(B5-WEEKDAY(B5-1)+4),1,3))+5)/7))</f>
        <v>38</v>
      </c>
      <c r="D5" s="9" t="n">
        <f aca="false">IF(B5="","",B5-WEEKDAY(B5,2)+1)</f>
        <v>46279</v>
      </c>
      <c r="E5" s="10" t="s">
        <v>43</v>
      </c>
      <c r="F5" s="8" t="n">
        <v>46275</v>
      </c>
      <c r="G5" s="11" t="s">
        <v>44</v>
      </c>
      <c r="H5" s="10" t="s">
        <v>45</v>
      </c>
      <c r="I5" s="11" t="s">
        <v>46</v>
      </c>
      <c r="J5" s="10" t="s">
        <v>47</v>
      </c>
      <c r="K5" s="10" t="s">
        <v>48</v>
      </c>
      <c r="L5" s="10" t="s">
        <v>49</v>
      </c>
      <c r="M5" s="11" t="s">
        <v>50</v>
      </c>
      <c r="N5" s="8" t="n">
        <v>46279</v>
      </c>
      <c r="O5" s="7" t="n">
        <f aca="false">IF(L5="","",IFERROR(VLOOKUP(L5,Paramètres!$F$5:$G$8,2,FALSE()),""))</f>
        <v>5</v>
      </c>
      <c r="P5" s="9" t="n">
        <f aca="false">IF(OR(B5="",O5=""),"",IF(N5="",B5,N5)+O5)</f>
        <v>46284</v>
      </c>
      <c r="Q5" s="10" t="s">
        <v>51</v>
      </c>
      <c r="R5" s="8" t="n">
        <v>46283</v>
      </c>
      <c r="S5" s="7" t="n">
        <f aca="false">IF(OR(B5="",R5=""),"",R5-B5)</f>
        <v>4</v>
      </c>
      <c r="T5" s="7" t="str">
        <f aca="true">IF(OR(B5="",P5=""),"",IF(R5&lt;&gt;"",IF(R5&gt;P5,"Traité hors délai","Non"),IF(Q5="Classé sans suite","Non",IF(TODAY()&gt;P5,"OUI","Non"))))</f>
        <v>Non</v>
      </c>
      <c r="U5" s="11"/>
    </row>
    <row r="6" customFormat="false" ht="15" hidden="false" customHeight="false" outlineLevel="0" collapsed="false">
      <c r="A6" s="7" t="str">
        <f aca="false">IF(B6="","",YEAR(B6)&amp;"/"&amp;TEXT(ROW()-4,"0000"))</f>
        <v>2026/0002</v>
      </c>
      <c r="B6" s="8" t="n">
        <v>46280</v>
      </c>
      <c r="C6" s="7" t="n">
        <f aca="false">IF(B6="","",INT((B6-DATE(YEAR(B6-WEEKDAY(B6-1)+4),1,3)+WEEKDAY(DATE(YEAR(B6-WEEKDAY(B6-1)+4),1,3))+5)/7))</f>
        <v>38</v>
      </c>
      <c r="D6" s="9" t="n">
        <f aca="false">IF(B6="","",B6-WEEKDAY(B6,2)+1)</f>
        <v>46279</v>
      </c>
      <c r="E6" s="10" t="s">
        <v>52</v>
      </c>
      <c r="F6" s="8" t="n">
        <v>46277</v>
      </c>
      <c r="G6" s="11" t="s">
        <v>53</v>
      </c>
      <c r="H6" s="10" t="s">
        <v>54</v>
      </c>
      <c r="I6" s="11" t="s">
        <v>55</v>
      </c>
      <c r="J6" s="10" t="s">
        <v>56</v>
      </c>
      <c r="K6" s="10" t="s">
        <v>57</v>
      </c>
      <c r="L6" s="10" t="s">
        <v>58</v>
      </c>
      <c r="M6" s="11" t="s">
        <v>59</v>
      </c>
      <c r="N6" s="8" t="n">
        <v>46281</v>
      </c>
      <c r="O6" s="7" t="n">
        <f aca="false">IF(L6="","",IFERROR(VLOOKUP(L6,Paramètres!$F$5:$G$8,2,FALSE()),""))</f>
        <v>15</v>
      </c>
      <c r="P6" s="9" t="n">
        <f aca="false">IF(OR(B6="",O6=""),"",IF(N6="",B6,N6)+O6)</f>
        <v>46296</v>
      </c>
      <c r="Q6" s="10" t="s">
        <v>51</v>
      </c>
      <c r="R6" s="8" t="n">
        <v>46290</v>
      </c>
      <c r="S6" s="7" t="n">
        <f aca="false">IF(OR(B6="",R6=""),"",R6-B6)</f>
        <v>10</v>
      </c>
      <c r="T6" s="7" t="str">
        <f aca="true">IF(OR(B6="",P6=""),"",IF(R6&lt;&gt;"",IF(R6&gt;P6,"Traité hors délai","Non"),IF(Q6="Classé sans suite","Non",IF(TODAY()&gt;P6,"OUI","Non"))))</f>
        <v>Non</v>
      </c>
      <c r="U6" s="11"/>
    </row>
    <row r="7" customFormat="false" ht="23.85" hidden="false" customHeight="false" outlineLevel="0" collapsed="false">
      <c r="A7" s="7" t="str">
        <f aca="false">IF(B7="","",YEAR(B7)&amp;"/"&amp;TEXT(ROW()-4,"0000"))</f>
        <v>2026/0003</v>
      </c>
      <c r="B7" s="8" t="n">
        <v>46281</v>
      </c>
      <c r="C7" s="7" t="n">
        <f aca="false">IF(B7="","",INT((B7-DATE(YEAR(B7-WEEKDAY(B7-1)+4),1,3)+WEEKDAY(DATE(YEAR(B7-WEEKDAY(B7-1)+4),1,3))+5)/7))</f>
        <v>38</v>
      </c>
      <c r="D7" s="9" t="n">
        <f aca="false">IF(B7="","",B7-WEEKDAY(B7,2)+1)</f>
        <v>46279</v>
      </c>
      <c r="E7" s="10" t="s">
        <v>60</v>
      </c>
      <c r="F7" s="8" t="n">
        <v>46280</v>
      </c>
      <c r="G7" s="11" t="s">
        <v>61</v>
      </c>
      <c r="H7" s="10" t="s">
        <v>62</v>
      </c>
      <c r="I7" s="11" t="s">
        <v>63</v>
      </c>
      <c r="J7" s="10" t="s">
        <v>64</v>
      </c>
      <c r="K7" s="10" t="s">
        <v>65</v>
      </c>
      <c r="L7" s="10" t="s">
        <v>66</v>
      </c>
      <c r="M7" s="11" t="s">
        <v>67</v>
      </c>
      <c r="N7" s="8" t="n">
        <v>46281</v>
      </c>
      <c r="O7" s="7" t="n">
        <f aca="false">IF(L7="","",IFERROR(VLOOKUP(L7,Paramètres!$F$5:$G$8,2,FALSE()),""))</f>
        <v>2</v>
      </c>
      <c r="P7" s="9" t="n">
        <f aca="false">IF(OR(B7="",O7=""),"",IF(N7="",B7,N7)+O7)</f>
        <v>46283</v>
      </c>
      <c r="Q7" s="10" t="s">
        <v>51</v>
      </c>
      <c r="R7" s="8" t="n">
        <v>46282</v>
      </c>
      <c r="S7" s="7" t="n">
        <f aca="false">IF(OR(B7="",R7=""),"",R7-B7)</f>
        <v>1</v>
      </c>
      <c r="T7" s="7" t="str">
        <f aca="true">IF(OR(B7="",P7=""),"",IF(R7&lt;&gt;"",IF(R7&gt;P7,"Traité hors délai","Non"),IF(Q7="Classé sans suite","Non",IF(TODAY()&gt;P7,"OUI","Non"))))</f>
        <v>Non</v>
      </c>
      <c r="U7" s="11"/>
    </row>
    <row r="8" customFormat="false" ht="15" hidden="false" customHeight="false" outlineLevel="0" collapsed="false">
      <c r="A8" s="7" t="str">
        <f aca="false">IF(B8="","",YEAR(B8)&amp;"/"&amp;TEXT(ROW()-4,"0000"))</f>
        <v>2026/0004</v>
      </c>
      <c r="B8" s="8" t="n">
        <v>46282</v>
      </c>
      <c r="C8" s="7" t="n">
        <f aca="false">IF(B8="","",INT((B8-DATE(YEAR(B8-WEEKDAY(B8-1)+4),1,3)+WEEKDAY(DATE(YEAR(B8-WEEKDAY(B8-1)+4),1,3))+5)/7))</f>
        <v>38</v>
      </c>
      <c r="D8" s="9" t="n">
        <f aca="false">IF(B8="","",B8-WEEKDAY(B8,2)+1)</f>
        <v>46279</v>
      </c>
      <c r="E8" s="10" t="s">
        <v>68</v>
      </c>
      <c r="F8" s="8" t="n">
        <v>46279</v>
      </c>
      <c r="G8" s="11" t="s">
        <v>69</v>
      </c>
      <c r="H8" s="10" t="s">
        <v>70</v>
      </c>
      <c r="I8" s="11" t="s">
        <v>71</v>
      </c>
      <c r="J8" s="10" t="s">
        <v>72</v>
      </c>
      <c r="K8" s="10" t="s">
        <v>73</v>
      </c>
      <c r="L8" s="10" t="s">
        <v>58</v>
      </c>
      <c r="M8" s="11" t="s">
        <v>74</v>
      </c>
      <c r="N8" s="8" t="n">
        <v>46283</v>
      </c>
      <c r="O8" s="7" t="n">
        <f aca="false">IF(L8="","",IFERROR(VLOOKUP(L8,Paramètres!$F$5:$G$8,2,FALSE()),""))</f>
        <v>15</v>
      </c>
      <c r="P8" s="9" t="n">
        <f aca="false">IF(OR(B8="",O8=""),"",IF(N8="",B8,N8)+O8)</f>
        <v>46298</v>
      </c>
      <c r="Q8" s="10" t="s">
        <v>75</v>
      </c>
      <c r="R8" s="8"/>
      <c r="S8" s="7" t="str">
        <f aca="false">IF(OR(B8="",R8=""),"",R8-B8)</f>
        <v/>
      </c>
      <c r="T8" s="7" t="str">
        <f aca="true">IF(OR(B8="",P8=""),"",IF(R8&lt;&gt;"",IF(R8&gt;P8,"Traité hors délai","Non"),IF(Q8="Classé sans suite","Non",IF(TODAY()&gt;P8,"OUI","Non"))))</f>
        <v>Non</v>
      </c>
      <c r="U8" s="11"/>
    </row>
    <row r="9" customFormat="false" ht="23.85" hidden="false" customHeight="false" outlineLevel="0" collapsed="false">
      <c r="A9" s="7" t="str">
        <f aca="false">IF(B9="","",YEAR(B9)&amp;"/"&amp;TEXT(ROW()-4,"0000"))</f>
        <v>2026/0005</v>
      </c>
      <c r="B9" s="8" t="n">
        <v>46283</v>
      </c>
      <c r="C9" s="7" t="n">
        <f aca="false">IF(B9="","",INT((B9-DATE(YEAR(B9-WEEKDAY(B9-1)+4),1,3)+WEEKDAY(DATE(YEAR(B9-WEEKDAY(B9-1)+4),1,3))+5)/7))</f>
        <v>38</v>
      </c>
      <c r="D9" s="9" t="n">
        <f aca="false">IF(B9="","",B9-WEEKDAY(B9,2)+1)</f>
        <v>46279</v>
      </c>
      <c r="E9" s="10" t="s">
        <v>76</v>
      </c>
      <c r="F9" s="8" t="n">
        <v>46276</v>
      </c>
      <c r="G9" s="11" t="s">
        <v>77</v>
      </c>
      <c r="H9" s="10" t="s">
        <v>78</v>
      </c>
      <c r="I9" s="11" t="s">
        <v>79</v>
      </c>
      <c r="J9" s="10" t="s">
        <v>80</v>
      </c>
      <c r="K9" s="10" t="s">
        <v>57</v>
      </c>
      <c r="L9" s="10" t="s">
        <v>58</v>
      </c>
      <c r="M9" s="11" t="s">
        <v>50</v>
      </c>
      <c r="N9" s="8" t="n">
        <v>46286</v>
      </c>
      <c r="O9" s="7" t="n">
        <f aca="false">IF(L9="","",IFERROR(VLOOKUP(L9,Paramètres!$F$5:$G$8,2,FALSE()),""))</f>
        <v>15</v>
      </c>
      <c r="P9" s="9" t="n">
        <f aca="false">IF(OR(B9="",O9=""),"",IF(N9="",B9,N9)+O9)</f>
        <v>46301</v>
      </c>
      <c r="Q9" s="10" t="s">
        <v>51</v>
      </c>
      <c r="R9" s="8" t="n">
        <v>46296</v>
      </c>
      <c r="S9" s="7" t="n">
        <f aca="false">IF(OR(B9="",R9=""),"",R9-B9)</f>
        <v>13</v>
      </c>
      <c r="T9" s="7" t="str">
        <f aca="true">IF(OR(B9="",P9=""),"",IF(R9&lt;&gt;"",IF(R9&gt;P9,"Traité hors délai","Non"),IF(Q9="Classé sans suite","Non",IF(TODAY()&gt;P9,"OUI","Non"))))</f>
        <v>Non</v>
      </c>
      <c r="U9" s="11"/>
    </row>
    <row r="10" customFormat="false" ht="15" hidden="false" customHeight="false" outlineLevel="0" collapsed="false">
      <c r="A10" s="7" t="str">
        <f aca="false">IF(B10="","",YEAR(B10)&amp;"/"&amp;TEXT(ROW()-4,"0000"))</f>
        <v>2026/0006</v>
      </c>
      <c r="B10" s="8" t="n">
        <v>46286</v>
      </c>
      <c r="C10" s="7" t="n">
        <f aca="false">IF(B10="","",INT((B10-DATE(YEAR(B10-WEEKDAY(B10-1)+4),1,3)+WEEKDAY(DATE(YEAR(B10-WEEKDAY(B10-1)+4),1,3))+5)/7))</f>
        <v>39</v>
      </c>
      <c r="D10" s="9" t="n">
        <f aca="false">IF(B10="","",B10-WEEKDAY(B10,2)+1)</f>
        <v>46286</v>
      </c>
      <c r="E10" s="10" t="s">
        <v>81</v>
      </c>
      <c r="F10" s="8" t="n">
        <v>46283</v>
      </c>
      <c r="G10" s="11" t="s">
        <v>82</v>
      </c>
      <c r="H10" s="10" t="s">
        <v>83</v>
      </c>
      <c r="I10" s="11" t="s">
        <v>84</v>
      </c>
      <c r="J10" s="10" t="s">
        <v>85</v>
      </c>
      <c r="K10" s="10" t="s">
        <v>73</v>
      </c>
      <c r="L10" s="10" t="s">
        <v>86</v>
      </c>
      <c r="M10" s="11" t="s">
        <v>87</v>
      </c>
      <c r="N10" s="8" t="n">
        <v>46286</v>
      </c>
      <c r="O10" s="7" t="n">
        <f aca="false">IF(L10="","",IFERROR(VLOOKUP(L10,Paramètres!$F$5:$G$8,2,FALSE()),""))</f>
        <v>30</v>
      </c>
      <c r="P10" s="9" t="n">
        <f aca="false">IF(OR(B10="",O10=""),"",IF(N10="",B10,N10)+O10)</f>
        <v>46316</v>
      </c>
      <c r="Q10" s="10" t="s">
        <v>88</v>
      </c>
      <c r="R10" s="8"/>
      <c r="S10" s="7" t="str">
        <f aca="false">IF(OR(B10="",R10=""),"",R10-B10)</f>
        <v/>
      </c>
      <c r="T10" s="7" t="str">
        <f aca="true">IF(OR(B10="",P10=""),"",IF(R10&lt;&gt;"",IF(R10&gt;P10,"Traité hors délai","Non"),IF(Q10="Classé sans suite","Non",IF(TODAY()&gt;P10,"OUI","Non"))))</f>
        <v>Non</v>
      </c>
      <c r="U10" s="11" t="s">
        <v>86</v>
      </c>
    </row>
    <row r="11" customFormat="false" ht="23.85" hidden="false" customHeight="false" outlineLevel="0" collapsed="false">
      <c r="A11" s="7" t="str">
        <f aca="false">IF(B11="","",YEAR(B11)&amp;"/"&amp;TEXT(ROW()-4,"0000"))</f>
        <v>2026/0007</v>
      </c>
      <c r="B11" s="8" t="n">
        <v>46287</v>
      </c>
      <c r="C11" s="7" t="n">
        <f aca="false">IF(B11="","",INT((B11-DATE(YEAR(B11-WEEKDAY(B11-1)+4),1,3)+WEEKDAY(DATE(YEAR(B11-WEEKDAY(B11-1)+4),1,3))+5)/7))</f>
        <v>39</v>
      </c>
      <c r="D11" s="9" t="n">
        <f aca="false">IF(B11="","",B11-WEEKDAY(B11,2)+1)</f>
        <v>46286</v>
      </c>
      <c r="E11" s="10" t="s">
        <v>89</v>
      </c>
      <c r="F11" s="8" t="n">
        <v>46286</v>
      </c>
      <c r="G11" s="11" t="s">
        <v>90</v>
      </c>
      <c r="H11" s="10" t="s">
        <v>45</v>
      </c>
      <c r="I11" s="11" t="s">
        <v>91</v>
      </c>
      <c r="J11" s="10" t="s">
        <v>92</v>
      </c>
      <c r="K11" s="10" t="s">
        <v>48</v>
      </c>
      <c r="L11" s="10" t="s">
        <v>66</v>
      </c>
      <c r="M11" s="11" t="s">
        <v>93</v>
      </c>
      <c r="N11" s="8" t="n">
        <v>46287</v>
      </c>
      <c r="O11" s="7" t="n">
        <f aca="false">IF(L11="","",IFERROR(VLOOKUP(L11,Paramètres!$F$5:$G$8,2,FALSE()),""))</f>
        <v>2</v>
      </c>
      <c r="P11" s="9" t="n">
        <f aca="false">IF(OR(B11="",O11=""),"",IF(N11="",B11,N11)+O11)</f>
        <v>46289</v>
      </c>
      <c r="Q11" s="10" t="s">
        <v>75</v>
      </c>
      <c r="R11" s="8"/>
      <c r="S11" s="7" t="str">
        <f aca="false">IF(OR(B11="",R11=""),"",R11-B11)</f>
        <v/>
      </c>
      <c r="T11" s="7" t="str">
        <f aca="true">IF(OR(B11="",P11=""),"",IF(R11&lt;&gt;"",IF(R11&gt;P11,"Traité hors délai","Non"),IF(Q11="Classé sans suite","Non",IF(TODAY()&gt;P11,"OUI","Non"))))</f>
        <v>OUI</v>
      </c>
      <c r="U11" s="11" t="s">
        <v>94</v>
      </c>
    </row>
    <row r="12" customFormat="false" ht="15" hidden="false" customHeight="false" outlineLevel="0" collapsed="false">
      <c r="A12" s="7" t="str">
        <f aca="false">IF(B12="","",YEAR(B12)&amp;"/"&amp;TEXT(ROW()-4,"0000"))</f>
        <v>2026/0008</v>
      </c>
      <c r="B12" s="8" t="n">
        <v>46288</v>
      </c>
      <c r="C12" s="7" t="n">
        <f aca="false">IF(B12="","",INT((B12-DATE(YEAR(B12-WEEKDAY(B12-1)+4),1,3)+WEEKDAY(DATE(YEAR(B12-WEEKDAY(B12-1)+4),1,3))+5)/7))</f>
        <v>39</v>
      </c>
      <c r="D12" s="9" t="n">
        <f aca="false">IF(B12="","",B12-WEEKDAY(B12,2)+1)</f>
        <v>46286</v>
      </c>
      <c r="E12" s="10" t="s">
        <v>52</v>
      </c>
      <c r="F12" s="8" t="n">
        <v>46285</v>
      </c>
      <c r="G12" s="11" t="s">
        <v>95</v>
      </c>
      <c r="H12" s="10" t="s">
        <v>54</v>
      </c>
      <c r="I12" s="11" t="s">
        <v>96</v>
      </c>
      <c r="J12" s="10" t="s">
        <v>97</v>
      </c>
      <c r="K12" s="10" t="s">
        <v>65</v>
      </c>
      <c r="L12" s="10" t="s">
        <v>49</v>
      </c>
      <c r="M12" s="11" t="s">
        <v>98</v>
      </c>
      <c r="N12" s="8" t="n">
        <v>46289</v>
      </c>
      <c r="O12" s="7" t="n">
        <f aca="false">IF(L12="","",IFERROR(VLOOKUP(L12,Paramètres!$F$5:$G$8,2,FALSE()),""))</f>
        <v>5</v>
      </c>
      <c r="P12" s="9" t="n">
        <f aca="false">IF(OR(B12="",O12=""),"",IF(N12="",B12,N12)+O12)</f>
        <v>46294</v>
      </c>
      <c r="Q12" s="10" t="s">
        <v>99</v>
      </c>
      <c r="R12" s="8"/>
      <c r="S12" s="7" t="str">
        <f aca="false">IF(OR(B12="",R12=""),"",R12-B12)</f>
        <v/>
      </c>
      <c r="T12" s="7" t="str">
        <f aca="true">IF(OR(B12="",P12=""),"",IF(R12&lt;&gt;"",IF(R12&gt;P12,"Traité hors délai","Non"),IF(Q12="Classé sans suite","Non",IF(TODAY()&gt;P12,"OUI","Non"))))</f>
        <v>OUI</v>
      </c>
      <c r="U12" s="11"/>
    </row>
    <row r="13" customFormat="false" ht="15" hidden="false" customHeight="false" outlineLevel="0" collapsed="false">
      <c r="A13" s="7" t="str">
        <f aca="false">IF(B13="","",YEAR(B13)&amp;"/"&amp;TEXT(ROW()-4,"0000"))</f>
        <v>2026/0009</v>
      </c>
      <c r="B13" s="8" t="n">
        <v>46289</v>
      </c>
      <c r="C13" s="7" t="n">
        <f aca="false">IF(B13="","",INT((B13-DATE(YEAR(B13-WEEKDAY(B13-1)+4),1,3)+WEEKDAY(DATE(YEAR(B13-WEEKDAY(B13-1)+4),1,3))+5)/7))</f>
        <v>39</v>
      </c>
      <c r="D13" s="9" t="n">
        <f aca="false">IF(B13="","",B13-WEEKDAY(B13,2)+1)</f>
        <v>46286</v>
      </c>
      <c r="E13" s="10" t="s">
        <v>100</v>
      </c>
      <c r="F13" s="8" t="n">
        <v>46288</v>
      </c>
      <c r="G13" s="11" t="s">
        <v>101</v>
      </c>
      <c r="H13" s="10" t="s">
        <v>45</v>
      </c>
      <c r="I13" s="11" t="s">
        <v>102</v>
      </c>
      <c r="J13" s="10" t="s">
        <v>56</v>
      </c>
      <c r="K13" s="10" t="s">
        <v>57</v>
      </c>
      <c r="L13" s="10" t="s">
        <v>49</v>
      </c>
      <c r="M13" s="11" t="s">
        <v>103</v>
      </c>
      <c r="N13" s="8" t="n">
        <v>46289</v>
      </c>
      <c r="O13" s="7" t="n">
        <f aca="false">IF(L13="","",IFERROR(VLOOKUP(L13,Paramètres!$F$5:$G$8,2,FALSE()),""))</f>
        <v>5</v>
      </c>
      <c r="P13" s="9" t="n">
        <f aca="false">IF(OR(B13="",O13=""),"",IF(N13="",B13,N13)+O13)</f>
        <v>46294</v>
      </c>
      <c r="Q13" s="10" t="s">
        <v>51</v>
      </c>
      <c r="R13" s="8" t="n">
        <v>46294</v>
      </c>
      <c r="S13" s="7" t="n">
        <f aca="false">IF(OR(B13="",R13=""),"",R13-B13)</f>
        <v>5</v>
      </c>
      <c r="T13" s="7" t="str">
        <f aca="true">IF(OR(B13="",P13=""),"",IF(R13&lt;&gt;"",IF(R13&gt;P13,"Traité hors délai","Non"),IF(Q13="Classé sans suite","Non",IF(TODAY()&gt;P13,"OUI","Non"))))</f>
        <v>Non</v>
      </c>
      <c r="U13" s="11"/>
    </row>
    <row r="14" customFormat="false" ht="15" hidden="false" customHeight="false" outlineLevel="0" collapsed="false">
      <c r="A14" s="7" t="str">
        <f aca="false">IF(B14="","",YEAR(B14)&amp;"/"&amp;TEXT(ROW()-4,"0000"))</f>
        <v>2026/0010</v>
      </c>
      <c r="B14" s="8" t="n">
        <v>46293</v>
      </c>
      <c r="C14" s="7" t="n">
        <f aca="false">IF(B14="","",INT((B14-DATE(YEAR(B14-WEEKDAY(B14-1)+4),1,3)+WEEKDAY(DATE(YEAR(B14-WEEKDAY(B14-1)+4),1,3))+5)/7))</f>
        <v>40</v>
      </c>
      <c r="D14" s="9" t="n">
        <f aca="false">IF(B14="","",B14-WEEKDAY(B14,2)+1)</f>
        <v>46293</v>
      </c>
      <c r="E14" s="10" t="s">
        <v>104</v>
      </c>
      <c r="F14" s="8" t="n">
        <v>46290</v>
      </c>
      <c r="G14" s="11" t="s">
        <v>105</v>
      </c>
      <c r="H14" s="10" t="s">
        <v>70</v>
      </c>
      <c r="I14" s="11" t="s">
        <v>106</v>
      </c>
      <c r="J14" s="10" t="s">
        <v>47</v>
      </c>
      <c r="K14" s="10" t="s">
        <v>73</v>
      </c>
      <c r="L14" s="10" t="s">
        <v>49</v>
      </c>
      <c r="M14" s="11" t="s">
        <v>74</v>
      </c>
      <c r="N14" s="8" t="n">
        <v>46293</v>
      </c>
      <c r="O14" s="7" t="n">
        <f aca="false">IF(L14="","",IFERROR(VLOOKUP(L14,Paramètres!$F$5:$G$8,2,FALSE()),""))</f>
        <v>5</v>
      </c>
      <c r="P14" s="9" t="n">
        <f aca="false">IF(OR(B14="",O14=""),"",IF(N14="",B14,N14)+O14)</f>
        <v>46298</v>
      </c>
      <c r="Q14" s="10" t="s">
        <v>75</v>
      </c>
      <c r="R14" s="8"/>
      <c r="S14" s="7" t="str">
        <f aca="false">IF(OR(B14="",R14=""),"",R14-B14)</f>
        <v/>
      </c>
      <c r="T14" s="7" t="str">
        <f aca="true">IF(OR(B14="",P14=""),"",IF(R14&lt;&gt;"",IF(R14&gt;P14,"Traité hors délai","Non"),IF(Q14="Classé sans suite","Non",IF(TODAY()&gt;P14,"OUI","Non"))))</f>
        <v>Non</v>
      </c>
      <c r="U14" s="11"/>
    </row>
    <row r="15" customFormat="false" ht="15" hidden="false" customHeight="false" outlineLevel="0" collapsed="false">
      <c r="A15" s="7" t="str">
        <f aca="false">IF(B15="","",YEAR(B15)&amp;"/"&amp;TEXT(ROW()-4,"0000"))</f>
        <v>2026/0011</v>
      </c>
      <c r="B15" s="8" t="n">
        <v>46294</v>
      </c>
      <c r="C15" s="7" t="n">
        <f aca="false">IF(B15="","",INT((B15-DATE(YEAR(B15-WEEKDAY(B15-1)+4),1,3)+WEEKDAY(DATE(YEAR(B15-WEEKDAY(B15-1)+4),1,3))+5)/7))</f>
        <v>40</v>
      </c>
      <c r="D15" s="9" t="n">
        <f aca="false">IF(B15="","",B15-WEEKDAY(B15,2)+1)</f>
        <v>46293</v>
      </c>
      <c r="E15" s="10" t="s">
        <v>107</v>
      </c>
      <c r="F15" s="8" t="n">
        <v>46294</v>
      </c>
      <c r="G15" s="11" t="s">
        <v>59</v>
      </c>
      <c r="H15" s="10" t="s">
        <v>45</v>
      </c>
      <c r="I15" s="11" t="s">
        <v>108</v>
      </c>
      <c r="J15" s="10" t="s">
        <v>109</v>
      </c>
      <c r="K15" s="10" t="s">
        <v>57</v>
      </c>
      <c r="L15" s="10" t="s">
        <v>86</v>
      </c>
      <c r="M15" s="11" t="s">
        <v>93</v>
      </c>
      <c r="N15" s="8" t="n">
        <v>46294</v>
      </c>
      <c r="O15" s="7" t="n">
        <f aca="false">IF(L15="","",IFERROR(VLOOKUP(L15,Paramètres!$F$5:$G$8,2,FALSE()),""))</f>
        <v>30</v>
      </c>
      <c r="P15" s="9" t="n">
        <f aca="false">IF(OR(B15="",O15=""),"",IF(N15="",B15,N15)+O15)</f>
        <v>46324</v>
      </c>
      <c r="Q15" s="10" t="s">
        <v>51</v>
      </c>
      <c r="R15" s="8" t="n">
        <v>46295</v>
      </c>
      <c r="S15" s="7" t="n">
        <f aca="false">IF(OR(B15="",R15=""),"",R15-B15)</f>
        <v>1</v>
      </c>
      <c r="T15" s="7" t="str">
        <f aca="true">IF(OR(B15="",P15=""),"",IF(R15&lt;&gt;"",IF(R15&gt;P15,"Traité hors délai","Non"),IF(Q15="Classé sans suite","Non",IF(TODAY()&gt;P15,"OUI","Non"))))</f>
        <v>Non</v>
      </c>
      <c r="U15" s="11"/>
    </row>
    <row r="16" customFormat="false" ht="15" hidden="false" customHeight="false" outlineLevel="0" collapsed="false">
      <c r="A16" s="7" t="str">
        <f aca="false">IF(B16="","",YEAR(B16)&amp;"/"&amp;TEXT(ROW()-4,"0000"))</f>
        <v>2026/0012</v>
      </c>
      <c r="B16" s="8" t="n">
        <v>46295</v>
      </c>
      <c r="C16" s="7" t="n">
        <f aca="false">IF(B16="","",INT((B16-DATE(YEAR(B16-WEEKDAY(B16-1)+4),1,3)+WEEKDAY(DATE(YEAR(B16-WEEKDAY(B16-1)+4),1,3))+5)/7))</f>
        <v>40</v>
      </c>
      <c r="D16" s="9" t="n">
        <f aca="false">IF(B16="","",B16-WEEKDAY(B16,2)+1)</f>
        <v>46293</v>
      </c>
      <c r="E16" s="10" t="s">
        <v>52</v>
      </c>
      <c r="F16" s="8" t="n">
        <v>46292</v>
      </c>
      <c r="G16" s="11" t="s">
        <v>110</v>
      </c>
      <c r="H16" s="10" t="s">
        <v>83</v>
      </c>
      <c r="I16" s="11" t="s">
        <v>111</v>
      </c>
      <c r="J16" s="10" t="s">
        <v>56</v>
      </c>
      <c r="K16" s="10" t="s">
        <v>57</v>
      </c>
      <c r="L16" s="10" t="s">
        <v>58</v>
      </c>
      <c r="M16" s="11" t="s">
        <v>67</v>
      </c>
      <c r="N16" s="8"/>
      <c r="O16" s="7" t="n">
        <f aca="false">IF(L16="","",IFERROR(VLOOKUP(L16,Paramètres!$F$5:$G$8,2,FALSE()),""))</f>
        <v>15</v>
      </c>
      <c r="P16" s="9" t="n">
        <f aca="false">IF(OR(B16="",O16=""),"",IF(N16="",B16,N16)+O16)</f>
        <v>46310</v>
      </c>
      <c r="Q16" s="10" t="s">
        <v>112</v>
      </c>
      <c r="R16" s="8"/>
      <c r="S16" s="7" t="str">
        <f aca="false">IF(OR(B16="",R16=""),"",R16-B16)</f>
        <v/>
      </c>
      <c r="T16" s="7" t="str">
        <f aca="true">IF(OR(B16="",P16=""),"",IF(R16&lt;&gt;"",IF(R16&gt;P16,"Traité hors délai","Non"),IF(Q16="Classé sans suite","Non",IF(TODAY()&gt;P16,"OUI","Non"))))</f>
        <v>Non</v>
      </c>
      <c r="U16" s="11" t="s">
        <v>113</v>
      </c>
    </row>
    <row r="17" customFormat="false" ht="15" hidden="false" customHeight="false" outlineLevel="0" collapsed="false">
      <c r="A17" s="7" t="str">
        <f aca="false">IF(B17="","",YEAR(B17)&amp;"/"&amp;TEXT(ROW()-4,"0000"))</f>
        <v/>
      </c>
      <c r="B17" s="8"/>
      <c r="C17" s="7" t="str">
        <f aca="false">IF(B17="","",INT((B17-DATE(YEAR(B17-WEEKDAY(B17-1)+4),1,3)+WEEKDAY(DATE(YEAR(B17-WEEKDAY(B17-1)+4),1,3))+5)/7))</f>
        <v/>
      </c>
      <c r="D17" s="9" t="str">
        <f aca="false">IF(B17="","",B17-WEEKDAY(B17,2)+1)</f>
        <v/>
      </c>
      <c r="E17" s="10"/>
      <c r="F17" s="8"/>
      <c r="G17" s="11"/>
      <c r="H17" s="10"/>
      <c r="I17" s="11"/>
      <c r="J17" s="10"/>
      <c r="K17" s="10"/>
      <c r="L17" s="10"/>
      <c r="M17" s="11"/>
      <c r="N17" s="8"/>
      <c r="O17" s="7" t="str">
        <f aca="false">IF(L17="","",IFERROR(VLOOKUP(L17,Paramètres!$F$5:$G$8,2,FALSE()),""))</f>
        <v/>
      </c>
      <c r="P17" s="9" t="str">
        <f aca="false">IF(OR(B17="",O17=""),"",IF(N17="",B17,N17)+O17)</f>
        <v/>
      </c>
      <c r="Q17" s="10"/>
      <c r="R17" s="8"/>
      <c r="S17" s="7" t="str">
        <f aca="false">IF(OR(B17="",R17=""),"",R17-B17)</f>
        <v/>
      </c>
      <c r="T17" s="7" t="str">
        <f aca="true">IF(OR(B17="",P17=""),"",IF(R17&lt;&gt;"",IF(R17&gt;P17,"Traité hors délai","Non"),IF(Q17="Classé sans suite","Non",IF(TODAY()&gt;P17,"OUI","Non"))))</f>
        <v/>
      </c>
      <c r="U17" s="11"/>
    </row>
    <row r="18" customFormat="false" ht="15" hidden="false" customHeight="false" outlineLevel="0" collapsed="false">
      <c r="A18" s="7" t="str">
        <f aca="false">IF(B18="","",YEAR(B18)&amp;"/"&amp;TEXT(ROW()-4,"0000"))</f>
        <v/>
      </c>
      <c r="B18" s="8"/>
      <c r="C18" s="7" t="str">
        <f aca="false">IF(B18="","",INT((B18-DATE(YEAR(B18-WEEKDAY(B18-1)+4),1,3)+WEEKDAY(DATE(YEAR(B18-WEEKDAY(B18-1)+4),1,3))+5)/7))</f>
        <v/>
      </c>
      <c r="D18" s="9" t="str">
        <f aca="false">IF(B18="","",B18-WEEKDAY(B18,2)+1)</f>
        <v/>
      </c>
      <c r="E18" s="10"/>
      <c r="F18" s="8"/>
      <c r="G18" s="11"/>
      <c r="H18" s="10"/>
      <c r="I18" s="11"/>
      <c r="J18" s="10"/>
      <c r="K18" s="10"/>
      <c r="L18" s="10"/>
      <c r="M18" s="11"/>
      <c r="N18" s="8"/>
      <c r="O18" s="7" t="str">
        <f aca="false">IF(L18="","",IFERROR(VLOOKUP(L18,Paramètres!$F$5:$G$8,2,FALSE()),""))</f>
        <v/>
      </c>
      <c r="P18" s="9" t="str">
        <f aca="false">IF(OR(B18="",O18=""),"",IF(N18="",B18,N18)+O18)</f>
        <v/>
      </c>
      <c r="Q18" s="10"/>
      <c r="R18" s="8"/>
      <c r="S18" s="7" t="str">
        <f aca="false">IF(OR(B18="",R18=""),"",R18-B18)</f>
        <v/>
      </c>
      <c r="T18" s="7" t="str">
        <f aca="true">IF(OR(B18="",P18=""),"",IF(R18&lt;&gt;"",IF(R18&gt;P18,"Traité hors délai","Non"),IF(Q18="Classé sans suite","Non",IF(TODAY()&gt;P18,"OUI","Non"))))</f>
        <v/>
      </c>
      <c r="U18" s="11"/>
    </row>
    <row r="19" customFormat="false" ht="15" hidden="false" customHeight="false" outlineLevel="0" collapsed="false">
      <c r="A19" s="7" t="str">
        <f aca="false">IF(B19="","",YEAR(B19)&amp;"/"&amp;TEXT(ROW()-4,"0000"))</f>
        <v/>
      </c>
      <c r="B19" s="8"/>
      <c r="C19" s="7" t="str">
        <f aca="false">IF(B19="","",INT((B19-DATE(YEAR(B19-WEEKDAY(B19-1)+4),1,3)+WEEKDAY(DATE(YEAR(B19-WEEKDAY(B19-1)+4),1,3))+5)/7))</f>
        <v/>
      </c>
      <c r="D19" s="9" t="str">
        <f aca="false">IF(B19="","",B19-WEEKDAY(B19,2)+1)</f>
        <v/>
      </c>
      <c r="E19" s="10"/>
      <c r="F19" s="8"/>
      <c r="G19" s="11"/>
      <c r="H19" s="10"/>
      <c r="I19" s="11"/>
      <c r="J19" s="10"/>
      <c r="K19" s="10"/>
      <c r="L19" s="10"/>
      <c r="M19" s="11"/>
      <c r="N19" s="8"/>
      <c r="O19" s="7" t="str">
        <f aca="false">IF(L19="","",IFERROR(VLOOKUP(L19,Paramètres!$F$5:$G$8,2,FALSE()),""))</f>
        <v/>
      </c>
      <c r="P19" s="9" t="str">
        <f aca="false">IF(OR(B19="",O19=""),"",IF(N19="",B19,N19)+O19)</f>
        <v/>
      </c>
      <c r="Q19" s="10"/>
      <c r="R19" s="8"/>
      <c r="S19" s="7" t="str">
        <f aca="false">IF(OR(B19="",R19=""),"",R19-B19)</f>
        <v/>
      </c>
      <c r="T19" s="7" t="str">
        <f aca="true">IF(OR(B19="",P19=""),"",IF(R19&lt;&gt;"",IF(R19&gt;P19,"Traité hors délai","Non"),IF(Q19="Classé sans suite","Non",IF(TODAY()&gt;P19,"OUI","Non"))))</f>
        <v/>
      </c>
      <c r="U19" s="11"/>
    </row>
    <row r="20" customFormat="false" ht="15" hidden="false" customHeight="false" outlineLevel="0" collapsed="false">
      <c r="A20" s="7" t="str">
        <f aca="false">IF(B20="","",YEAR(B20)&amp;"/"&amp;TEXT(ROW()-4,"0000"))</f>
        <v/>
      </c>
      <c r="B20" s="8"/>
      <c r="C20" s="7" t="str">
        <f aca="false">IF(B20="","",INT((B20-DATE(YEAR(B20-WEEKDAY(B20-1)+4),1,3)+WEEKDAY(DATE(YEAR(B20-WEEKDAY(B20-1)+4),1,3))+5)/7))</f>
        <v/>
      </c>
      <c r="D20" s="9" t="str">
        <f aca="false">IF(B20="","",B20-WEEKDAY(B20,2)+1)</f>
        <v/>
      </c>
      <c r="E20" s="10"/>
      <c r="F20" s="8"/>
      <c r="G20" s="11"/>
      <c r="H20" s="10"/>
      <c r="I20" s="11"/>
      <c r="J20" s="10"/>
      <c r="K20" s="10"/>
      <c r="L20" s="10"/>
      <c r="M20" s="11"/>
      <c r="N20" s="8"/>
      <c r="O20" s="7" t="str">
        <f aca="false">IF(L20="","",IFERROR(VLOOKUP(L20,Paramètres!$F$5:$G$8,2,FALSE()),""))</f>
        <v/>
      </c>
      <c r="P20" s="9" t="str">
        <f aca="false">IF(OR(B20="",O20=""),"",IF(N20="",B20,N20)+O20)</f>
        <v/>
      </c>
      <c r="Q20" s="10"/>
      <c r="R20" s="8"/>
      <c r="S20" s="7" t="str">
        <f aca="false">IF(OR(B20="",R20=""),"",R20-B20)</f>
        <v/>
      </c>
      <c r="T20" s="7" t="str">
        <f aca="true">IF(OR(B20="",P20=""),"",IF(R20&lt;&gt;"",IF(R20&gt;P20,"Traité hors délai","Non"),IF(Q20="Classé sans suite","Non",IF(TODAY()&gt;P20,"OUI","Non"))))</f>
        <v/>
      </c>
      <c r="U20" s="11"/>
    </row>
    <row r="21" customFormat="false" ht="15" hidden="false" customHeight="false" outlineLevel="0" collapsed="false">
      <c r="A21" s="7" t="str">
        <f aca="false">IF(B21="","",YEAR(B21)&amp;"/"&amp;TEXT(ROW()-4,"0000"))</f>
        <v/>
      </c>
      <c r="B21" s="8"/>
      <c r="C21" s="7" t="str">
        <f aca="false">IF(B21="","",INT((B21-DATE(YEAR(B21-WEEKDAY(B21-1)+4),1,3)+WEEKDAY(DATE(YEAR(B21-WEEKDAY(B21-1)+4),1,3))+5)/7))</f>
        <v/>
      </c>
      <c r="D21" s="9" t="str">
        <f aca="false">IF(B21="","",B21-WEEKDAY(B21,2)+1)</f>
        <v/>
      </c>
      <c r="E21" s="10"/>
      <c r="F21" s="8"/>
      <c r="G21" s="11"/>
      <c r="H21" s="10"/>
      <c r="I21" s="11"/>
      <c r="J21" s="10"/>
      <c r="K21" s="10"/>
      <c r="L21" s="10"/>
      <c r="M21" s="11"/>
      <c r="N21" s="8"/>
      <c r="O21" s="7" t="str">
        <f aca="false">IF(L21="","",IFERROR(VLOOKUP(L21,Paramètres!$F$5:$G$8,2,FALSE()),""))</f>
        <v/>
      </c>
      <c r="P21" s="9" t="str">
        <f aca="false">IF(OR(B21="",O21=""),"",IF(N21="",B21,N21)+O21)</f>
        <v/>
      </c>
      <c r="Q21" s="10"/>
      <c r="R21" s="8"/>
      <c r="S21" s="7" t="str">
        <f aca="false">IF(OR(B21="",R21=""),"",R21-B21)</f>
        <v/>
      </c>
      <c r="T21" s="7" t="str">
        <f aca="true">IF(OR(B21="",P21=""),"",IF(R21&lt;&gt;"",IF(R21&gt;P21,"Traité hors délai","Non"),IF(Q21="Classé sans suite","Non",IF(TODAY()&gt;P21,"OUI","Non"))))</f>
        <v/>
      </c>
      <c r="U21" s="11"/>
    </row>
    <row r="22" customFormat="false" ht="15" hidden="false" customHeight="false" outlineLevel="0" collapsed="false">
      <c r="A22" s="7" t="str">
        <f aca="false">IF(B22="","",YEAR(B22)&amp;"/"&amp;TEXT(ROW()-4,"0000"))</f>
        <v/>
      </c>
      <c r="B22" s="8"/>
      <c r="C22" s="7" t="str">
        <f aca="false">IF(B22="","",INT((B22-DATE(YEAR(B22-WEEKDAY(B22-1)+4),1,3)+WEEKDAY(DATE(YEAR(B22-WEEKDAY(B22-1)+4),1,3))+5)/7))</f>
        <v/>
      </c>
      <c r="D22" s="9" t="str">
        <f aca="false">IF(B22="","",B22-WEEKDAY(B22,2)+1)</f>
        <v/>
      </c>
      <c r="E22" s="10"/>
      <c r="F22" s="8"/>
      <c r="G22" s="11"/>
      <c r="H22" s="10"/>
      <c r="I22" s="11"/>
      <c r="J22" s="10"/>
      <c r="K22" s="10"/>
      <c r="L22" s="10"/>
      <c r="M22" s="11"/>
      <c r="N22" s="8"/>
      <c r="O22" s="7" t="str">
        <f aca="false">IF(L22="","",IFERROR(VLOOKUP(L22,Paramètres!$F$5:$G$8,2,FALSE()),""))</f>
        <v/>
      </c>
      <c r="P22" s="9" t="str">
        <f aca="false">IF(OR(B22="",O22=""),"",IF(N22="",B22,N22)+O22)</f>
        <v/>
      </c>
      <c r="Q22" s="10"/>
      <c r="R22" s="8"/>
      <c r="S22" s="7" t="str">
        <f aca="false">IF(OR(B22="",R22=""),"",R22-B22)</f>
        <v/>
      </c>
      <c r="T22" s="7" t="str">
        <f aca="true">IF(OR(B22="",P22=""),"",IF(R22&lt;&gt;"",IF(R22&gt;P22,"Traité hors délai","Non"),IF(Q22="Classé sans suite","Non",IF(TODAY()&gt;P22,"OUI","Non"))))</f>
        <v/>
      </c>
      <c r="U22" s="11"/>
    </row>
    <row r="23" customFormat="false" ht="15" hidden="false" customHeight="false" outlineLevel="0" collapsed="false">
      <c r="A23" s="7" t="str">
        <f aca="false">IF(B23="","",YEAR(B23)&amp;"/"&amp;TEXT(ROW()-4,"0000"))</f>
        <v/>
      </c>
      <c r="B23" s="8"/>
      <c r="C23" s="7" t="str">
        <f aca="false">IF(B23="","",INT((B23-DATE(YEAR(B23-WEEKDAY(B23-1)+4),1,3)+WEEKDAY(DATE(YEAR(B23-WEEKDAY(B23-1)+4),1,3))+5)/7))</f>
        <v/>
      </c>
      <c r="D23" s="9" t="str">
        <f aca="false">IF(B23="","",B23-WEEKDAY(B23,2)+1)</f>
        <v/>
      </c>
      <c r="E23" s="10"/>
      <c r="F23" s="8"/>
      <c r="G23" s="11"/>
      <c r="H23" s="10"/>
      <c r="I23" s="11"/>
      <c r="J23" s="10"/>
      <c r="K23" s="10"/>
      <c r="L23" s="10"/>
      <c r="M23" s="11"/>
      <c r="N23" s="8"/>
      <c r="O23" s="7" t="str">
        <f aca="false">IF(L23="","",IFERROR(VLOOKUP(L23,Paramètres!$F$5:$G$8,2,FALSE()),""))</f>
        <v/>
      </c>
      <c r="P23" s="9" t="str">
        <f aca="false">IF(OR(B23="",O23=""),"",IF(N23="",B23,N23)+O23)</f>
        <v/>
      </c>
      <c r="Q23" s="10"/>
      <c r="R23" s="8"/>
      <c r="S23" s="7" t="str">
        <f aca="false">IF(OR(B23="",R23=""),"",R23-B23)</f>
        <v/>
      </c>
      <c r="T23" s="7" t="str">
        <f aca="true">IF(OR(B23="",P23=""),"",IF(R23&lt;&gt;"",IF(R23&gt;P23,"Traité hors délai","Non"),IF(Q23="Classé sans suite","Non",IF(TODAY()&gt;P23,"OUI","Non"))))</f>
        <v/>
      </c>
      <c r="U23" s="11"/>
    </row>
    <row r="24" customFormat="false" ht="15" hidden="false" customHeight="false" outlineLevel="0" collapsed="false">
      <c r="A24" s="7" t="str">
        <f aca="false">IF(B24="","",YEAR(B24)&amp;"/"&amp;TEXT(ROW()-4,"0000"))</f>
        <v/>
      </c>
      <c r="B24" s="8"/>
      <c r="C24" s="7" t="str">
        <f aca="false">IF(B24="","",INT((B24-DATE(YEAR(B24-WEEKDAY(B24-1)+4),1,3)+WEEKDAY(DATE(YEAR(B24-WEEKDAY(B24-1)+4),1,3))+5)/7))</f>
        <v/>
      </c>
      <c r="D24" s="9" t="str">
        <f aca="false">IF(B24="","",B24-WEEKDAY(B24,2)+1)</f>
        <v/>
      </c>
      <c r="E24" s="10"/>
      <c r="F24" s="8"/>
      <c r="G24" s="11"/>
      <c r="H24" s="10"/>
      <c r="I24" s="11"/>
      <c r="J24" s="10"/>
      <c r="K24" s="10"/>
      <c r="L24" s="10"/>
      <c r="M24" s="11"/>
      <c r="N24" s="8"/>
      <c r="O24" s="7" t="str">
        <f aca="false">IF(L24="","",IFERROR(VLOOKUP(L24,Paramètres!$F$5:$G$8,2,FALSE()),""))</f>
        <v/>
      </c>
      <c r="P24" s="9" t="str">
        <f aca="false">IF(OR(B24="",O24=""),"",IF(N24="",B24,N24)+O24)</f>
        <v/>
      </c>
      <c r="Q24" s="10"/>
      <c r="R24" s="8"/>
      <c r="S24" s="7" t="str">
        <f aca="false">IF(OR(B24="",R24=""),"",R24-B24)</f>
        <v/>
      </c>
      <c r="T24" s="7" t="str">
        <f aca="true">IF(OR(B24="",P24=""),"",IF(R24&lt;&gt;"",IF(R24&gt;P24,"Traité hors délai","Non"),IF(Q24="Classé sans suite","Non",IF(TODAY()&gt;P24,"OUI","Non"))))</f>
        <v/>
      </c>
      <c r="U24" s="11"/>
    </row>
    <row r="25" customFormat="false" ht="15" hidden="false" customHeight="false" outlineLevel="0" collapsed="false">
      <c r="A25" s="7" t="str">
        <f aca="false">IF(B25="","",YEAR(B25)&amp;"/"&amp;TEXT(ROW()-4,"0000"))</f>
        <v/>
      </c>
      <c r="B25" s="8"/>
      <c r="C25" s="7" t="str">
        <f aca="false">IF(B25="","",INT((B25-DATE(YEAR(B25-WEEKDAY(B25-1)+4),1,3)+WEEKDAY(DATE(YEAR(B25-WEEKDAY(B25-1)+4),1,3))+5)/7))</f>
        <v/>
      </c>
      <c r="D25" s="9" t="str">
        <f aca="false">IF(B25="","",B25-WEEKDAY(B25,2)+1)</f>
        <v/>
      </c>
      <c r="E25" s="10"/>
      <c r="F25" s="8"/>
      <c r="G25" s="11"/>
      <c r="H25" s="10"/>
      <c r="I25" s="11"/>
      <c r="J25" s="10"/>
      <c r="K25" s="10"/>
      <c r="L25" s="10"/>
      <c r="M25" s="11"/>
      <c r="N25" s="8"/>
      <c r="O25" s="7" t="str">
        <f aca="false">IF(L25="","",IFERROR(VLOOKUP(L25,Paramètres!$F$5:$G$8,2,FALSE()),""))</f>
        <v/>
      </c>
      <c r="P25" s="9" t="str">
        <f aca="false">IF(OR(B25="",O25=""),"",IF(N25="",B25,N25)+O25)</f>
        <v/>
      </c>
      <c r="Q25" s="10"/>
      <c r="R25" s="8"/>
      <c r="S25" s="7" t="str">
        <f aca="false">IF(OR(B25="",R25=""),"",R25-B25)</f>
        <v/>
      </c>
      <c r="T25" s="7" t="str">
        <f aca="true">IF(OR(B25="",P25=""),"",IF(R25&lt;&gt;"",IF(R25&gt;P25,"Traité hors délai","Non"),IF(Q25="Classé sans suite","Non",IF(TODAY()&gt;P25,"OUI","Non"))))</f>
        <v/>
      </c>
      <c r="U25" s="11"/>
    </row>
    <row r="26" customFormat="false" ht="15" hidden="false" customHeight="false" outlineLevel="0" collapsed="false">
      <c r="A26" s="7" t="str">
        <f aca="false">IF(B26="","",YEAR(B26)&amp;"/"&amp;TEXT(ROW()-4,"0000"))</f>
        <v/>
      </c>
      <c r="B26" s="8"/>
      <c r="C26" s="7" t="str">
        <f aca="false">IF(B26="","",INT((B26-DATE(YEAR(B26-WEEKDAY(B26-1)+4),1,3)+WEEKDAY(DATE(YEAR(B26-WEEKDAY(B26-1)+4),1,3))+5)/7))</f>
        <v/>
      </c>
      <c r="D26" s="9" t="str">
        <f aca="false">IF(B26="","",B26-WEEKDAY(B26,2)+1)</f>
        <v/>
      </c>
      <c r="E26" s="10"/>
      <c r="F26" s="8"/>
      <c r="G26" s="11"/>
      <c r="H26" s="10"/>
      <c r="I26" s="11"/>
      <c r="J26" s="10"/>
      <c r="K26" s="10"/>
      <c r="L26" s="10"/>
      <c r="M26" s="11"/>
      <c r="N26" s="8"/>
      <c r="O26" s="7" t="str">
        <f aca="false">IF(L26="","",IFERROR(VLOOKUP(L26,Paramètres!$F$5:$G$8,2,FALSE()),""))</f>
        <v/>
      </c>
      <c r="P26" s="9" t="str">
        <f aca="false">IF(OR(B26="",O26=""),"",IF(N26="",B26,N26)+O26)</f>
        <v/>
      </c>
      <c r="Q26" s="10"/>
      <c r="R26" s="8"/>
      <c r="S26" s="7" t="str">
        <f aca="false">IF(OR(B26="",R26=""),"",R26-B26)</f>
        <v/>
      </c>
      <c r="T26" s="7" t="str">
        <f aca="true">IF(OR(B26="",P26=""),"",IF(R26&lt;&gt;"",IF(R26&gt;P26,"Traité hors délai","Non"),IF(Q26="Classé sans suite","Non",IF(TODAY()&gt;P26,"OUI","Non"))))</f>
        <v/>
      </c>
      <c r="U26" s="11"/>
    </row>
    <row r="27" customFormat="false" ht="15" hidden="false" customHeight="false" outlineLevel="0" collapsed="false">
      <c r="A27" s="7" t="str">
        <f aca="false">IF(B27="","",YEAR(B27)&amp;"/"&amp;TEXT(ROW()-4,"0000"))</f>
        <v/>
      </c>
      <c r="B27" s="8"/>
      <c r="C27" s="7" t="str">
        <f aca="false">IF(B27="","",INT((B27-DATE(YEAR(B27-WEEKDAY(B27-1)+4),1,3)+WEEKDAY(DATE(YEAR(B27-WEEKDAY(B27-1)+4),1,3))+5)/7))</f>
        <v/>
      </c>
      <c r="D27" s="9" t="str">
        <f aca="false">IF(B27="","",B27-WEEKDAY(B27,2)+1)</f>
        <v/>
      </c>
      <c r="E27" s="10"/>
      <c r="F27" s="8"/>
      <c r="G27" s="11"/>
      <c r="H27" s="10"/>
      <c r="I27" s="11"/>
      <c r="J27" s="10"/>
      <c r="K27" s="10"/>
      <c r="L27" s="10"/>
      <c r="M27" s="11"/>
      <c r="N27" s="8"/>
      <c r="O27" s="7" t="str">
        <f aca="false">IF(L27="","",IFERROR(VLOOKUP(L27,Paramètres!$F$5:$G$8,2,FALSE()),""))</f>
        <v/>
      </c>
      <c r="P27" s="9" t="str">
        <f aca="false">IF(OR(B27="",O27=""),"",IF(N27="",B27,N27)+O27)</f>
        <v/>
      </c>
      <c r="Q27" s="10"/>
      <c r="R27" s="8"/>
      <c r="S27" s="7" t="str">
        <f aca="false">IF(OR(B27="",R27=""),"",R27-B27)</f>
        <v/>
      </c>
      <c r="T27" s="7" t="str">
        <f aca="true">IF(OR(B27="",P27=""),"",IF(R27&lt;&gt;"",IF(R27&gt;P27,"Traité hors délai","Non"),IF(Q27="Classé sans suite","Non",IF(TODAY()&gt;P27,"OUI","Non"))))</f>
        <v/>
      </c>
      <c r="U27" s="11"/>
    </row>
    <row r="28" customFormat="false" ht="15" hidden="false" customHeight="false" outlineLevel="0" collapsed="false">
      <c r="A28" s="7" t="str">
        <f aca="false">IF(B28="","",YEAR(B28)&amp;"/"&amp;TEXT(ROW()-4,"0000"))</f>
        <v/>
      </c>
      <c r="B28" s="8"/>
      <c r="C28" s="7" t="str">
        <f aca="false">IF(B28="","",INT((B28-DATE(YEAR(B28-WEEKDAY(B28-1)+4),1,3)+WEEKDAY(DATE(YEAR(B28-WEEKDAY(B28-1)+4),1,3))+5)/7))</f>
        <v/>
      </c>
      <c r="D28" s="9" t="str">
        <f aca="false">IF(B28="","",B28-WEEKDAY(B28,2)+1)</f>
        <v/>
      </c>
      <c r="E28" s="10"/>
      <c r="F28" s="8"/>
      <c r="G28" s="11"/>
      <c r="H28" s="10"/>
      <c r="I28" s="11"/>
      <c r="J28" s="10"/>
      <c r="K28" s="10"/>
      <c r="L28" s="10"/>
      <c r="M28" s="11"/>
      <c r="N28" s="8"/>
      <c r="O28" s="7" t="str">
        <f aca="false">IF(L28="","",IFERROR(VLOOKUP(L28,Paramètres!$F$5:$G$8,2,FALSE()),""))</f>
        <v/>
      </c>
      <c r="P28" s="9" t="str">
        <f aca="false">IF(OR(B28="",O28=""),"",IF(N28="",B28,N28)+O28)</f>
        <v/>
      </c>
      <c r="Q28" s="10"/>
      <c r="R28" s="8"/>
      <c r="S28" s="7" t="str">
        <f aca="false">IF(OR(B28="",R28=""),"",R28-B28)</f>
        <v/>
      </c>
      <c r="T28" s="7" t="str">
        <f aca="true">IF(OR(B28="",P28=""),"",IF(R28&lt;&gt;"",IF(R28&gt;P28,"Traité hors délai","Non"),IF(Q28="Classé sans suite","Non",IF(TODAY()&gt;P28,"OUI","Non"))))</f>
        <v/>
      </c>
      <c r="U28" s="11"/>
    </row>
    <row r="29" customFormat="false" ht="15" hidden="false" customHeight="false" outlineLevel="0" collapsed="false">
      <c r="A29" s="7" t="str">
        <f aca="false">IF(B29="","",YEAR(B29)&amp;"/"&amp;TEXT(ROW()-4,"0000"))</f>
        <v/>
      </c>
      <c r="B29" s="8"/>
      <c r="C29" s="7" t="str">
        <f aca="false">IF(B29="","",INT((B29-DATE(YEAR(B29-WEEKDAY(B29-1)+4),1,3)+WEEKDAY(DATE(YEAR(B29-WEEKDAY(B29-1)+4),1,3))+5)/7))</f>
        <v/>
      </c>
      <c r="D29" s="9" t="str">
        <f aca="false">IF(B29="","",B29-WEEKDAY(B29,2)+1)</f>
        <v/>
      </c>
      <c r="E29" s="10"/>
      <c r="F29" s="8"/>
      <c r="G29" s="11"/>
      <c r="H29" s="10"/>
      <c r="I29" s="11"/>
      <c r="J29" s="10"/>
      <c r="K29" s="10"/>
      <c r="L29" s="10"/>
      <c r="M29" s="11"/>
      <c r="N29" s="8"/>
      <c r="O29" s="7" t="str">
        <f aca="false">IF(L29="","",IFERROR(VLOOKUP(L29,Paramètres!$F$5:$G$8,2,FALSE()),""))</f>
        <v/>
      </c>
      <c r="P29" s="9" t="str">
        <f aca="false">IF(OR(B29="",O29=""),"",IF(N29="",B29,N29)+O29)</f>
        <v/>
      </c>
      <c r="Q29" s="10"/>
      <c r="R29" s="8"/>
      <c r="S29" s="7" t="str">
        <f aca="false">IF(OR(B29="",R29=""),"",R29-B29)</f>
        <v/>
      </c>
      <c r="T29" s="7" t="str">
        <f aca="true">IF(OR(B29="",P29=""),"",IF(R29&lt;&gt;"",IF(R29&gt;P29,"Traité hors délai","Non"),IF(Q29="Classé sans suite","Non",IF(TODAY()&gt;P29,"OUI","Non"))))</f>
        <v/>
      </c>
      <c r="U29" s="11"/>
    </row>
    <row r="30" customFormat="false" ht="15" hidden="false" customHeight="false" outlineLevel="0" collapsed="false">
      <c r="A30" s="7" t="str">
        <f aca="false">IF(B30="","",YEAR(B30)&amp;"/"&amp;TEXT(ROW()-4,"0000"))</f>
        <v/>
      </c>
      <c r="B30" s="8"/>
      <c r="C30" s="7" t="str">
        <f aca="false">IF(B30="","",INT((B30-DATE(YEAR(B30-WEEKDAY(B30-1)+4),1,3)+WEEKDAY(DATE(YEAR(B30-WEEKDAY(B30-1)+4),1,3))+5)/7))</f>
        <v/>
      </c>
      <c r="D30" s="9" t="str">
        <f aca="false">IF(B30="","",B30-WEEKDAY(B30,2)+1)</f>
        <v/>
      </c>
      <c r="E30" s="10"/>
      <c r="F30" s="8"/>
      <c r="G30" s="11"/>
      <c r="H30" s="10"/>
      <c r="I30" s="11"/>
      <c r="J30" s="10"/>
      <c r="K30" s="10"/>
      <c r="L30" s="10"/>
      <c r="M30" s="11"/>
      <c r="N30" s="8"/>
      <c r="O30" s="7" t="str">
        <f aca="false">IF(L30="","",IFERROR(VLOOKUP(L30,Paramètres!$F$5:$G$8,2,FALSE()),""))</f>
        <v/>
      </c>
      <c r="P30" s="9" t="str">
        <f aca="false">IF(OR(B30="",O30=""),"",IF(N30="",B30,N30)+O30)</f>
        <v/>
      </c>
      <c r="Q30" s="10"/>
      <c r="R30" s="8"/>
      <c r="S30" s="7" t="str">
        <f aca="false">IF(OR(B30="",R30=""),"",R30-B30)</f>
        <v/>
      </c>
      <c r="T30" s="7" t="str">
        <f aca="true">IF(OR(B30="",P30=""),"",IF(R30&lt;&gt;"",IF(R30&gt;P30,"Traité hors délai","Non"),IF(Q30="Classé sans suite","Non",IF(TODAY()&gt;P30,"OUI","Non"))))</f>
        <v/>
      </c>
      <c r="U30" s="11"/>
    </row>
    <row r="31" customFormat="false" ht="15" hidden="false" customHeight="false" outlineLevel="0" collapsed="false">
      <c r="A31" s="7" t="str">
        <f aca="false">IF(B31="","",YEAR(B31)&amp;"/"&amp;TEXT(ROW()-4,"0000"))</f>
        <v/>
      </c>
      <c r="B31" s="8"/>
      <c r="C31" s="7" t="str">
        <f aca="false">IF(B31="","",INT((B31-DATE(YEAR(B31-WEEKDAY(B31-1)+4),1,3)+WEEKDAY(DATE(YEAR(B31-WEEKDAY(B31-1)+4),1,3))+5)/7))</f>
        <v/>
      </c>
      <c r="D31" s="9" t="str">
        <f aca="false">IF(B31="","",B31-WEEKDAY(B31,2)+1)</f>
        <v/>
      </c>
      <c r="E31" s="10"/>
      <c r="F31" s="8"/>
      <c r="G31" s="11"/>
      <c r="H31" s="10"/>
      <c r="I31" s="11"/>
      <c r="J31" s="10"/>
      <c r="K31" s="10"/>
      <c r="L31" s="10"/>
      <c r="M31" s="11"/>
      <c r="N31" s="8"/>
      <c r="O31" s="7" t="str">
        <f aca="false">IF(L31="","",IFERROR(VLOOKUP(L31,Paramètres!$F$5:$G$8,2,FALSE()),""))</f>
        <v/>
      </c>
      <c r="P31" s="9" t="str">
        <f aca="false">IF(OR(B31="",O31=""),"",IF(N31="",B31,N31)+O31)</f>
        <v/>
      </c>
      <c r="Q31" s="10"/>
      <c r="R31" s="8"/>
      <c r="S31" s="7" t="str">
        <f aca="false">IF(OR(B31="",R31=""),"",R31-B31)</f>
        <v/>
      </c>
      <c r="T31" s="7" t="str">
        <f aca="true">IF(OR(B31="",P31=""),"",IF(R31&lt;&gt;"",IF(R31&gt;P31,"Traité hors délai","Non"),IF(Q31="Classé sans suite","Non",IF(TODAY()&gt;P31,"OUI","Non"))))</f>
        <v/>
      </c>
      <c r="U31" s="11"/>
    </row>
    <row r="32" customFormat="false" ht="15" hidden="false" customHeight="false" outlineLevel="0" collapsed="false">
      <c r="A32" s="7" t="str">
        <f aca="false">IF(B32="","",YEAR(B32)&amp;"/"&amp;TEXT(ROW()-4,"0000"))</f>
        <v/>
      </c>
      <c r="B32" s="8"/>
      <c r="C32" s="7" t="str">
        <f aca="false">IF(B32="","",INT((B32-DATE(YEAR(B32-WEEKDAY(B32-1)+4),1,3)+WEEKDAY(DATE(YEAR(B32-WEEKDAY(B32-1)+4),1,3))+5)/7))</f>
        <v/>
      </c>
      <c r="D32" s="9" t="str">
        <f aca="false">IF(B32="","",B32-WEEKDAY(B32,2)+1)</f>
        <v/>
      </c>
      <c r="E32" s="10"/>
      <c r="F32" s="8"/>
      <c r="G32" s="11"/>
      <c r="H32" s="10"/>
      <c r="I32" s="11"/>
      <c r="J32" s="10"/>
      <c r="K32" s="10"/>
      <c r="L32" s="10"/>
      <c r="M32" s="11"/>
      <c r="N32" s="8"/>
      <c r="O32" s="7" t="str">
        <f aca="false">IF(L32="","",IFERROR(VLOOKUP(L32,Paramètres!$F$5:$G$8,2,FALSE()),""))</f>
        <v/>
      </c>
      <c r="P32" s="9" t="str">
        <f aca="false">IF(OR(B32="",O32=""),"",IF(N32="",B32,N32)+O32)</f>
        <v/>
      </c>
      <c r="Q32" s="10"/>
      <c r="R32" s="8"/>
      <c r="S32" s="7" t="str">
        <f aca="false">IF(OR(B32="",R32=""),"",R32-B32)</f>
        <v/>
      </c>
      <c r="T32" s="7" t="str">
        <f aca="true">IF(OR(B32="",P32=""),"",IF(R32&lt;&gt;"",IF(R32&gt;P32,"Traité hors délai","Non"),IF(Q32="Classé sans suite","Non",IF(TODAY()&gt;P32,"OUI","Non"))))</f>
        <v/>
      </c>
      <c r="U32" s="11"/>
    </row>
    <row r="33" customFormat="false" ht="15" hidden="false" customHeight="false" outlineLevel="0" collapsed="false">
      <c r="A33" s="7" t="str">
        <f aca="false">IF(B33="","",YEAR(B33)&amp;"/"&amp;TEXT(ROW()-4,"0000"))</f>
        <v/>
      </c>
      <c r="B33" s="8"/>
      <c r="C33" s="7" t="str">
        <f aca="false">IF(B33="","",INT((B33-DATE(YEAR(B33-WEEKDAY(B33-1)+4),1,3)+WEEKDAY(DATE(YEAR(B33-WEEKDAY(B33-1)+4),1,3))+5)/7))</f>
        <v/>
      </c>
      <c r="D33" s="9" t="str">
        <f aca="false">IF(B33="","",B33-WEEKDAY(B33,2)+1)</f>
        <v/>
      </c>
      <c r="E33" s="10"/>
      <c r="F33" s="8"/>
      <c r="G33" s="11"/>
      <c r="H33" s="10"/>
      <c r="I33" s="11"/>
      <c r="J33" s="10"/>
      <c r="K33" s="10"/>
      <c r="L33" s="10"/>
      <c r="M33" s="11"/>
      <c r="N33" s="8"/>
      <c r="O33" s="7" t="str">
        <f aca="false">IF(L33="","",IFERROR(VLOOKUP(L33,Paramètres!$F$5:$G$8,2,FALSE()),""))</f>
        <v/>
      </c>
      <c r="P33" s="9" t="str">
        <f aca="false">IF(OR(B33="",O33=""),"",IF(N33="",B33,N33)+O33)</f>
        <v/>
      </c>
      <c r="Q33" s="10"/>
      <c r="R33" s="8"/>
      <c r="S33" s="7" t="str">
        <f aca="false">IF(OR(B33="",R33=""),"",R33-B33)</f>
        <v/>
      </c>
      <c r="T33" s="7" t="str">
        <f aca="true">IF(OR(B33="",P33=""),"",IF(R33&lt;&gt;"",IF(R33&gt;P33,"Traité hors délai","Non"),IF(Q33="Classé sans suite","Non",IF(TODAY()&gt;P33,"OUI","Non"))))</f>
        <v/>
      </c>
      <c r="U33" s="11"/>
    </row>
    <row r="34" customFormat="false" ht="15" hidden="false" customHeight="false" outlineLevel="0" collapsed="false">
      <c r="A34" s="7" t="str">
        <f aca="false">IF(B34="","",YEAR(B34)&amp;"/"&amp;TEXT(ROW()-4,"0000"))</f>
        <v/>
      </c>
      <c r="B34" s="8"/>
      <c r="C34" s="7" t="str">
        <f aca="false">IF(B34="","",INT((B34-DATE(YEAR(B34-WEEKDAY(B34-1)+4),1,3)+WEEKDAY(DATE(YEAR(B34-WEEKDAY(B34-1)+4),1,3))+5)/7))</f>
        <v/>
      </c>
      <c r="D34" s="9" t="str">
        <f aca="false">IF(B34="","",B34-WEEKDAY(B34,2)+1)</f>
        <v/>
      </c>
      <c r="E34" s="10"/>
      <c r="F34" s="8"/>
      <c r="G34" s="11"/>
      <c r="H34" s="10"/>
      <c r="I34" s="11"/>
      <c r="J34" s="10"/>
      <c r="K34" s="10"/>
      <c r="L34" s="10"/>
      <c r="M34" s="11"/>
      <c r="N34" s="8"/>
      <c r="O34" s="7" t="str">
        <f aca="false">IF(L34="","",IFERROR(VLOOKUP(L34,Paramètres!$F$5:$G$8,2,FALSE()),""))</f>
        <v/>
      </c>
      <c r="P34" s="9" t="str">
        <f aca="false">IF(OR(B34="",O34=""),"",IF(N34="",B34,N34)+O34)</f>
        <v/>
      </c>
      <c r="Q34" s="10"/>
      <c r="R34" s="8"/>
      <c r="S34" s="7" t="str">
        <f aca="false">IF(OR(B34="",R34=""),"",R34-B34)</f>
        <v/>
      </c>
      <c r="T34" s="7" t="str">
        <f aca="true">IF(OR(B34="",P34=""),"",IF(R34&lt;&gt;"",IF(R34&gt;P34,"Traité hors délai","Non"),IF(Q34="Classé sans suite","Non",IF(TODAY()&gt;P34,"OUI","Non"))))</f>
        <v/>
      </c>
      <c r="U34" s="11"/>
    </row>
    <row r="35" customFormat="false" ht="15" hidden="false" customHeight="false" outlineLevel="0" collapsed="false">
      <c r="A35" s="7" t="str">
        <f aca="false">IF(B35="","",YEAR(B35)&amp;"/"&amp;TEXT(ROW()-4,"0000"))</f>
        <v/>
      </c>
      <c r="B35" s="8"/>
      <c r="C35" s="7" t="str">
        <f aca="false">IF(B35="","",INT((B35-DATE(YEAR(B35-WEEKDAY(B35-1)+4),1,3)+WEEKDAY(DATE(YEAR(B35-WEEKDAY(B35-1)+4),1,3))+5)/7))</f>
        <v/>
      </c>
      <c r="D35" s="9" t="str">
        <f aca="false">IF(B35="","",B35-WEEKDAY(B35,2)+1)</f>
        <v/>
      </c>
      <c r="E35" s="10"/>
      <c r="F35" s="8"/>
      <c r="G35" s="11"/>
      <c r="H35" s="10"/>
      <c r="I35" s="11"/>
      <c r="J35" s="10"/>
      <c r="K35" s="10"/>
      <c r="L35" s="10"/>
      <c r="M35" s="11"/>
      <c r="N35" s="8"/>
      <c r="O35" s="7" t="str">
        <f aca="false">IF(L35="","",IFERROR(VLOOKUP(L35,Paramètres!$F$5:$G$8,2,FALSE()),""))</f>
        <v/>
      </c>
      <c r="P35" s="9" t="str">
        <f aca="false">IF(OR(B35="",O35=""),"",IF(N35="",B35,N35)+O35)</f>
        <v/>
      </c>
      <c r="Q35" s="10"/>
      <c r="R35" s="8"/>
      <c r="S35" s="7" t="str">
        <f aca="false">IF(OR(B35="",R35=""),"",R35-B35)</f>
        <v/>
      </c>
      <c r="T35" s="7" t="str">
        <f aca="true">IF(OR(B35="",P35=""),"",IF(R35&lt;&gt;"",IF(R35&gt;P35,"Traité hors délai","Non"),IF(Q35="Classé sans suite","Non",IF(TODAY()&gt;P35,"OUI","Non"))))</f>
        <v/>
      </c>
      <c r="U35" s="11"/>
    </row>
    <row r="36" customFormat="false" ht="15" hidden="false" customHeight="false" outlineLevel="0" collapsed="false">
      <c r="A36" s="7" t="str">
        <f aca="false">IF(B36="","",YEAR(B36)&amp;"/"&amp;TEXT(ROW()-4,"0000"))</f>
        <v/>
      </c>
      <c r="B36" s="8"/>
      <c r="C36" s="7" t="str">
        <f aca="false">IF(B36="","",INT((B36-DATE(YEAR(B36-WEEKDAY(B36-1)+4),1,3)+WEEKDAY(DATE(YEAR(B36-WEEKDAY(B36-1)+4),1,3))+5)/7))</f>
        <v/>
      </c>
      <c r="D36" s="9" t="str">
        <f aca="false">IF(B36="","",B36-WEEKDAY(B36,2)+1)</f>
        <v/>
      </c>
      <c r="E36" s="10"/>
      <c r="F36" s="8"/>
      <c r="G36" s="11"/>
      <c r="H36" s="10"/>
      <c r="I36" s="11"/>
      <c r="J36" s="10"/>
      <c r="K36" s="10"/>
      <c r="L36" s="10"/>
      <c r="M36" s="11"/>
      <c r="N36" s="8"/>
      <c r="O36" s="7" t="str">
        <f aca="false">IF(L36="","",IFERROR(VLOOKUP(L36,Paramètres!$F$5:$G$8,2,FALSE()),""))</f>
        <v/>
      </c>
      <c r="P36" s="9" t="str">
        <f aca="false">IF(OR(B36="",O36=""),"",IF(N36="",B36,N36)+O36)</f>
        <v/>
      </c>
      <c r="Q36" s="10"/>
      <c r="R36" s="8"/>
      <c r="S36" s="7" t="str">
        <f aca="false">IF(OR(B36="",R36=""),"",R36-B36)</f>
        <v/>
      </c>
      <c r="T36" s="7" t="str">
        <f aca="true">IF(OR(B36="",P36=""),"",IF(R36&lt;&gt;"",IF(R36&gt;P36,"Traité hors délai","Non"),IF(Q36="Classé sans suite","Non",IF(TODAY()&gt;P36,"OUI","Non"))))</f>
        <v/>
      </c>
      <c r="U36" s="11"/>
    </row>
    <row r="37" customFormat="false" ht="15" hidden="false" customHeight="false" outlineLevel="0" collapsed="false">
      <c r="A37" s="7" t="str">
        <f aca="false">IF(B37="","",YEAR(B37)&amp;"/"&amp;TEXT(ROW()-4,"0000"))</f>
        <v/>
      </c>
      <c r="B37" s="8"/>
      <c r="C37" s="7" t="str">
        <f aca="false">IF(B37="","",INT((B37-DATE(YEAR(B37-WEEKDAY(B37-1)+4),1,3)+WEEKDAY(DATE(YEAR(B37-WEEKDAY(B37-1)+4),1,3))+5)/7))</f>
        <v/>
      </c>
      <c r="D37" s="9" t="str">
        <f aca="false">IF(B37="","",B37-WEEKDAY(B37,2)+1)</f>
        <v/>
      </c>
      <c r="E37" s="10"/>
      <c r="F37" s="8"/>
      <c r="G37" s="11"/>
      <c r="H37" s="10"/>
      <c r="I37" s="11"/>
      <c r="J37" s="10"/>
      <c r="K37" s="10"/>
      <c r="L37" s="10"/>
      <c r="M37" s="11"/>
      <c r="N37" s="8"/>
      <c r="O37" s="7" t="str">
        <f aca="false">IF(L37="","",IFERROR(VLOOKUP(L37,Paramètres!$F$5:$G$8,2,FALSE()),""))</f>
        <v/>
      </c>
      <c r="P37" s="9" t="str">
        <f aca="false">IF(OR(B37="",O37=""),"",IF(N37="",B37,N37)+O37)</f>
        <v/>
      </c>
      <c r="Q37" s="10"/>
      <c r="R37" s="8"/>
      <c r="S37" s="7" t="str">
        <f aca="false">IF(OR(B37="",R37=""),"",R37-B37)</f>
        <v/>
      </c>
      <c r="T37" s="7" t="str">
        <f aca="true">IF(OR(B37="",P37=""),"",IF(R37&lt;&gt;"",IF(R37&gt;P37,"Traité hors délai","Non"),IF(Q37="Classé sans suite","Non",IF(TODAY()&gt;P37,"OUI","Non"))))</f>
        <v/>
      </c>
      <c r="U37" s="11"/>
    </row>
    <row r="38" customFormat="false" ht="15" hidden="false" customHeight="false" outlineLevel="0" collapsed="false">
      <c r="A38" s="7" t="str">
        <f aca="false">IF(B38="","",YEAR(B38)&amp;"/"&amp;TEXT(ROW()-4,"0000"))</f>
        <v/>
      </c>
      <c r="B38" s="8"/>
      <c r="C38" s="7" t="str">
        <f aca="false">IF(B38="","",INT((B38-DATE(YEAR(B38-WEEKDAY(B38-1)+4),1,3)+WEEKDAY(DATE(YEAR(B38-WEEKDAY(B38-1)+4),1,3))+5)/7))</f>
        <v/>
      </c>
      <c r="D38" s="9" t="str">
        <f aca="false">IF(B38="","",B38-WEEKDAY(B38,2)+1)</f>
        <v/>
      </c>
      <c r="E38" s="10"/>
      <c r="F38" s="8"/>
      <c r="G38" s="11"/>
      <c r="H38" s="10"/>
      <c r="I38" s="11"/>
      <c r="J38" s="10"/>
      <c r="K38" s="10"/>
      <c r="L38" s="10"/>
      <c r="M38" s="11"/>
      <c r="N38" s="8"/>
      <c r="O38" s="7" t="str">
        <f aca="false">IF(L38="","",IFERROR(VLOOKUP(L38,Paramètres!$F$5:$G$8,2,FALSE()),""))</f>
        <v/>
      </c>
      <c r="P38" s="9" t="str">
        <f aca="false">IF(OR(B38="",O38=""),"",IF(N38="",B38,N38)+O38)</f>
        <v/>
      </c>
      <c r="Q38" s="10"/>
      <c r="R38" s="8"/>
      <c r="S38" s="7" t="str">
        <f aca="false">IF(OR(B38="",R38=""),"",R38-B38)</f>
        <v/>
      </c>
      <c r="T38" s="7" t="str">
        <f aca="true">IF(OR(B38="",P38=""),"",IF(R38&lt;&gt;"",IF(R38&gt;P38,"Traité hors délai","Non"),IF(Q38="Classé sans suite","Non",IF(TODAY()&gt;P38,"OUI","Non"))))</f>
        <v/>
      </c>
      <c r="U38" s="11"/>
    </row>
    <row r="39" customFormat="false" ht="15" hidden="false" customHeight="false" outlineLevel="0" collapsed="false">
      <c r="A39" s="7" t="str">
        <f aca="false">IF(B39="","",YEAR(B39)&amp;"/"&amp;TEXT(ROW()-4,"0000"))</f>
        <v/>
      </c>
      <c r="B39" s="8"/>
      <c r="C39" s="7" t="str">
        <f aca="false">IF(B39="","",INT((B39-DATE(YEAR(B39-WEEKDAY(B39-1)+4),1,3)+WEEKDAY(DATE(YEAR(B39-WEEKDAY(B39-1)+4),1,3))+5)/7))</f>
        <v/>
      </c>
      <c r="D39" s="9" t="str">
        <f aca="false">IF(B39="","",B39-WEEKDAY(B39,2)+1)</f>
        <v/>
      </c>
      <c r="E39" s="10"/>
      <c r="F39" s="8"/>
      <c r="G39" s="11"/>
      <c r="H39" s="10"/>
      <c r="I39" s="11"/>
      <c r="J39" s="10"/>
      <c r="K39" s="10"/>
      <c r="L39" s="10"/>
      <c r="M39" s="11"/>
      <c r="N39" s="8"/>
      <c r="O39" s="7" t="str">
        <f aca="false">IF(L39="","",IFERROR(VLOOKUP(L39,Paramètres!$F$5:$G$8,2,FALSE()),""))</f>
        <v/>
      </c>
      <c r="P39" s="9" t="str">
        <f aca="false">IF(OR(B39="",O39=""),"",IF(N39="",B39,N39)+O39)</f>
        <v/>
      </c>
      <c r="Q39" s="10"/>
      <c r="R39" s="8"/>
      <c r="S39" s="7" t="str">
        <f aca="false">IF(OR(B39="",R39=""),"",R39-B39)</f>
        <v/>
      </c>
      <c r="T39" s="7" t="str">
        <f aca="true">IF(OR(B39="",P39=""),"",IF(R39&lt;&gt;"",IF(R39&gt;P39,"Traité hors délai","Non"),IF(Q39="Classé sans suite","Non",IF(TODAY()&gt;P39,"OUI","Non"))))</f>
        <v/>
      </c>
      <c r="U39" s="11"/>
    </row>
    <row r="40" customFormat="false" ht="15" hidden="false" customHeight="false" outlineLevel="0" collapsed="false">
      <c r="A40" s="7" t="str">
        <f aca="false">IF(B40="","",YEAR(B40)&amp;"/"&amp;TEXT(ROW()-4,"0000"))</f>
        <v/>
      </c>
      <c r="B40" s="8"/>
      <c r="C40" s="7" t="str">
        <f aca="false">IF(B40="","",INT((B40-DATE(YEAR(B40-WEEKDAY(B40-1)+4),1,3)+WEEKDAY(DATE(YEAR(B40-WEEKDAY(B40-1)+4),1,3))+5)/7))</f>
        <v/>
      </c>
      <c r="D40" s="9" t="str">
        <f aca="false">IF(B40="","",B40-WEEKDAY(B40,2)+1)</f>
        <v/>
      </c>
      <c r="E40" s="10"/>
      <c r="F40" s="8"/>
      <c r="G40" s="11"/>
      <c r="H40" s="10"/>
      <c r="I40" s="11"/>
      <c r="J40" s="10"/>
      <c r="K40" s="10"/>
      <c r="L40" s="10"/>
      <c r="M40" s="11"/>
      <c r="N40" s="8"/>
      <c r="O40" s="7" t="str">
        <f aca="false">IF(L40="","",IFERROR(VLOOKUP(L40,Paramètres!$F$5:$G$8,2,FALSE()),""))</f>
        <v/>
      </c>
      <c r="P40" s="9" t="str">
        <f aca="false">IF(OR(B40="",O40=""),"",IF(N40="",B40,N40)+O40)</f>
        <v/>
      </c>
      <c r="Q40" s="10"/>
      <c r="R40" s="8"/>
      <c r="S40" s="7" t="str">
        <f aca="false">IF(OR(B40="",R40=""),"",R40-B40)</f>
        <v/>
      </c>
      <c r="T40" s="7" t="str">
        <f aca="true">IF(OR(B40="",P40=""),"",IF(R40&lt;&gt;"",IF(R40&gt;P40,"Traité hors délai","Non"),IF(Q40="Classé sans suite","Non",IF(TODAY()&gt;P40,"OUI","Non"))))</f>
        <v/>
      </c>
      <c r="U40" s="11"/>
    </row>
    <row r="41" customFormat="false" ht="15" hidden="false" customHeight="false" outlineLevel="0" collapsed="false">
      <c r="A41" s="7" t="str">
        <f aca="false">IF(B41="","",YEAR(B41)&amp;"/"&amp;TEXT(ROW()-4,"0000"))</f>
        <v/>
      </c>
      <c r="B41" s="8"/>
      <c r="C41" s="7" t="str">
        <f aca="false">IF(B41="","",INT((B41-DATE(YEAR(B41-WEEKDAY(B41-1)+4),1,3)+WEEKDAY(DATE(YEAR(B41-WEEKDAY(B41-1)+4),1,3))+5)/7))</f>
        <v/>
      </c>
      <c r="D41" s="9" t="str">
        <f aca="false">IF(B41="","",B41-WEEKDAY(B41,2)+1)</f>
        <v/>
      </c>
      <c r="E41" s="10"/>
      <c r="F41" s="8"/>
      <c r="G41" s="11"/>
      <c r="H41" s="10"/>
      <c r="I41" s="11"/>
      <c r="J41" s="10"/>
      <c r="K41" s="10"/>
      <c r="L41" s="10"/>
      <c r="M41" s="11"/>
      <c r="N41" s="8"/>
      <c r="O41" s="7" t="str">
        <f aca="false">IF(L41="","",IFERROR(VLOOKUP(L41,Paramètres!$F$5:$G$8,2,FALSE()),""))</f>
        <v/>
      </c>
      <c r="P41" s="9" t="str">
        <f aca="false">IF(OR(B41="",O41=""),"",IF(N41="",B41,N41)+O41)</f>
        <v/>
      </c>
      <c r="Q41" s="10"/>
      <c r="R41" s="8"/>
      <c r="S41" s="7" t="str">
        <f aca="false">IF(OR(B41="",R41=""),"",R41-B41)</f>
        <v/>
      </c>
      <c r="T41" s="7" t="str">
        <f aca="true">IF(OR(B41="",P41=""),"",IF(R41&lt;&gt;"",IF(R41&gt;P41,"Traité hors délai","Non"),IF(Q41="Classé sans suite","Non",IF(TODAY()&gt;P41,"OUI","Non"))))</f>
        <v/>
      </c>
      <c r="U41" s="11"/>
    </row>
    <row r="42" customFormat="false" ht="15" hidden="false" customHeight="false" outlineLevel="0" collapsed="false">
      <c r="A42" s="7" t="str">
        <f aca="false">IF(B42="","",YEAR(B42)&amp;"/"&amp;TEXT(ROW()-4,"0000"))</f>
        <v/>
      </c>
      <c r="B42" s="8"/>
      <c r="C42" s="7" t="str">
        <f aca="false">IF(B42="","",INT((B42-DATE(YEAR(B42-WEEKDAY(B42-1)+4),1,3)+WEEKDAY(DATE(YEAR(B42-WEEKDAY(B42-1)+4),1,3))+5)/7))</f>
        <v/>
      </c>
      <c r="D42" s="9" t="str">
        <f aca="false">IF(B42="","",B42-WEEKDAY(B42,2)+1)</f>
        <v/>
      </c>
      <c r="E42" s="10"/>
      <c r="F42" s="8"/>
      <c r="G42" s="11"/>
      <c r="H42" s="10"/>
      <c r="I42" s="11"/>
      <c r="J42" s="10"/>
      <c r="K42" s="10"/>
      <c r="L42" s="10"/>
      <c r="M42" s="11"/>
      <c r="N42" s="8"/>
      <c r="O42" s="7" t="str">
        <f aca="false">IF(L42="","",IFERROR(VLOOKUP(L42,Paramètres!$F$5:$G$8,2,FALSE()),""))</f>
        <v/>
      </c>
      <c r="P42" s="9" t="str">
        <f aca="false">IF(OR(B42="",O42=""),"",IF(N42="",B42,N42)+O42)</f>
        <v/>
      </c>
      <c r="Q42" s="10"/>
      <c r="R42" s="8"/>
      <c r="S42" s="7" t="str">
        <f aca="false">IF(OR(B42="",R42=""),"",R42-B42)</f>
        <v/>
      </c>
      <c r="T42" s="7" t="str">
        <f aca="true">IF(OR(B42="",P42=""),"",IF(R42&lt;&gt;"",IF(R42&gt;P42,"Traité hors délai","Non"),IF(Q42="Classé sans suite","Non",IF(TODAY()&gt;P42,"OUI","Non"))))</f>
        <v/>
      </c>
      <c r="U42" s="11"/>
    </row>
    <row r="43" customFormat="false" ht="15" hidden="false" customHeight="false" outlineLevel="0" collapsed="false">
      <c r="A43" s="7" t="str">
        <f aca="false">IF(B43="","",YEAR(B43)&amp;"/"&amp;TEXT(ROW()-4,"0000"))</f>
        <v/>
      </c>
      <c r="B43" s="8"/>
      <c r="C43" s="7" t="str">
        <f aca="false">IF(B43="","",INT((B43-DATE(YEAR(B43-WEEKDAY(B43-1)+4),1,3)+WEEKDAY(DATE(YEAR(B43-WEEKDAY(B43-1)+4),1,3))+5)/7))</f>
        <v/>
      </c>
      <c r="D43" s="9" t="str">
        <f aca="false">IF(B43="","",B43-WEEKDAY(B43,2)+1)</f>
        <v/>
      </c>
      <c r="E43" s="10"/>
      <c r="F43" s="8"/>
      <c r="G43" s="11"/>
      <c r="H43" s="10"/>
      <c r="I43" s="11"/>
      <c r="J43" s="10"/>
      <c r="K43" s="10"/>
      <c r="L43" s="10"/>
      <c r="M43" s="11"/>
      <c r="N43" s="8"/>
      <c r="O43" s="7" t="str">
        <f aca="false">IF(L43="","",IFERROR(VLOOKUP(L43,Paramètres!$F$5:$G$8,2,FALSE()),""))</f>
        <v/>
      </c>
      <c r="P43" s="9" t="str">
        <f aca="false">IF(OR(B43="",O43=""),"",IF(N43="",B43,N43)+O43)</f>
        <v/>
      </c>
      <c r="Q43" s="10"/>
      <c r="R43" s="8"/>
      <c r="S43" s="7" t="str">
        <f aca="false">IF(OR(B43="",R43=""),"",R43-B43)</f>
        <v/>
      </c>
      <c r="T43" s="7" t="str">
        <f aca="true">IF(OR(B43="",P43=""),"",IF(R43&lt;&gt;"",IF(R43&gt;P43,"Traité hors délai","Non"),IF(Q43="Classé sans suite","Non",IF(TODAY()&gt;P43,"OUI","Non"))))</f>
        <v/>
      </c>
      <c r="U43" s="11"/>
    </row>
    <row r="44" customFormat="false" ht="15" hidden="false" customHeight="false" outlineLevel="0" collapsed="false">
      <c r="A44" s="7" t="str">
        <f aca="false">IF(B44="","",YEAR(B44)&amp;"/"&amp;TEXT(ROW()-4,"0000"))</f>
        <v/>
      </c>
      <c r="B44" s="8"/>
      <c r="C44" s="7" t="str">
        <f aca="false">IF(B44="","",INT((B44-DATE(YEAR(B44-WEEKDAY(B44-1)+4),1,3)+WEEKDAY(DATE(YEAR(B44-WEEKDAY(B44-1)+4),1,3))+5)/7))</f>
        <v/>
      </c>
      <c r="D44" s="9" t="str">
        <f aca="false">IF(B44="","",B44-WEEKDAY(B44,2)+1)</f>
        <v/>
      </c>
      <c r="E44" s="10"/>
      <c r="F44" s="8"/>
      <c r="G44" s="11"/>
      <c r="H44" s="10"/>
      <c r="I44" s="11"/>
      <c r="J44" s="10"/>
      <c r="K44" s="10"/>
      <c r="L44" s="10"/>
      <c r="M44" s="11"/>
      <c r="N44" s="8"/>
      <c r="O44" s="7" t="str">
        <f aca="false">IF(L44="","",IFERROR(VLOOKUP(L44,Paramètres!$F$5:$G$8,2,FALSE()),""))</f>
        <v/>
      </c>
      <c r="P44" s="9" t="str">
        <f aca="false">IF(OR(B44="",O44=""),"",IF(N44="",B44,N44)+O44)</f>
        <v/>
      </c>
      <c r="Q44" s="10"/>
      <c r="R44" s="8"/>
      <c r="S44" s="7" t="str">
        <f aca="false">IF(OR(B44="",R44=""),"",R44-B44)</f>
        <v/>
      </c>
      <c r="T44" s="7" t="str">
        <f aca="true">IF(OR(B44="",P44=""),"",IF(R44&lt;&gt;"",IF(R44&gt;P44,"Traité hors délai","Non"),IF(Q44="Classé sans suite","Non",IF(TODAY()&gt;P44,"OUI","Non"))))</f>
        <v/>
      </c>
      <c r="U44" s="11"/>
    </row>
    <row r="45" customFormat="false" ht="15" hidden="false" customHeight="false" outlineLevel="0" collapsed="false">
      <c r="A45" s="7" t="str">
        <f aca="false">IF(B45="","",YEAR(B45)&amp;"/"&amp;TEXT(ROW()-4,"0000"))</f>
        <v/>
      </c>
      <c r="B45" s="8"/>
      <c r="C45" s="7" t="str">
        <f aca="false">IF(B45="","",INT((B45-DATE(YEAR(B45-WEEKDAY(B45-1)+4),1,3)+WEEKDAY(DATE(YEAR(B45-WEEKDAY(B45-1)+4),1,3))+5)/7))</f>
        <v/>
      </c>
      <c r="D45" s="9" t="str">
        <f aca="false">IF(B45="","",B45-WEEKDAY(B45,2)+1)</f>
        <v/>
      </c>
      <c r="E45" s="10"/>
      <c r="F45" s="8"/>
      <c r="G45" s="11"/>
      <c r="H45" s="10"/>
      <c r="I45" s="11"/>
      <c r="J45" s="10"/>
      <c r="K45" s="10"/>
      <c r="L45" s="10"/>
      <c r="M45" s="11"/>
      <c r="N45" s="8"/>
      <c r="O45" s="7" t="str">
        <f aca="false">IF(L45="","",IFERROR(VLOOKUP(L45,Paramètres!$F$5:$G$8,2,FALSE()),""))</f>
        <v/>
      </c>
      <c r="P45" s="9" t="str">
        <f aca="false">IF(OR(B45="",O45=""),"",IF(N45="",B45,N45)+O45)</f>
        <v/>
      </c>
      <c r="Q45" s="10"/>
      <c r="R45" s="8"/>
      <c r="S45" s="7" t="str">
        <f aca="false">IF(OR(B45="",R45=""),"",R45-B45)</f>
        <v/>
      </c>
      <c r="T45" s="7" t="str">
        <f aca="true">IF(OR(B45="",P45=""),"",IF(R45&lt;&gt;"",IF(R45&gt;P45,"Traité hors délai","Non"),IF(Q45="Classé sans suite","Non",IF(TODAY()&gt;P45,"OUI","Non"))))</f>
        <v/>
      </c>
      <c r="U45" s="11"/>
    </row>
    <row r="46" customFormat="false" ht="15" hidden="false" customHeight="false" outlineLevel="0" collapsed="false">
      <c r="A46" s="7" t="str">
        <f aca="false">IF(B46="","",YEAR(B46)&amp;"/"&amp;TEXT(ROW()-4,"0000"))</f>
        <v/>
      </c>
      <c r="B46" s="8"/>
      <c r="C46" s="7" t="str">
        <f aca="false">IF(B46="","",INT((B46-DATE(YEAR(B46-WEEKDAY(B46-1)+4),1,3)+WEEKDAY(DATE(YEAR(B46-WEEKDAY(B46-1)+4),1,3))+5)/7))</f>
        <v/>
      </c>
      <c r="D46" s="9" t="str">
        <f aca="false">IF(B46="","",B46-WEEKDAY(B46,2)+1)</f>
        <v/>
      </c>
      <c r="E46" s="10"/>
      <c r="F46" s="8"/>
      <c r="G46" s="11"/>
      <c r="H46" s="10"/>
      <c r="I46" s="11"/>
      <c r="J46" s="10"/>
      <c r="K46" s="10"/>
      <c r="L46" s="10"/>
      <c r="M46" s="11"/>
      <c r="N46" s="8"/>
      <c r="O46" s="7" t="str">
        <f aca="false">IF(L46="","",IFERROR(VLOOKUP(L46,Paramètres!$F$5:$G$8,2,FALSE()),""))</f>
        <v/>
      </c>
      <c r="P46" s="9" t="str">
        <f aca="false">IF(OR(B46="",O46=""),"",IF(N46="",B46,N46)+O46)</f>
        <v/>
      </c>
      <c r="Q46" s="10"/>
      <c r="R46" s="8"/>
      <c r="S46" s="7" t="str">
        <f aca="false">IF(OR(B46="",R46=""),"",R46-B46)</f>
        <v/>
      </c>
      <c r="T46" s="7" t="str">
        <f aca="true">IF(OR(B46="",P46=""),"",IF(R46&lt;&gt;"",IF(R46&gt;P46,"Traité hors délai","Non"),IF(Q46="Classé sans suite","Non",IF(TODAY()&gt;P46,"OUI","Non"))))</f>
        <v/>
      </c>
      <c r="U46" s="11"/>
    </row>
    <row r="47" customFormat="false" ht="15" hidden="false" customHeight="false" outlineLevel="0" collapsed="false">
      <c r="A47" s="7" t="str">
        <f aca="false">IF(B47="","",YEAR(B47)&amp;"/"&amp;TEXT(ROW()-4,"0000"))</f>
        <v/>
      </c>
      <c r="B47" s="8"/>
      <c r="C47" s="7" t="str">
        <f aca="false">IF(B47="","",INT((B47-DATE(YEAR(B47-WEEKDAY(B47-1)+4),1,3)+WEEKDAY(DATE(YEAR(B47-WEEKDAY(B47-1)+4),1,3))+5)/7))</f>
        <v/>
      </c>
      <c r="D47" s="9" t="str">
        <f aca="false">IF(B47="","",B47-WEEKDAY(B47,2)+1)</f>
        <v/>
      </c>
      <c r="E47" s="10"/>
      <c r="F47" s="8"/>
      <c r="G47" s="11"/>
      <c r="H47" s="10"/>
      <c r="I47" s="11"/>
      <c r="J47" s="10"/>
      <c r="K47" s="10"/>
      <c r="L47" s="10"/>
      <c r="M47" s="11"/>
      <c r="N47" s="8"/>
      <c r="O47" s="7" t="str">
        <f aca="false">IF(L47="","",IFERROR(VLOOKUP(L47,Paramètres!$F$5:$G$8,2,FALSE()),""))</f>
        <v/>
      </c>
      <c r="P47" s="9" t="str">
        <f aca="false">IF(OR(B47="",O47=""),"",IF(N47="",B47,N47)+O47)</f>
        <v/>
      </c>
      <c r="Q47" s="10"/>
      <c r="R47" s="8"/>
      <c r="S47" s="7" t="str">
        <f aca="false">IF(OR(B47="",R47=""),"",R47-B47)</f>
        <v/>
      </c>
      <c r="T47" s="7" t="str">
        <f aca="true">IF(OR(B47="",P47=""),"",IF(R47&lt;&gt;"",IF(R47&gt;P47,"Traité hors délai","Non"),IF(Q47="Classé sans suite","Non",IF(TODAY()&gt;P47,"OUI","Non"))))</f>
        <v/>
      </c>
      <c r="U47" s="11"/>
    </row>
    <row r="48" customFormat="false" ht="15" hidden="false" customHeight="false" outlineLevel="0" collapsed="false">
      <c r="A48" s="7" t="str">
        <f aca="false">IF(B48="","",YEAR(B48)&amp;"/"&amp;TEXT(ROW()-4,"0000"))</f>
        <v/>
      </c>
      <c r="B48" s="8"/>
      <c r="C48" s="7" t="str">
        <f aca="false">IF(B48="","",INT((B48-DATE(YEAR(B48-WEEKDAY(B48-1)+4),1,3)+WEEKDAY(DATE(YEAR(B48-WEEKDAY(B48-1)+4),1,3))+5)/7))</f>
        <v/>
      </c>
      <c r="D48" s="9" t="str">
        <f aca="false">IF(B48="","",B48-WEEKDAY(B48,2)+1)</f>
        <v/>
      </c>
      <c r="E48" s="10"/>
      <c r="F48" s="8"/>
      <c r="G48" s="11"/>
      <c r="H48" s="10"/>
      <c r="I48" s="11"/>
      <c r="J48" s="10"/>
      <c r="K48" s="10"/>
      <c r="L48" s="10"/>
      <c r="M48" s="11"/>
      <c r="N48" s="8"/>
      <c r="O48" s="7" t="str">
        <f aca="false">IF(L48="","",IFERROR(VLOOKUP(L48,Paramètres!$F$5:$G$8,2,FALSE()),""))</f>
        <v/>
      </c>
      <c r="P48" s="9" t="str">
        <f aca="false">IF(OR(B48="",O48=""),"",IF(N48="",B48,N48)+O48)</f>
        <v/>
      </c>
      <c r="Q48" s="10"/>
      <c r="R48" s="8"/>
      <c r="S48" s="7" t="str">
        <f aca="false">IF(OR(B48="",R48=""),"",R48-B48)</f>
        <v/>
      </c>
      <c r="T48" s="7" t="str">
        <f aca="true">IF(OR(B48="",P48=""),"",IF(R48&lt;&gt;"",IF(R48&gt;P48,"Traité hors délai","Non"),IF(Q48="Classé sans suite","Non",IF(TODAY()&gt;P48,"OUI","Non"))))</f>
        <v/>
      </c>
      <c r="U48" s="11"/>
    </row>
    <row r="49" customFormat="false" ht="15" hidden="false" customHeight="false" outlineLevel="0" collapsed="false">
      <c r="A49" s="7" t="str">
        <f aca="false">IF(B49="","",YEAR(B49)&amp;"/"&amp;TEXT(ROW()-4,"0000"))</f>
        <v/>
      </c>
      <c r="B49" s="8"/>
      <c r="C49" s="7" t="str">
        <f aca="false">IF(B49="","",INT((B49-DATE(YEAR(B49-WEEKDAY(B49-1)+4),1,3)+WEEKDAY(DATE(YEAR(B49-WEEKDAY(B49-1)+4),1,3))+5)/7))</f>
        <v/>
      </c>
      <c r="D49" s="9" t="str">
        <f aca="false">IF(B49="","",B49-WEEKDAY(B49,2)+1)</f>
        <v/>
      </c>
      <c r="E49" s="10"/>
      <c r="F49" s="8"/>
      <c r="G49" s="11"/>
      <c r="H49" s="10"/>
      <c r="I49" s="11"/>
      <c r="J49" s="10"/>
      <c r="K49" s="10"/>
      <c r="L49" s="10"/>
      <c r="M49" s="11"/>
      <c r="N49" s="8"/>
      <c r="O49" s="7" t="str">
        <f aca="false">IF(L49="","",IFERROR(VLOOKUP(L49,Paramètres!$F$5:$G$8,2,FALSE()),""))</f>
        <v/>
      </c>
      <c r="P49" s="9" t="str">
        <f aca="false">IF(OR(B49="",O49=""),"",IF(N49="",B49,N49)+O49)</f>
        <v/>
      </c>
      <c r="Q49" s="10"/>
      <c r="R49" s="8"/>
      <c r="S49" s="7" t="str">
        <f aca="false">IF(OR(B49="",R49=""),"",R49-B49)</f>
        <v/>
      </c>
      <c r="T49" s="7" t="str">
        <f aca="true">IF(OR(B49="",P49=""),"",IF(R49&lt;&gt;"",IF(R49&gt;P49,"Traité hors délai","Non"),IF(Q49="Classé sans suite","Non",IF(TODAY()&gt;P49,"OUI","Non"))))</f>
        <v/>
      </c>
      <c r="U49" s="11"/>
    </row>
    <row r="50" customFormat="false" ht="15" hidden="false" customHeight="false" outlineLevel="0" collapsed="false">
      <c r="A50" s="7" t="str">
        <f aca="false">IF(B50="","",YEAR(B50)&amp;"/"&amp;TEXT(ROW()-4,"0000"))</f>
        <v/>
      </c>
      <c r="B50" s="8"/>
      <c r="C50" s="7" t="str">
        <f aca="false">IF(B50="","",INT((B50-DATE(YEAR(B50-WEEKDAY(B50-1)+4),1,3)+WEEKDAY(DATE(YEAR(B50-WEEKDAY(B50-1)+4),1,3))+5)/7))</f>
        <v/>
      </c>
      <c r="D50" s="9" t="str">
        <f aca="false">IF(B50="","",B50-WEEKDAY(B50,2)+1)</f>
        <v/>
      </c>
      <c r="E50" s="10"/>
      <c r="F50" s="8"/>
      <c r="G50" s="11"/>
      <c r="H50" s="10"/>
      <c r="I50" s="11"/>
      <c r="J50" s="10"/>
      <c r="K50" s="10"/>
      <c r="L50" s="10"/>
      <c r="M50" s="11"/>
      <c r="N50" s="8"/>
      <c r="O50" s="7" t="str">
        <f aca="false">IF(L50="","",IFERROR(VLOOKUP(L50,Paramètres!$F$5:$G$8,2,FALSE()),""))</f>
        <v/>
      </c>
      <c r="P50" s="9" t="str">
        <f aca="false">IF(OR(B50="",O50=""),"",IF(N50="",B50,N50)+O50)</f>
        <v/>
      </c>
      <c r="Q50" s="10"/>
      <c r="R50" s="8"/>
      <c r="S50" s="7" t="str">
        <f aca="false">IF(OR(B50="",R50=""),"",R50-B50)</f>
        <v/>
      </c>
      <c r="T50" s="7" t="str">
        <f aca="true">IF(OR(B50="",P50=""),"",IF(R50&lt;&gt;"",IF(R50&gt;P50,"Traité hors délai","Non"),IF(Q50="Classé sans suite","Non",IF(TODAY()&gt;P50,"OUI","Non"))))</f>
        <v/>
      </c>
      <c r="U50" s="11"/>
    </row>
    <row r="51" customFormat="false" ht="15" hidden="false" customHeight="false" outlineLevel="0" collapsed="false">
      <c r="A51" s="7" t="str">
        <f aca="false">IF(B51="","",YEAR(B51)&amp;"/"&amp;TEXT(ROW()-4,"0000"))</f>
        <v/>
      </c>
      <c r="B51" s="8"/>
      <c r="C51" s="7" t="str">
        <f aca="false">IF(B51="","",INT((B51-DATE(YEAR(B51-WEEKDAY(B51-1)+4),1,3)+WEEKDAY(DATE(YEAR(B51-WEEKDAY(B51-1)+4),1,3))+5)/7))</f>
        <v/>
      </c>
      <c r="D51" s="9" t="str">
        <f aca="false">IF(B51="","",B51-WEEKDAY(B51,2)+1)</f>
        <v/>
      </c>
      <c r="E51" s="10"/>
      <c r="F51" s="8"/>
      <c r="G51" s="11"/>
      <c r="H51" s="10"/>
      <c r="I51" s="11"/>
      <c r="J51" s="10"/>
      <c r="K51" s="10"/>
      <c r="L51" s="10"/>
      <c r="M51" s="11"/>
      <c r="N51" s="8"/>
      <c r="O51" s="7" t="str">
        <f aca="false">IF(L51="","",IFERROR(VLOOKUP(L51,Paramètres!$F$5:$G$8,2,FALSE()),""))</f>
        <v/>
      </c>
      <c r="P51" s="9" t="str">
        <f aca="false">IF(OR(B51="",O51=""),"",IF(N51="",B51,N51)+O51)</f>
        <v/>
      </c>
      <c r="Q51" s="10"/>
      <c r="R51" s="8"/>
      <c r="S51" s="7" t="str">
        <f aca="false">IF(OR(B51="",R51=""),"",R51-B51)</f>
        <v/>
      </c>
      <c r="T51" s="7" t="str">
        <f aca="true">IF(OR(B51="",P51=""),"",IF(R51&lt;&gt;"",IF(R51&gt;P51,"Traité hors délai","Non"),IF(Q51="Classé sans suite","Non",IF(TODAY()&gt;P51,"OUI","Non"))))</f>
        <v/>
      </c>
      <c r="U51" s="11"/>
    </row>
    <row r="52" customFormat="false" ht="15" hidden="false" customHeight="false" outlineLevel="0" collapsed="false">
      <c r="A52" s="7" t="str">
        <f aca="false">IF(B52="","",YEAR(B52)&amp;"/"&amp;TEXT(ROW()-4,"0000"))</f>
        <v/>
      </c>
      <c r="B52" s="8"/>
      <c r="C52" s="7" t="str">
        <f aca="false">IF(B52="","",INT((B52-DATE(YEAR(B52-WEEKDAY(B52-1)+4),1,3)+WEEKDAY(DATE(YEAR(B52-WEEKDAY(B52-1)+4),1,3))+5)/7))</f>
        <v/>
      </c>
      <c r="D52" s="9" t="str">
        <f aca="false">IF(B52="","",B52-WEEKDAY(B52,2)+1)</f>
        <v/>
      </c>
      <c r="E52" s="10"/>
      <c r="F52" s="8"/>
      <c r="G52" s="11"/>
      <c r="H52" s="10"/>
      <c r="I52" s="11"/>
      <c r="J52" s="10"/>
      <c r="K52" s="10"/>
      <c r="L52" s="10"/>
      <c r="M52" s="11"/>
      <c r="N52" s="8"/>
      <c r="O52" s="7" t="str">
        <f aca="false">IF(L52="","",IFERROR(VLOOKUP(L52,Paramètres!$F$5:$G$8,2,FALSE()),""))</f>
        <v/>
      </c>
      <c r="P52" s="9" t="str">
        <f aca="false">IF(OR(B52="",O52=""),"",IF(N52="",B52,N52)+O52)</f>
        <v/>
      </c>
      <c r="Q52" s="10"/>
      <c r="R52" s="8"/>
      <c r="S52" s="7" t="str">
        <f aca="false">IF(OR(B52="",R52=""),"",R52-B52)</f>
        <v/>
      </c>
      <c r="T52" s="7" t="str">
        <f aca="true">IF(OR(B52="",P52=""),"",IF(R52&lt;&gt;"",IF(R52&gt;P52,"Traité hors délai","Non"),IF(Q52="Classé sans suite","Non",IF(TODAY()&gt;P52,"OUI","Non"))))</f>
        <v/>
      </c>
      <c r="U52" s="11"/>
    </row>
    <row r="53" customFormat="false" ht="15" hidden="false" customHeight="false" outlineLevel="0" collapsed="false">
      <c r="A53" s="7" t="str">
        <f aca="false">IF(B53="","",YEAR(B53)&amp;"/"&amp;TEXT(ROW()-4,"0000"))</f>
        <v/>
      </c>
      <c r="B53" s="8"/>
      <c r="C53" s="7" t="str">
        <f aca="false">IF(B53="","",INT((B53-DATE(YEAR(B53-WEEKDAY(B53-1)+4),1,3)+WEEKDAY(DATE(YEAR(B53-WEEKDAY(B53-1)+4),1,3))+5)/7))</f>
        <v/>
      </c>
      <c r="D53" s="9" t="str">
        <f aca="false">IF(B53="","",B53-WEEKDAY(B53,2)+1)</f>
        <v/>
      </c>
      <c r="E53" s="10"/>
      <c r="F53" s="8"/>
      <c r="G53" s="11"/>
      <c r="H53" s="10"/>
      <c r="I53" s="11"/>
      <c r="J53" s="10"/>
      <c r="K53" s="10"/>
      <c r="L53" s="10"/>
      <c r="M53" s="11"/>
      <c r="N53" s="8"/>
      <c r="O53" s="7" t="str">
        <f aca="false">IF(L53="","",IFERROR(VLOOKUP(L53,Paramètres!$F$5:$G$8,2,FALSE()),""))</f>
        <v/>
      </c>
      <c r="P53" s="9" t="str">
        <f aca="false">IF(OR(B53="",O53=""),"",IF(N53="",B53,N53)+O53)</f>
        <v/>
      </c>
      <c r="Q53" s="10"/>
      <c r="R53" s="8"/>
      <c r="S53" s="7" t="str">
        <f aca="false">IF(OR(B53="",R53=""),"",R53-B53)</f>
        <v/>
      </c>
      <c r="T53" s="7" t="str">
        <f aca="true">IF(OR(B53="",P53=""),"",IF(R53&lt;&gt;"",IF(R53&gt;P53,"Traité hors délai","Non"),IF(Q53="Classé sans suite","Non",IF(TODAY()&gt;P53,"OUI","Non"))))</f>
        <v/>
      </c>
      <c r="U53" s="11"/>
    </row>
    <row r="54" customFormat="false" ht="15" hidden="false" customHeight="false" outlineLevel="0" collapsed="false">
      <c r="A54" s="7" t="str">
        <f aca="false">IF(B54="","",YEAR(B54)&amp;"/"&amp;TEXT(ROW()-4,"0000"))</f>
        <v/>
      </c>
      <c r="B54" s="8"/>
      <c r="C54" s="7" t="str">
        <f aca="false">IF(B54="","",INT((B54-DATE(YEAR(B54-WEEKDAY(B54-1)+4),1,3)+WEEKDAY(DATE(YEAR(B54-WEEKDAY(B54-1)+4),1,3))+5)/7))</f>
        <v/>
      </c>
      <c r="D54" s="9" t="str">
        <f aca="false">IF(B54="","",B54-WEEKDAY(B54,2)+1)</f>
        <v/>
      </c>
      <c r="E54" s="10"/>
      <c r="F54" s="8"/>
      <c r="G54" s="11"/>
      <c r="H54" s="10"/>
      <c r="I54" s="11"/>
      <c r="J54" s="10"/>
      <c r="K54" s="10"/>
      <c r="L54" s="10"/>
      <c r="M54" s="11"/>
      <c r="N54" s="8"/>
      <c r="O54" s="7" t="str">
        <f aca="false">IF(L54="","",IFERROR(VLOOKUP(L54,Paramètres!$F$5:$G$8,2,FALSE()),""))</f>
        <v/>
      </c>
      <c r="P54" s="9" t="str">
        <f aca="false">IF(OR(B54="",O54=""),"",IF(N54="",B54,N54)+O54)</f>
        <v/>
      </c>
      <c r="Q54" s="10"/>
      <c r="R54" s="8"/>
      <c r="S54" s="7" t="str">
        <f aca="false">IF(OR(B54="",R54=""),"",R54-B54)</f>
        <v/>
      </c>
      <c r="T54" s="7" t="str">
        <f aca="true">IF(OR(B54="",P54=""),"",IF(R54&lt;&gt;"",IF(R54&gt;P54,"Traité hors délai","Non"),IF(Q54="Classé sans suite","Non",IF(TODAY()&gt;P54,"OUI","Non"))))</f>
        <v/>
      </c>
      <c r="U54" s="11"/>
    </row>
    <row r="55" customFormat="false" ht="15" hidden="false" customHeight="false" outlineLevel="0" collapsed="false">
      <c r="A55" s="7" t="str">
        <f aca="false">IF(B55="","",YEAR(B55)&amp;"/"&amp;TEXT(ROW()-4,"0000"))</f>
        <v/>
      </c>
      <c r="B55" s="8"/>
      <c r="C55" s="7" t="str">
        <f aca="false">IF(B55="","",INT((B55-DATE(YEAR(B55-WEEKDAY(B55-1)+4),1,3)+WEEKDAY(DATE(YEAR(B55-WEEKDAY(B55-1)+4),1,3))+5)/7))</f>
        <v/>
      </c>
      <c r="D55" s="9" t="str">
        <f aca="false">IF(B55="","",B55-WEEKDAY(B55,2)+1)</f>
        <v/>
      </c>
      <c r="E55" s="10"/>
      <c r="F55" s="8"/>
      <c r="G55" s="11"/>
      <c r="H55" s="10"/>
      <c r="I55" s="11"/>
      <c r="J55" s="10"/>
      <c r="K55" s="10"/>
      <c r="L55" s="10"/>
      <c r="M55" s="11"/>
      <c r="N55" s="8"/>
      <c r="O55" s="7" t="str">
        <f aca="false">IF(L55="","",IFERROR(VLOOKUP(L55,Paramètres!$F$5:$G$8,2,FALSE()),""))</f>
        <v/>
      </c>
      <c r="P55" s="9" t="str">
        <f aca="false">IF(OR(B55="",O55=""),"",IF(N55="",B55,N55)+O55)</f>
        <v/>
      </c>
      <c r="Q55" s="10"/>
      <c r="R55" s="8"/>
      <c r="S55" s="7" t="str">
        <f aca="false">IF(OR(B55="",R55=""),"",R55-B55)</f>
        <v/>
      </c>
      <c r="T55" s="7" t="str">
        <f aca="true">IF(OR(B55="",P55=""),"",IF(R55&lt;&gt;"",IF(R55&gt;P55,"Traité hors délai","Non"),IF(Q55="Classé sans suite","Non",IF(TODAY()&gt;P55,"OUI","Non"))))</f>
        <v/>
      </c>
      <c r="U55" s="11"/>
    </row>
    <row r="56" customFormat="false" ht="15" hidden="false" customHeight="false" outlineLevel="0" collapsed="false">
      <c r="A56" s="7" t="str">
        <f aca="false">IF(B56="","",YEAR(B56)&amp;"/"&amp;TEXT(ROW()-4,"0000"))</f>
        <v/>
      </c>
      <c r="B56" s="8"/>
      <c r="C56" s="7" t="str">
        <f aca="false">IF(B56="","",INT((B56-DATE(YEAR(B56-WEEKDAY(B56-1)+4),1,3)+WEEKDAY(DATE(YEAR(B56-WEEKDAY(B56-1)+4),1,3))+5)/7))</f>
        <v/>
      </c>
      <c r="D56" s="9" t="str">
        <f aca="false">IF(B56="","",B56-WEEKDAY(B56,2)+1)</f>
        <v/>
      </c>
      <c r="E56" s="10"/>
      <c r="F56" s="8"/>
      <c r="G56" s="11"/>
      <c r="H56" s="10"/>
      <c r="I56" s="11"/>
      <c r="J56" s="10"/>
      <c r="K56" s="10"/>
      <c r="L56" s="10"/>
      <c r="M56" s="11"/>
      <c r="N56" s="8"/>
      <c r="O56" s="7" t="str">
        <f aca="false">IF(L56="","",IFERROR(VLOOKUP(L56,Paramètres!$F$5:$G$8,2,FALSE()),""))</f>
        <v/>
      </c>
      <c r="P56" s="9" t="str">
        <f aca="false">IF(OR(B56="",O56=""),"",IF(N56="",B56,N56)+O56)</f>
        <v/>
      </c>
      <c r="Q56" s="10"/>
      <c r="R56" s="8"/>
      <c r="S56" s="7" t="str">
        <f aca="false">IF(OR(B56="",R56=""),"",R56-B56)</f>
        <v/>
      </c>
      <c r="T56" s="7" t="str">
        <f aca="true">IF(OR(B56="",P56=""),"",IF(R56&lt;&gt;"",IF(R56&gt;P56,"Traité hors délai","Non"),IF(Q56="Classé sans suite","Non",IF(TODAY()&gt;P56,"OUI","Non"))))</f>
        <v/>
      </c>
      <c r="U56" s="11"/>
    </row>
    <row r="57" customFormat="false" ht="15" hidden="false" customHeight="false" outlineLevel="0" collapsed="false">
      <c r="A57" s="7" t="str">
        <f aca="false">IF(B57="","",YEAR(B57)&amp;"/"&amp;TEXT(ROW()-4,"0000"))</f>
        <v/>
      </c>
      <c r="B57" s="8"/>
      <c r="C57" s="7" t="str">
        <f aca="false">IF(B57="","",INT((B57-DATE(YEAR(B57-WEEKDAY(B57-1)+4),1,3)+WEEKDAY(DATE(YEAR(B57-WEEKDAY(B57-1)+4),1,3))+5)/7))</f>
        <v/>
      </c>
      <c r="D57" s="9" t="str">
        <f aca="false">IF(B57="","",B57-WEEKDAY(B57,2)+1)</f>
        <v/>
      </c>
      <c r="E57" s="10"/>
      <c r="F57" s="8"/>
      <c r="G57" s="11"/>
      <c r="H57" s="10"/>
      <c r="I57" s="11"/>
      <c r="J57" s="10"/>
      <c r="K57" s="10"/>
      <c r="L57" s="10"/>
      <c r="M57" s="11"/>
      <c r="N57" s="8"/>
      <c r="O57" s="7" t="str">
        <f aca="false">IF(L57="","",IFERROR(VLOOKUP(L57,Paramètres!$F$5:$G$8,2,FALSE()),""))</f>
        <v/>
      </c>
      <c r="P57" s="9" t="str">
        <f aca="false">IF(OR(B57="",O57=""),"",IF(N57="",B57,N57)+O57)</f>
        <v/>
      </c>
      <c r="Q57" s="10"/>
      <c r="R57" s="8"/>
      <c r="S57" s="7" t="str">
        <f aca="false">IF(OR(B57="",R57=""),"",R57-B57)</f>
        <v/>
      </c>
      <c r="T57" s="7" t="str">
        <f aca="true">IF(OR(B57="",P57=""),"",IF(R57&lt;&gt;"",IF(R57&gt;P57,"Traité hors délai","Non"),IF(Q57="Classé sans suite","Non",IF(TODAY()&gt;P57,"OUI","Non"))))</f>
        <v/>
      </c>
      <c r="U57" s="11"/>
    </row>
    <row r="58" customFormat="false" ht="15" hidden="false" customHeight="false" outlineLevel="0" collapsed="false">
      <c r="A58" s="7" t="str">
        <f aca="false">IF(B58="","",YEAR(B58)&amp;"/"&amp;TEXT(ROW()-4,"0000"))</f>
        <v/>
      </c>
      <c r="B58" s="8"/>
      <c r="C58" s="7" t="str">
        <f aca="false">IF(B58="","",INT((B58-DATE(YEAR(B58-WEEKDAY(B58-1)+4),1,3)+WEEKDAY(DATE(YEAR(B58-WEEKDAY(B58-1)+4),1,3))+5)/7))</f>
        <v/>
      </c>
      <c r="D58" s="9" t="str">
        <f aca="false">IF(B58="","",B58-WEEKDAY(B58,2)+1)</f>
        <v/>
      </c>
      <c r="E58" s="10"/>
      <c r="F58" s="8"/>
      <c r="G58" s="11"/>
      <c r="H58" s="10"/>
      <c r="I58" s="11"/>
      <c r="J58" s="10"/>
      <c r="K58" s="10"/>
      <c r="L58" s="10"/>
      <c r="M58" s="11"/>
      <c r="N58" s="8"/>
      <c r="O58" s="7" t="str">
        <f aca="false">IF(L58="","",IFERROR(VLOOKUP(L58,Paramètres!$F$5:$G$8,2,FALSE()),""))</f>
        <v/>
      </c>
      <c r="P58" s="9" t="str">
        <f aca="false">IF(OR(B58="",O58=""),"",IF(N58="",B58,N58)+O58)</f>
        <v/>
      </c>
      <c r="Q58" s="10"/>
      <c r="R58" s="8"/>
      <c r="S58" s="7" t="str">
        <f aca="false">IF(OR(B58="",R58=""),"",R58-B58)</f>
        <v/>
      </c>
      <c r="T58" s="7" t="str">
        <f aca="true">IF(OR(B58="",P58=""),"",IF(R58&lt;&gt;"",IF(R58&gt;P58,"Traité hors délai","Non"),IF(Q58="Classé sans suite","Non",IF(TODAY()&gt;P58,"OUI","Non"))))</f>
        <v/>
      </c>
      <c r="U58" s="11"/>
    </row>
    <row r="59" customFormat="false" ht="15" hidden="false" customHeight="false" outlineLevel="0" collapsed="false">
      <c r="A59" s="7" t="str">
        <f aca="false">IF(B59="","",YEAR(B59)&amp;"/"&amp;TEXT(ROW()-4,"0000"))</f>
        <v/>
      </c>
      <c r="B59" s="8"/>
      <c r="C59" s="7" t="str">
        <f aca="false">IF(B59="","",INT((B59-DATE(YEAR(B59-WEEKDAY(B59-1)+4),1,3)+WEEKDAY(DATE(YEAR(B59-WEEKDAY(B59-1)+4),1,3))+5)/7))</f>
        <v/>
      </c>
      <c r="D59" s="9" t="str">
        <f aca="false">IF(B59="","",B59-WEEKDAY(B59,2)+1)</f>
        <v/>
      </c>
      <c r="E59" s="10"/>
      <c r="F59" s="8"/>
      <c r="G59" s="11"/>
      <c r="H59" s="10"/>
      <c r="I59" s="11"/>
      <c r="J59" s="10"/>
      <c r="K59" s="10"/>
      <c r="L59" s="10"/>
      <c r="M59" s="11"/>
      <c r="N59" s="8"/>
      <c r="O59" s="7" t="str">
        <f aca="false">IF(L59="","",IFERROR(VLOOKUP(L59,Paramètres!$F$5:$G$8,2,FALSE()),""))</f>
        <v/>
      </c>
      <c r="P59" s="9" t="str">
        <f aca="false">IF(OR(B59="",O59=""),"",IF(N59="",B59,N59)+O59)</f>
        <v/>
      </c>
      <c r="Q59" s="10"/>
      <c r="R59" s="8"/>
      <c r="S59" s="7" t="str">
        <f aca="false">IF(OR(B59="",R59=""),"",R59-B59)</f>
        <v/>
      </c>
      <c r="T59" s="7" t="str">
        <f aca="true">IF(OR(B59="",P59=""),"",IF(R59&lt;&gt;"",IF(R59&gt;P59,"Traité hors délai","Non"),IF(Q59="Classé sans suite","Non",IF(TODAY()&gt;P59,"OUI","Non"))))</f>
        <v/>
      </c>
      <c r="U59" s="11"/>
    </row>
    <row r="60" customFormat="false" ht="15" hidden="false" customHeight="false" outlineLevel="0" collapsed="false">
      <c r="A60" s="7" t="str">
        <f aca="false">IF(B60="","",YEAR(B60)&amp;"/"&amp;TEXT(ROW()-4,"0000"))</f>
        <v/>
      </c>
      <c r="B60" s="8"/>
      <c r="C60" s="7" t="str">
        <f aca="false">IF(B60="","",INT((B60-DATE(YEAR(B60-WEEKDAY(B60-1)+4),1,3)+WEEKDAY(DATE(YEAR(B60-WEEKDAY(B60-1)+4),1,3))+5)/7))</f>
        <v/>
      </c>
      <c r="D60" s="9" t="str">
        <f aca="false">IF(B60="","",B60-WEEKDAY(B60,2)+1)</f>
        <v/>
      </c>
      <c r="E60" s="10"/>
      <c r="F60" s="8"/>
      <c r="G60" s="11"/>
      <c r="H60" s="10"/>
      <c r="I60" s="11"/>
      <c r="J60" s="10"/>
      <c r="K60" s="10"/>
      <c r="L60" s="10"/>
      <c r="M60" s="11"/>
      <c r="N60" s="8"/>
      <c r="O60" s="7" t="str">
        <f aca="false">IF(L60="","",IFERROR(VLOOKUP(L60,Paramètres!$F$5:$G$8,2,FALSE()),""))</f>
        <v/>
      </c>
      <c r="P60" s="9" t="str">
        <f aca="false">IF(OR(B60="",O60=""),"",IF(N60="",B60,N60)+O60)</f>
        <v/>
      </c>
      <c r="Q60" s="10"/>
      <c r="R60" s="8"/>
      <c r="S60" s="7" t="str">
        <f aca="false">IF(OR(B60="",R60=""),"",R60-B60)</f>
        <v/>
      </c>
      <c r="T60" s="7" t="str">
        <f aca="true">IF(OR(B60="",P60=""),"",IF(R60&lt;&gt;"",IF(R60&gt;P60,"Traité hors délai","Non"),IF(Q60="Classé sans suite","Non",IF(TODAY()&gt;P60,"OUI","Non"))))</f>
        <v/>
      </c>
      <c r="U60" s="11"/>
    </row>
    <row r="61" customFormat="false" ht="15" hidden="false" customHeight="false" outlineLevel="0" collapsed="false">
      <c r="A61" s="7" t="str">
        <f aca="false">IF(B61="","",YEAR(B61)&amp;"/"&amp;TEXT(ROW()-4,"0000"))</f>
        <v/>
      </c>
      <c r="B61" s="8"/>
      <c r="C61" s="7" t="str">
        <f aca="false">IF(B61="","",INT((B61-DATE(YEAR(B61-WEEKDAY(B61-1)+4),1,3)+WEEKDAY(DATE(YEAR(B61-WEEKDAY(B61-1)+4),1,3))+5)/7))</f>
        <v/>
      </c>
      <c r="D61" s="9" t="str">
        <f aca="false">IF(B61="","",B61-WEEKDAY(B61,2)+1)</f>
        <v/>
      </c>
      <c r="E61" s="10"/>
      <c r="F61" s="8"/>
      <c r="G61" s="11"/>
      <c r="H61" s="10"/>
      <c r="I61" s="11"/>
      <c r="J61" s="10"/>
      <c r="K61" s="10"/>
      <c r="L61" s="10"/>
      <c r="M61" s="11"/>
      <c r="N61" s="8"/>
      <c r="O61" s="7" t="str">
        <f aca="false">IF(L61="","",IFERROR(VLOOKUP(L61,Paramètres!$F$5:$G$8,2,FALSE()),""))</f>
        <v/>
      </c>
      <c r="P61" s="9" t="str">
        <f aca="false">IF(OR(B61="",O61=""),"",IF(N61="",B61,N61)+O61)</f>
        <v/>
      </c>
      <c r="Q61" s="10"/>
      <c r="R61" s="8"/>
      <c r="S61" s="7" t="str">
        <f aca="false">IF(OR(B61="",R61=""),"",R61-B61)</f>
        <v/>
      </c>
      <c r="T61" s="7" t="str">
        <f aca="true">IF(OR(B61="",P61=""),"",IF(R61&lt;&gt;"",IF(R61&gt;P61,"Traité hors délai","Non"),IF(Q61="Classé sans suite","Non",IF(TODAY()&gt;P61,"OUI","Non"))))</f>
        <v/>
      </c>
      <c r="U61" s="11"/>
    </row>
    <row r="62" customFormat="false" ht="15" hidden="false" customHeight="false" outlineLevel="0" collapsed="false">
      <c r="A62" s="7" t="str">
        <f aca="false">IF(B62="","",YEAR(B62)&amp;"/"&amp;TEXT(ROW()-4,"0000"))</f>
        <v/>
      </c>
      <c r="B62" s="8"/>
      <c r="C62" s="7" t="str">
        <f aca="false">IF(B62="","",INT((B62-DATE(YEAR(B62-WEEKDAY(B62-1)+4),1,3)+WEEKDAY(DATE(YEAR(B62-WEEKDAY(B62-1)+4),1,3))+5)/7))</f>
        <v/>
      </c>
      <c r="D62" s="9" t="str">
        <f aca="false">IF(B62="","",B62-WEEKDAY(B62,2)+1)</f>
        <v/>
      </c>
      <c r="E62" s="10"/>
      <c r="F62" s="8"/>
      <c r="G62" s="11"/>
      <c r="H62" s="10"/>
      <c r="I62" s="11"/>
      <c r="J62" s="10"/>
      <c r="K62" s="10"/>
      <c r="L62" s="10"/>
      <c r="M62" s="11"/>
      <c r="N62" s="8"/>
      <c r="O62" s="7" t="str">
        <f aca="false">IF(L62="","",IFERROR(VLOOKUP(L62,Paramètres!$F$5:$G$8,2,FALSE()),""))</f>
        <v/>
      </c>
      <c r="P62" s="9" t="str">
        <f aca="false">IF(OR(B62="",O62=""),"",IF(N62="",B62,N62)+O62)</f>
        <v/>
      </c>
      <c r="Q62" s="10"/>
      <c r="R62" s="8"/>
      <c r="S62" s="7" t="str">
        <f aca="false">IF(OR(B62="",R62=""),"",R62-B62)</f>
        <v/>
      </c>
      <c r="T62" s="7" t="str">
        <f aca="true">IF(OR(B62="",P62=""),"",IF(R62&lt;&gt;"",IF(R62&gt;P62,"Traité hors délai","Non"),IF(Q62="Classé sans suite","Non",IF(TODAY()&gt;P62,"OUI","Non"))))</f>
        <v/>
      </c>
      <c r="U62" s="11"/>
    </row>
    <row r="63" customFormat="false" ht="15" hidden="false" customHeight="false" outlineLevel="0" collapsed="false">
      <c r="A63" s="7" t="str">
        <f aca="false">IF(B63="","",YEAR(B63)&amp;"/"&amp;TEXT(ROW()-4,"0000"))</f>
        <v/>
      </c>
      <c r="B63" s="8"/>
      <c r="C63" s="7" t="str">
        <f aca="false">IF(B63="","",INT((B63-DATE(YEAR(B63-WEEKDAY(B63-1)+4),1,3)+WEEKDAY(DATE(YEAR(B63-WEEKDAY(B63-1)+4),1,3))+5)/7))</f>
        <v/>
      </c>
      <c r="D63" s="9" t="str">
        <f aca="false">IF(B63="","",B63-WEEKDAY(B63,2)+1)</f>
        <v/>
      </c>
      <c r="E63" s="10"/>
      <c r="F63" s="8"/>
      <c r="G63" s="11"/>
      <c r="H63" s="10"/>
      <c r="I63" s="11"/>
      <c r="J63" s="10"/>
      <c r="K63" s="10"/>
      <c r="L63" s="10"/>
      <c r="M63" s="11"/>
      <c r="N63" s="8"/>
      <c r="O63" s="7" t="str">
        <f aca="false">IF(L63="","",IFERROR(VLOOKUP(L63,Paramètres!$F$5:$G$8,2,FALSE()),""))</f>
        <v/>
      </c>
      <c r="P63" s="9" t="str">
        <f aca="false">IF(OR(B63="",O63=""),"",IF(N63="",B63,N63)+O63)</f>
        <v/>
      </c>
      <c r="Q63" s="10"/>
      <c r="R63" s="8"/>
      <c r="S63" s="7" t="str">
        <f aca="false">IF(OR(B63="",R63=""),"",R63-B63)</f>
        <v/>
      </c>
      <c r="T63" s="7" t="str">
        <f aca="true">IF(OR(B63="",P63=""),"",IF(R63&lt;&gt;"",IF(R63&gt;P63,"Traité hors délai","Non"),IF(Q63="Classé sans suite","Non",IF(TODAY()&gt;P63,"OUI","Non"))))</f>
        <v/>
      </c>
      <c r="U63" s="11"/>
    </row>
    <row r="64" customFormat="false" ht="15" hidden="false" customHeight="false" outlineLevel="0" collapsed="false">
      <c r="A64" s="7" t="str">
        <f aca="false">IF(B64="","",YEAR(B64)&amp;"/"&amp;TEXT(ROW()-4,"0000"))</f>
        <v/>
      </c>
      <c r="B64" s="8"/>
      <c r="C64" s="7" t="str">
        <f aca="false">IF(B64="","",INT((B64-DATE(YEAR(B64-WEEKDAY(B64-1)+4),1,3)+WEEKDAY(DATE(YEAR(B64-WEEKDAY(B64-1)+4),1,3))+5)/7))</f>
        <v/>
      </c>
      <c r="D64" s="9" t="str">
        <f aca="false">IF(B64="","",B64-WEEKDAY(B64,2)+1)</f>
        <v/>
      </c>
      <c r="E64" s="10"/>
      <c r="F64" s="8"/>
      <c r="G64" s="11"/>
      <c r="H64" s="10"/>
      <c r="I64" s="11"/>
      <c r="J64" s="10"/>
      <c r="K64" s="10"/>
      <c r="L64" s="10"/>
      <c r="M64" s="11"/>
      <c r="N64" s="8"/>
      <c r="O64" s="7" t="str">
        <f aca="false">IF(L64="","",IFERROR(VLOOKUP(L64,Paramètres!$F$5:$G$8,2,FALSE()),""))</f>
        <v/>
      </c>
      <c r="P64" s="9" t="str">
        <f aca="false">IF(OR(B64="",O64=""),"",IF(N64="",B64,N64)+O64)</f>
        <v/>
      </c>
      <c r="Q64" s="10"/>
      <c r="R64" s="8"/>
      <c r="S64" s="7" t="str">
        <f aca="false">IF(OR(B64="",R64=""),"",R64-B64)</f>
        <v/>
      </c>
      <c r="T64" s="7" t="str">
        <f aca="true">IF(OR(B64="",P64=""),"",IF(R64&lt;&gt;"",IF(R64&gt;P64,"Traité hors délai","Non"),IF(Q64="Classé sans suite","Non",IF(TODAY()&gt;P64,"OUI","Non"))))</f>
        <v/>
      </c>
      <c r="U64" s="11"/>
    </row>
    <row r="65" customFormat="false" ht="15" hidden="false" customHeight="false" outlineLevel="0" collapsed="false">
      <c r="A65" s="7" t="str">
        <f aca="false">IF(B65="","",YEAR(B65)&amp;"/"&amp;TEXT(ROW()-4,"0000"))</f>
        <v/>
      </c>
      <c r="B65" s="8"/>
      <c r="C65" s="7" t="str">
        <f aca="false">IF(B65="","",INT((B65-DATE(YEAR(B65-WEEKDAY(B65-1)+4),1,3)+WEEKDAY(DATE(YEAR(B65-WEEKDAY(B65-1)+4),1,3))+5)/7))</f>
        <v/>
      </c>
      <c r="D65" s="9" t="str">
        <f aca="false">IF(B65="","",B65-WEEKDAY(B65,2)+1)</f>
        <v/>
      </c>
      <c r="E65" s="10"/>
      <c r="F65" s="8"/>
      <c r="G65" s="11"/>
      <c r="H65" s="10"/>
      <c r="I65" s="11"/>
      <c r="J65" s="10"/>
      <c r="K65" s="10"/>
      <c r="L65" s="10"/>
      <c r="M65" s="11"/>
      <c r="N65" s="8"/>
      <c r="O65" s="7" t="str">
        <f aca="false">IF(L65="","",IFERROR(VLOOKUP(L65,Paramètres!$F$5:$G$8,2,FALSE()),""))</f>
        <v/>
      </c>
      <c r="P65" s="9" t="str">
        <f aca="false">IF(OR(B65="",O65=""),"",IF(N65="",B65,N65)+O65)</f>
        <v/>
      </c>
      <c r="Q65" s="10"/>
      <c r="R65" s="8"/>
      <c r="S65" s="7" t="str">
        <f aca="false">IF(OR(B65="",R65=""),"",R65-B65)</f>
        <v/>
      </c>
      <c r="T65" s="7" t="str">
        <f aca="true">IF(OR(B65="",P65=""),"",IF(R65&lt;&gt;"",IF(R65&gt;P65,"Traité hors délai","Non"),IF(Q65="Classé sans suite","Non",IF(TODAY()&gt;P65,"OUI","Non"))))</f>
        <v/>
      </c>
      <c r="U65" s="11"/>
    </row>
    <row r="66" customFormat="false" ht="15" hidden="false" customHeight="false" outlineLevel="0" collapsed="false">
      <c r="A66" s="7" t="str">
        <f aca="false">IF(B66="","",YEAR(B66)&amp;"/"&amp;TEXT(ROW()-4,"0000"))</f>
        <v/>
      </c>
      <c r="B66" s="8"/>
      <c r="C66" s="7" t="str">
        <f aca="false">IF(B66="","",INT((B66-DATE(YEAR(B66-WEEKDAY(B66-1)+4),1,3)+WEEKDAY(DATE(YEAR(B66-WEEKDAY(B66-1)+4),1,3))+5)/7))</f>
        <v/>
      </c>
      <c r="D66" s="9" t="str">
        <f aca="false">IF(B66="","",B66-WEEKDAY(B66,2)+1)</f>
        <v/>
      </c>
      <c r="E66" s="10"/>
      <c r="F66" s="8"/>
      <c r="G66" s="11"/>
      <c r="H66" s="10"/>
      <c r="I66" s="11"/>
      <c r="J66" s="10"/>
      <c r="K66" s="10"/>
      <c r="L66" s="10"/>
      <c r="M66" s="11"/>
      <c r="N66" s="8"/>
      <c r="O66" s="7" t="str">
        <f aca="false">IF(L66="","",IFERROR(VLOOKUP(L66,Paramètres!$F$5:$G$8,2,FALSE()),""))</f>
        <v/>
      </c>
      <c r="P66" s="9" t="str">
        <f aca="false">IF(OR(B66="",O66=""),"",IF(N66="",B66,N66)+O66)</f>
        <v/>
      </c>
      <c r="Q66" s="10"/>
      <c r="R66" s="8"/>
      <c r="S66" s="7" t="str">
        <f aca="false">IF(OR(B66="",R66=""),"",R66-B66)</f>
        <v/>
      </c>
      <c r="T66" s="7" t="str">
        <f aca="true">IF(OR(B66="",P66=""),"",IF(R66&lt;&gt;"",IF(R66&gt;P66,"Traité hors délai","Non"),IF(Q66="Classé sans suite","Non",IF(TODAY()&gt;P66,"OUI","Non"))))</f>
        <v/>
      </c>
      <c r="U66" s="11"/>
    </row>
    <row r="67" customFormat="false" ht="15" hidden="false" customHeight="false" outlineLevel="0" collapsed="false">
      <c r="A67" s="7" t="str">
        <f aca="false">IF(B67="","",YEAR(B67)&amp;"/"&amp;TEXT(ROW()-4,"0000"))</f>
        <v/>
      </c>
      <c r="B67" s="8"/>
      <c r="C67" s="7" t="str">
        <f aca="false">IF(B67="","",INT((B67-DATE(YEAR(B67-WEEKDAY(B67-1)+4),1,3)+WEEKDAY(DATE(YEAR(B67-WEEKDAY(B67-1)+4),1,3))+5)/7))</f>
        <v/>
      </c>
      <c r="D67" s="9" t="str">
        <f aca="false">IF(B67="","",B67-WEEKDAY(B67,2)+1)</f>
        <v/>
      </c>
      <c r="E67" s="10"/>
      <c r="F67" s="8"/>
      <c r="G67" s="11"/>
      <c r="H67" s="10"/>
      <c r="I67" s="11"/>
      <c r="J67" s="10"/>
      <c r="K67" s="10"/>
      <c r="L67" s="10"/>
      <c r="M67" s="11"/>
      <c r="N67" s="8"/>
      <c r="O67" s="7" t="str">
        <f aca="false">IF(L67="","",IFERROR(VLOOKUP(L67,Paramètres!$F$5:$G$8,2,FALSE()),""))</f>
        <v/>
      </c>
      <c r="P67" s="9" t="str">
        <f aca="false">IF(OR(B67="",O67=""),"",IF(N67="",B67,N67)+O67)</f>
        <v/>
      </c>
      <c r="Q67" s="10"/>
      <c r="R67" s="8"/>
      <c r="S67" s="7" t="str">
        <f aca="false">IF(OR(B67="",R67=""),"",R67-B67)</f>
        <v/>
      </c>
      <c r="T67" s="7" t="str">
        <f aca="true">IF(OR(B67="",P67=""),"",IF(R67&lt;&gt;"",IF(R67&gt;P67,"Traité hors délai","Non"),IF(Q67="Classé sans suite","Non",IF(TODAY()&gt;P67,"OUI","Non"))))</f>
        <v/>
      </c>
      <c r="U67" s="11"/>
    </row>
    <row r="68" customFormat="false" ht="15" hidden="false" customHeight="false" outlineLevel="0" collapsed="false">
      <c r="A68" s="7" t="str">
        <f aca="false">IF(B68="","",YEAR(B68)&amp;"/"&amp;TEXT(ROW()-4,"0000"))</f>
        <v/>
      </c>
      <c r="B68" s="8"/>
      <c r="C68" s="7" t="str">
        <f aca="false">IF(B68="","",INT((B68-DATE(YEAR(B68-WEEKDAY(B68-1)+4),1,3)+WEEKDAY(DATE(YEAR(B68-WEEKDAY(B68-1)+4),1,3))+5)/7))</f>
        <v/>
      </c>
      <c r="D68" s="9" t="str">
        <f aca="false">IF(B68="","",B68-WEEKDAY(B68,2)+1)</f>
        <v/>
      </c>
      <c r="E68" s="10"/>
      <c r="F68" s="8"/>
      <c r="G68" s="11"/>
      <c r="H68" s="10"/>
      <c r="I68" s="11"/>
      <c r="J68" s="10"/>
      <c r="K68" s="10"/>
      <c r="L68" s="10"/>
      <c r="M68" s="11"/>
      <c r="N68" s="8"/>
      <c r="O68" s="7" t="str">
        <f aca="false">IF(L68="","",IFERROR(VLOOKUP(L68,Paramètres!$F$5:$G$8,2,FALSE()),""))</f>
        <v/>
      </c>
      <c r="P68" s="9" t="str">
        <f aca="false">IF(OR(B68="",O68=""),"",IF(N68="",B68,N68)+O68)</f>
        <v/>
      </c>
      <c r="Q68" s="10"/>
      <c r="R68" s="8"/>
      <c r="S68" s="7" t="str">
        <f aca="false">IF(OR(B68="",R68=""),"",R68-B68)</f>
        <v/>
      </c>
      <c r="T68" s="7" t="str">
        <f aca="true">IF(OR(B68="",P68=""),"",IF(R68&lt;&gt;"",IF(R68&gt;P68,"Traité hors délai","Non"),IF(Q68="Classé sans suite","Non",IF(TODAY()&gt;P68,"OUI","Non"))))</f>
        <v/>
      </c>
      <c r="U68" s="11"/>
    </row>
    <row r="69" customFormat="false" ht="15" hidden="false" customHeight="false" outlineLevel="0" collapsed="false">
      <c r="A69" s="7" t="str">
        <f aca="false">IF(B69="","",YEAR(B69)&amp;"/"&amp;TEXT(ROW()-4,"0000"))</f>
        <v/>
      </c>
      <c r="B69" s="8"/>
      <c r="C69" s="7" t="str">
        <f aca="false">IF(B69="","",INT((B69-DATE(YEAR(B69-WEEKDAY(B69-1)+4),1,3)+WEEKDAY(DATE(YEAR(B69-WEEKDAY(B69-1)+4),1,3))+5)/7))</f>
        <v/>
      </c>
      <c r="D69" s="9" t="str">
        <f aca="false">IF(B69="","",B69-WEEKDAY(B69,2)+1)</f>
        <v/>
      </c>
      <c r="E69" s="10"/>
      <c r="F69" s="8"/>
      <c r="G69" s="11"/>
      <c r="H69" s="10"/>
      <c r="I69" s="11"/>
      <c r="J69" s="10"/>
      <c r="K69" s="10"/>
      <c r="L69" s="10"/>
      <c r="M69" s="11"/>
      <c r="N69" s="8"/>
      <c r="O69" s="7" t="str">
        <f aca="false">IF(L69="","",IFERROR(VLOOKUP(L69,Paramètres!$F$5:$G$8,2,FALSE()),""))</f>
        <v/>
      </c>
      <c r="P69" s="9" t="str">
        <f aca="false">IF(OR(B69="",O69=""),"",IF(N69="",B69,N69)+O69)</f>
        <v/>
      </c>
      <c r="Q69" s="10"/>
      <c r="R69" s="8"/>
      <c r="S69" s="7" t="str">
        <f aca="false">IF(OR(B69="",R69=""),"",R69-B69)</f>
        <v/>
      </c>
      <c r="T69" s="7" t="str">
        <f aca="true">IF(OR(B69="",P69=""),"",IF(R69&lt;&gt;"",IF(R69&gt;P69,"Traité hors délai","Non"),IF(Q69="Classé sans suite","Non",IF(TODAY()&gt;P69,"OUI","Non"))))</f>
        <v/>
      </c>
      <c r="U69" s="11"/>
    </row>
    <row r="70" customFormat="false" ht="15" hidden="false" customHeight="false" outlineLevel="0" collapsed="false">
      <c r="A70" s="7" t="str">
        <f aca="false">IF(B70="","",YEAR(B70)&amp;"/"&amp;TEXT(ROW()-4,"0000"))</f>
        <v/>
      </c>
      <c r="B70" s="8"/>
      <c r="C70" s="7" t="str">
        <f aca="false">IF(B70="","",INT((B70-DATE(YEAR(B70-WEEKDAY(B70-1)+4),1,3)+WEEKDAY(DATE(YEAR(B70-WEEKDAY(B70-1)+4),1,3))+5)/7))</f>
        <v/>
      </c>
      <c r="D70" s="9" t="str">
        <f aca="false">IF(B70="","",B70-WEEKDAY(B70,2)+1)</f>
        <v/>
      </c>
      <c r="E70" s="10"/>
      <c r="F70" s="8"/>
      <c r="G70" s="11"/>
      <c r="H70" s="10"/>
      <c r="I70" s="11"/>
      <c r="J70" s="10"/>
      <c r="K70" s="10"/>
      <c r="L70" s="10"/>
      <c r="M70" s="11"/>
      <c r="N70" s="8"/>
      <c r="O70" s="7" t="str">
        <f aca="false">IF(L70="","",IFERROR(VLOOKUP(L70,Paramètres!$F$5:$G$8,2,FALSE()),""))</f>
        <v/>
      </c>
      <c r="P70" s="9" t="str">
        <f aca="false">IF(OR(B70="",O70=""),"",IF(N70="",B70,N70)+O70)</f>
        <v/>
      </c>
      <c r="Q70" s="10"/>
      <c r="R70" s="8"/>
      <c r="S70" s="7" t="str">
        <f aca="false">IF(OR(B70="",R70=""),"",R70-B70)</f>
        <v/>
      </c>
      <c r="T70" s="7" t="str">
        <f aca="true">IF(OR(B70="",P70=""),"",IF(R70&lt;&gt;"",IF(R70&gt;P70,"Traité hors délai","Non"),IF(Q70="Classé sans suite","Non",IF(TODAY()&gt;P70,"OUI","Non"))))</f>
        <v/>
      </c>
      <c r="U70" s="11"/>
    </row>
    <row r="71" customFormat="false" ht="15" hidden="false" customHeight="false" outlineLevel="0" collapsed="false">
      <c r="A71" s="7" t="str">
        <f aca="false">IF(B71="","",YEAR(B71)&amp;"/"&amp;TEXT(ROW()-4,"0000"))</f>
        <v/>
      </c>
      <c r="B71" s="8"/>
      <c r="C71" s="7" t="str">
        <f aca="false">IF(B71="","",INT((B71-DATE(YEAR(B71-WEEKDAY(B71-1)+4),1,3)+WEEKDAY(DATE(YEAR(B71-WEEKDAY(B71-1)+4),1,3))+5)/7))</f>
        <v/>
      </c>
      <c r="D71" s="9" t="str">
        <f aca="false">IF(B71="","",B71-WEEKDAY(B71,2)+1)</f>
        <v/>
      </c>
      <c r="E71" s="10"/>
      <c r="F71" s="8"/>
      <c r="G71" s="11"/>
      <c r="H71" s="10"/>
      <c r="I71" s="11"/>
      <c r="J71" s="10"/>
      <c r="K71" s="10"/>
      <c r="L71" s="10"/>
      <c r="M71" s="11"/>
      <c r="N71" s="8"/>
      <c r="O71" s="7" t="str">
        <f aca="false">IF(L71="","",IFERROR(VLOOKUP(L71,Paramètres!$F$5:$G$8,2,FALSE()),""))</f>
        <v/>
      </c>
      <c r="P71" s="9" t="str">
        <f aca="false">IF(OR(B71="",O71=""),"",IF(N71="",B71,N71)+O71)</f>
        <v/>
      </c>
      <c r="Q71" s="10"/>
      <c r="R71" s="8"/>
      <c r="S71" s="7" t="str">
        <f aca="false">IF(OR(B71="",R71=""),"",R71-B71)</f>
        <v/>
      </c>
      <c r="T71" s="7" t="str">
        <f aca="true">IF(OR(B71="",P71=""),"",IF(R71&lt;&gt;"",IF(R71&gt;P71,"Traité hors délai","Non"),IF(Q71="Classé sans suite","Non",IF(TODAY()&gt;P71,"OUI","Non"))))</f>
        <v/>
      </c>
      <c r="U71" s="11"/>
    </row>
    <row r="72" customFormat="false" ht="15" hidden="false" customHeight="false" outlineLevel="0" collapsed="false">
      <c r="A72" s="7" t="str">
        <f aca="false">IF(B72="","",YEAR(B72)&amp;"/"&amp;TEXT(ROW()-4,"0000"))</f>
        <v/>
      </c>
      <c r="B72" s="8"/>
      <c r="C72" s="7" t="str">
        <f aca="false">IF(B72="","",INT((B72-DATE(YEAR(B72-WEEKDAY(B72-1)+4),1,3)+WEEKDAY(DATE(YEAR(B72-WEEKDAY(B72-1)+4),1,3))+5)/7))</f>
        <v/>
      </c>
      <c r="D72" s="9" t="str">
        <f aca="false">IF(B72="","",B72-WEEKDAY(B72,2)+1)</f>
        <v/>
      </c>
      <c r="E72" s="10"/>
      <c r="F72" s="8"/>
      <c r="G72" s="11"/>
      <c r="H72" s="10"/>
      <c r="I72" s="11"/>
      <c r="J72" s="10"/>
      <c r="K72" s="10"/>
      <c r="L72" s="10"/>
      <c r="M72" s="11"/>
      <c r="N72" s="8"/>
      <c r="O72" s="7" t="str">
        <f aca="false">IF(L72="","",IFERROR(VLOOKUP(L72,Paramètres!$F$5:$G$8,2,FALSE()),""))</f>
        <v/>
      </c>
      <c r="P72" s="9" t="str">
        <f aca="false">IF(OR(B72="",O72=""),"",IF(N72="",B72,N72)+O72)</f>
        <v/>
      </c>
      <c r="Q72" s="10"/>
      <c r="R72" s="8"/>
      <c r="S72" s="7" t="str">
        <f aca="false">IF(OR(B72="",R72=""),"",R72-B72)</f>
        <v/>
      </c>
      <c r="T72" s="7" t="str">
        <f aca="true">IF(OR(B72="",P72=""),"",IF(R72&lt;&gt;"",IF(R72&gt;P72,"Traité hors délai","Non"),IF(Q72="Classé sans suite","Non",IF(TODAY()&gt;P72,"OUI","Non"))))</f>
        <v/>
      </c>
      <c r="U72" s="11"/>
    </row>
    <row r="73" customFormat="false" ht="15" hidden="false" customHeight="false" outlineLevel="0" collapsed="false">
      <c r="A73" s="7" t="str">
        <f aca="false">IF(B73="","",YEAR(B73)&amp;"/"&amp;TEXT(ROW()-4,"0000"))</f>
        <v/>
      </c>
      <c r="B73" s="8"/>
      <c r="C73" s="7" t="str">
        <f aca="false">IF(B73="","",INT((B73-DATE(YEAR(B73-WEEKDAY(B73-1)+4),1,3)+WEEKDAY(DATE(YEAR(B73-WEEKDAY(B73-1)+4),1,3))+5)/7))</f>
        <v/>
      </c>
      <c r="D73" s="9" t="str">
        <f aca="false">IF(B73="","",B73-WEEKDAY(B73,2)+1)</f>
        <v/>
      </c>
      <c r="E73" s="10"/>
      <c r="F73" s="8"/>
      <c r="G73" s="11"/>
      <c r="H73" s="10"/>
      <c r="I73" s="11"/>
      <c r="J73" s="10"/>
      <c r="K73" s="10"/>
      <c r="L73" s="10"/>
      <c r="M73" s="11"/>
      <c r="N73" s="8"/>
      <c r="O73" s="7" t="str">
        <f aca="false">IF(L73="","",IFERROR(VLOOKUP(L73,Paramètres!$F$5:$G$8,2,FALSE()),""))</f>
        <v/>
      </c>
      <c r="P73" s="9" t="str">
        <f aca="false">IF(OR(B73="",O73=""),"",IF(N73="",B73,N73)+O73)</f>
        <v/>
      </c>
      <c r="Q73" s="10"/>
      <c r="R73" s="8"/>
      <c r="S73" s="7" t="str">
        <f aca="false">IF(OR(B73="",R73=""),"",R73-B73)</f>
        <v/>
      </c>
      <c r="T73" s="7" t="str">
        <f aca="true">IF(OR(B73="",P73=""),"",IF(R73&lt;&gt;"",IF(R73&gt;P73,"Traité hors délai","Non"),IF(Q73="Classé sans suite","Non",IF(TODAY()&gt;P73,"OUI","Non"))))</f>
        <v/>
      </c>
      <c r="U73" s="11"/>
    </row>
    <row r="74" customFormat="false" ht="15" hidden="false" customHeight="false" outlineLevel="0" collapsed="false">
      <c r="A74" s="7" t="str">
        <f aca="false">IF(B74="","",YEAR(B74)&amp;"/"&amp;TEXT(ROW()-4,"0000"))</f>
        <v/>
      </c>
      <c r="B74" s="8"/>
      <c r="C74" s="7" t="str">
        <f aca="false">IF(B74="","",INT((B74-DATE(YEAR(B74-WEEKDAY(B74-1)+4),1,3)+WEEKDAY(DATE(YEAR(B74-WEEKDAY(B74-1)+4),1,3))+5)/7))</f>
        <v/>
      </c>
      <c r="D74" s="9" t="str">
        <f aca="false">IF(B74="","",B74-WEEKDAY(B74,2)+1)</f>
        <v/>
      </c>
      <c r="E74" s="10"/>
      <c r="F74" s="8"/>
      <c r="G74" s="11"/>
      <c r="H74" s="10"/>
      <c r="I74" s="11"/>
      <c r="J74" s="10"/>
      <c r="K74" s="10"/>
      <c r="L74" s="10"/>
      <c r="M74" s="11"/>
      <c r="N74" s="8"/>
      <c r="O74" s="7" t="str">
        <f aca="false">IF(L74="","",IFERROR(VLOOKUP(L74,Paramètres!$F$5:$G$8,2,FALSE()),""))</f>
        <v/>
      </c>
      <c r="P74" s="9" t="str">
        <f aca="false">IF(OR(B74="",O74=""),"",IF(N74="",B74,N74)+O74)</f>
        <v/>
      </c>
      <c r="Q74" s="10"/>
      <c r="R74" s="8"/>
      <c r="S74" s="7" t="str">
        <f aca="false">IF(OR(B74="",R74=""),"",R74-B74)</f>
        <v/>
      </c>
      <c r="T74" s="7" t="str">
        <f aca="true">IF(OR(B74="",P74=""),"",IF(R74&lt;&gt;"",IF(R74&gt;P74,"Traité hors délai","Non"),IF(Q74="Classé sans suite","Non",IF(TODAY()&gt;P74,"OUI","Non"))))</f>
        <v/>
      </c>
      <c r="U74" s="11"/>
    </row>
    <row r="75" customFormat="false" ht="15" hidden="false" customHeight="false" outlineLevel="0" collapsed="false">
      <c r="A75" s="7" t="str">
        <f aca="false">IF(B75="","",YEAR(B75)&amp;"/"&amp;TEXT(ROW()-4,"0000"))</f>
        <v/>
      </c>
      <c r="B75" s="8"/>
      <c r="C75" s="7" t="str">
        <f aca="false">IF(B75="","",INT((B75-DATE(YEAR(B75-WEEKDAY(B75-1)+4),1,3)+WEEKDAY(DATE(YEAR(B75-WEEKDAY(B75-1)+4),1,3))+5)/7))</f>
        <v/>
      </c>
      <c r="D75" s="9" t="str">
        <f aca="false">IF(B75="","",B75-WEEKDAY(B75,2)+1)</f>
        <v/>
      </c>
      <c r="E75" s="10"/>
      <c r="F75" s="8"/>
      <c r="G75" s="11"/>
      <c r="H75" s="10"/>
      <c r="I75" s="11"/>
      <c r="J75" s="10"/>
      <c r="K75" s="10"/>
      <c r="L75" s="10"/>
      <c r="M75" s="11"/>
      <c r="N75" s="8"/>
      <c r="O75" s="7" t="str">
        <f aca="false">IF(L75="","",IFERROR(VLOOKUP(L75,Paramètres!$F$5:$G$8,2,FALSE()),""))</f>
        <v/>
      </c>
      <c r="P75" s="9" t="str">
        <f aca="false">IF(OR(B75="",O75=""),"",IF(N75="",B75,N75)+O75)</f>
        <v/>
      </c>
      <c r="Q75" s="10"/>
      <c r="R75" s="8"/>
      <c r="S75" s="7" t="str">
        <f aca="false">IF(OR(B75="",R75=""),"",R75-B75)</f>
        <v/>
      </c>
      <c r="T75" s="7" t="str">
        <f aca="true">IF(OR(B75="",P75=""),"",IF(R75&lt;&gt;"",IF(R75&gt;P75,"Traité hors délai","Non"),IF(Q75="Classé sans suite","Non",IF(TODAY()&gt;P75,"OUI","Non"))))</f>
        <v/>
      </c>
      <c r="U75" s="11"/>
    </row>
    <row r="76" customFormat="false" ht="15" hidden="false" customHeight="false" outlineLevel="0" collapsed="false">
      <c r="A76" s="7" t="str">
        <f aca="false">IF(B76="","",YEAR(B76)&amp;"/"&amp;TEXT(ROW()-4,"0000"))</f>
        <v/>
      </c>
      <c r="B76" s="8"/>
      <c r="C76" s="7" t="str">
        <f aca="false">IF(B76="","",INT((B76-DATE(YEAR(B76-WEEKDAY(B76-1)+4),1,3)+WEEKDAY(DATE(YEAR(B76-WEEKDAY(B76-1)+4),1,3))+5)/7))</f>
        <v/>
      </c>
      <c r="D76" s="9" t="str">
        <f aca="false">IF(B76="","",B76-WEEKDAY(B76,2)+1)</f>
        <v/>
      </c>
      <c r="E76" s="10"/>
      <c r="F76" s="8"/>
      <c r="G76" s="11"/>
      <c r="H76" s="10"/>
      <c r="I76" s="11"/>
      <c r="J76" s="10"/>
      <c r="K76" s="10"/>
      <c r="L76" s="10"/>
      <c r="M76" s="11"/>
      <c r="N76" s="8"/>
      <c r="O76" s="7" t="str">
        <f aca="false">IF(L76="","",IFERROR(VLOOKUP(L76,Paramètres!$F$5:$G$8,2,FALSE()),""))</f>
        <v/>
      </c>
      <c r="P76" s="9" t="str">
        <f aca="false">IF(OR(B76="",O76=""),"",IF(N76="",B76,N76)+O76)</f>
        <v/>
      </c>
      <c r="Q76" s="10"/>
      <c r="R76" s="8"/>
      <c r="S76" s="7" t="str">
        <f aca="false">IF(OR(B76="",R76=""),"",R76-B76)</f>
        <v/>
      </c>
      <c r="T76" s="7" t="str">
        <f aca="true">IF(OR(B76="",P76=""),"",IF(R76&lt;&gt;"",IF(R76&gt;P76,"Traité hors délai","Non"),IF(Q76="Classé sans suite","Non",IF(TODAY()&gt;P76,"OUI","Non"))))</f>
        <v/>
      </c>
      <c r="U76" s="11"/>
    </row>
    <row r="77" customFormat="false" ht="15" hidden="false" customHeight="false" outlineLevel="0" collapsed="false">
      <c r="A77" s="7" t="str">
        <f aca="false">IF(B77="","",YEAR(B77)&amp;"/"&amp;TEXT(ROW()-4,"0000"))</f>
        <v/>
      </c>
      <c r="B77" s="8"/>
      <c r="C77" s="7" t="str">
        <f aca="false">IF(B77="","",INT((B77-DATE(YEAR(B77-WEEKDAY(B77-1)+4),1,3)+WEEKDAY(DATE(YEAR(B77-WEEKDAY(B77-1)+4),1,3))+5)/7))</f>
        <v/>
      </c>
      <c r="D77" s="9" t="str">
        <f aca="false">IF(B77="","",B77-WEEKDAY(B77,2)+1)</f>
        <v/>
      </c>
      <c r="E77" s="10"/>
      <c r="F77" s="8"/>
      <c r="G77" s="11"/>
      <c r="H77" s="10"/>
      <c r="I77" s="11"/>
      <c r="J77" s="10"/>
      <c r="K77" s="10"/>
      <c r="L77" s="10"/>
      <c r="M77" s="11"/>
      <c r="N77" s="8"/>
      <c r="O77" s="7" t="str">
        <f aca="false">IF(L77="","",IFERROR(VLOOKUP(L77,Paramètres!$F$5:$G$8,2,FALSE()),""))</f>
        <v/>
      </c>
      <c r="P77" s="9" t="str">
        <f aca="false">IF(OR(B77="",O77=""),"",IF(N77="",B77,N77)+O77)</f>
        <v/>
      </c>
      <c r="Q77" s="10"/>
      <c r="R77" s="8"/>
      <c r="S77" s="7" t="str">
        <f aca="false">IF(OR(B77="",R77=""),"",R77-B77)</f>
        <v/>
      </c>
      <c r="T77" s="7" t="str">
        <f aca="true">IF(OR(B77="",P77=""),"",IF(R77&lt;&gt;"",IF(R77&gt;P77,"Traité hors délai","Non"),IF(Q77="Classé sans suite","Non",IF(TODAY()&gt;P77,"OUI","Non"))))</f>
        <v/>
      </c>
      <c r="U77" s="11"/>
    </row>
    <row r="78" customFormat="false" ht="15" hidden="false" customHeight="false" outlineLevel="0" collapsed="false">
      <c r="A78" s="7" t="str">
        <f aca="false">IF(B78="","",YEAR(B78)&amp;"/"&amp;TEXT(ROW()-4,"0000"))</f>
        <v/>
      </c>
      <c r="B78" s="8"/>
      <c r="C78" s="7" t="str">
        <f aca="false">IF(B78="","",INT((B78-DATE(YEAR(B78-WEEKDAY(B78-1)+4),1,3)+WEEKDAY(DATE(YEAR(B78-WEEKDAY(B78-1)+4),1,3))+5)/7))</f>
        <v/>
      </c>
      <c r="D78" s="9" t="str">
        <f aca="false">IF(B78="","",B78-WEEKDAY(B78,2)+1)</f>
        <v/>
      </c>
      <c r="E78" s="10"/>
      <c r="F78" s="8"/>
      <c r="G78" s="11"/>
      <c r="H78" s="10"/>
      <c r="I78" s="11"/>
      <c r="J78" s="10"/>
      <c r="K78" s="10"/>
      <c r="L78" s="10"/>
      <c r="M78" s="11"/>
      <c r="N78" s="8"/>
      <c r="O78" s="7" t="str">
        <f aca="false">IF(L78="","",IFERROR(VLOOKUP(L78,Paramètres!$F$5:$G$8,2,FALSE()),""))</f>
        <v/>
      </c>
      <c r="P78" s="9" t="str">
        <f aca="false">IF(OR(B78="",O78=""),"",IF(N78="",B78,N78)+O78)</f>
        <v/>
      </c>
      <c r="Q78" s="10"/>
      <c r="R78" s="8"/>
      <c r="S78" s="7" t="str">
        <f aca="false">IF(OR(B78="",R78=""),"",R78-B78)</f>
        <v/>
      </c>
      <c r="T78" s="7" t="str">
        <f aca="true">IF(OR(B78="",P78=""),"",IF(R78&lt;&gt;"",IF(R78&gt;P78,"Traité hors délai","Non"),IF(Q78="Classé sans suite","Non",IF(TODAY()&gt;P78,"OUI","Non"))))</f>
        <v/>
      </c>
      <c r="U78" s="11"/>
    </row>
    <row r="79" customFormat="false" ht="15" hidden="false" customHeight="false" outlineLevel="0" collapsed="false">
      <c r="A79" s="7" t="str">
        <f aca="false">IF(B79="","",YEAR(B79)&amp;"/"&amp;TEXT(ROW()-4,"0000"))</f>
        <v/>
      </c>
      <c r="B79" s="8"/>
      <c r="C79" s="7" t="str">
        <f aca="false">IF(B79="","",INT((B79-DATE(YEAR(B79-WEEKDAY(B79-1)+4),1,3)+WEEKDAY(DATE(YEAR(B79-WEEKDAY(B79-1)+4),1,3))+5)/7))</f>
        <v/>
      </c>
      <c r="D79" s="9" t="str">
        <f aca="false">IF(B79="","",B79-WEEKDAY(B79,2)+1)</f>
        <v/>
      </c>
      <c r="E79" s="10"/>
      <c r="F79" s="8"/>
      <c r="G79" s="11"/>
      <c r="H79" s="10"/>
      <c r="I79" s="11"/>
      <c r="J79" s="10"/>
      <c r="K79" s="10"/>
      <c r="L79" s="10"/>
      <c r="M79" s="11"/>
      <c r="N79" s="8"/>
      <c r="O79" s="7" t="str">
        <f aca="false">IF(L79="","",IFERROR(VLOOKUP(L79,Paramètres!$F$5:$G$8,2,FALSE()),""))</f>
        <v/>
      </c>
      <c r="P79" s="9" t="str">
        <f aca="false">IF(OR(B79="",O79=""),"",IF(N79="",B79,N79)+O79)</f>
        <v/>
      </c>
      <c r="Q79" s="10"/>
      <c r="R79" s="8"/>
      <c r="S79" s="7" t="str">
        <f aca="false">IF(OR(B79="",R79=""),"",R79-B79)</f>
        <v/>
      </c>
      <c r="T79" s="7" t="str">
        <f aca="true">IF(OR(B79="",P79=""),"",IF(R79&lt;&gt;"",IF(R79&gt;P79,"Traité hors délai","Non"),IF(Q79="Classé sans suite","Non",IF(TODAY()&gt;P79,"OUI","Non"))))</f>
        <v/>
      </c>
      <c r="U79" s="11"/>
    </row>
    <row r="80" customFormat="false" ht="15" hidden="false" customHeight="false" outlineLevel="0" collapsed="false">
      <c r="A80" s="7" t="str">
        <f aca="false">IF(B80="","",YEAR(B80)&amp;"/"&amp;TEXT(ROW()-4,"0000"))</f>
        <v/>
      </c>
      <c r="B80" s="8"/>
      <c r="C80" s="7" t="str">
        <f aca="false">IF(B80="","",INT((B80-DATE(YEAR(B80-WEEKDAY(B80-1)+4),1,3)+WEEKDAY(DATE(YEAR(B80-WEEKDAY(B80-1)+4),1,3))+5)/7))</f>
        <v/>
      </c>
      <c r="D80" s="9" t="str">
        <f aca="false">IF(B80="","",B80-WEEKDAY(B80,2)+1)</f>
        <v/>
      </c>
      <c r="E80" s="10"/>
      <c r="F80" s="8"/>
      <c r="G80" s="11"/>
      <c r="H80" s="10"/>
      <c r="I80" s="11"/>
      <c r="J80" s="10"/>
      <c r="K80" s="10"/>
      <c r="L80" s="10"/>
      <c r="M80" s="11"/>
      <c r="N80" s="8"/>
      <c r="O80" s="7" t="str">
        <f aca="false">IF(L80="","",IFERROR(VLOOKUP(L80,Paramètres!$F$5:$G$8,2,FALSE()),""))</f>
        <v/>
      </c>
      <c r="P80" s="9" t="str">
        <f aca="false">IF(OR(B80="",O80=""),"",IF(N80="",B80,N80)+O80)</f>
        <v/>
      </c>
      <c r="Q80" s="10"/>
      <c r="R80" s="8"/>
      <c r="S80" s="7" t="str">
        <f aca="false">IF(OR(B80="",R80=""),"",R80-B80)</f>
        <v/>
      </c>
      <c r="T80" s="7" t="str">
        <f aca="true">IF(OR(B80="",P80=""),"",IF(R80&lt;&gt;"",IF(R80&gt;P80,"Traité hors délai","Non"),IF(Q80="Classé sans suite","Non",IF(TODAY()&gt;P80,"OUI","Non"))))</f>
        <v/>
      </c>
      <c r="U80" s="11"/>
    </row>
    <row r="81" customFormat="false" ht="15" hidden="false" customHeight="false" outlineLevel="0" collapsed="false">
      <c r="A81" s="7" t="str">
        <f aca="false">IF(B81="","",YEAR(B81)&amp;"/"&amp;TEXT(ROW()-4,"0000"))</f>
        <v/>
      </c>
      <c r="B81" s="8"/>
      <c r="C81" s="7" t="str">
        <f aca="false">IF(B81="","",INT((B81-DATE(YEAR(B81-WEEKDAY(B81-1)+4),1,3)+WEEKDAY(DATE(YEAR(B81-WEEKDAY(B81-1)+4),1,3))+5)/7))</f>
        <v/>
      </c>
      <c r="D81" s="9" t="str">
        <f aca="false">IF(B81="","",B81-WEEKDAY(B81,2)+1)</f>
        <v/>
      </c>
      <c r="E81" s="10"/>
      <c r="F81" s="8"/>
      <c r="G81" s="11"/>
      <c r="H81" s="10"/>
      <c r="I81" s="11"/>
      <c r="J81" s="10"/>
      <c r="K81" s="10"/>
      <c r="L81" s="10"/>
      <c r="M81" s="11"/>
      <c r="N81" s="8"/>
      <c r="O81" s="7" t="str">
        <f aca="false">IF(L81="","",IFERROR(VLOOKUP(L81,Paramètres!$F$5:$G$8,2,FALSE()),""))</f>
        <v/>
      </c>
      <c r="P81" s="9" t="str">
        <f aca="false">IF(OR(B81="",O81=""),"",IF(N81="",B81,N81)+O81)</f>
        <v/>
      </c>
      <c r="Q81" s="10"/>
      <c r="R81" s="8"/>
      <c r="S81" s="7" t="str">
        <f aca="false">IF(OR(B81="",R81=""),"",R81-B81)</f>
        <v/>
      </c>
      <c r="T81" s="7" t="str">
        <f aca="true">IF(OR(B81="",P81=""),"",IF(R81&lt;&gt;"",IF(R81&gt;P81,"Traité hors délai","Non"),IF(Q81="Classé sans suite","Non",IF(TODAY()&gt;P81,"OUI","Non"))))</f>
        <v/>
      </c>
      <c r="U81" s="11"/>
    </row>
    <row r="82" customFormat="false" ht="15" hidden="false" customHeight="false" outlineLevel="0" collapsed="false">
      <c r="A82" s="7" t="str">
        <f aca="false">IF(B82="","",YEAR(B82)&amp;"/"&amp;TEXT(ROW()-4,"0000"))</f>
        <v/>
      </c>
      <c r="B82" s="8"/>
      <c r="C82" s="7" t="str">
        <f aca="false">IF(B82="","",INT((B82-DATE(YEAR(B82-WEEKDAY(B82-1)+4),1,3)+WEEKDAY(DATE(YEAR(B82-WEEKDAY(B82-1)+4),1,3))+5)/7))</f>
        <v/>
      </c>
      <c r="D82" s="9" t="str">
        <f aca="false">IF(B82="","",B82-WEEKDAY(B82,2)+1)</f>
        <v/>
      </c>
      <c r="E82" s="10"/>
      <c r="F82" s="8"/>
      <c r="G82" s="11"/>
      <c r="H82" s="10"/>
      <c r="I82" s="11"/>
      <c r="J82" s="10"/>
      <c r="K82" s="10"/>
      <c r="L82" s="10"/>
      <c r="M82" s="11"/>
      <c r="N82" s="8"/>
      <c r="O82" s="7" t="str">
        <f aca="false">IF(L82="","",IFERROR(VLOOKUP(L82,Paramètres!$F$5:$G$8,2,FALSE()),""))</f>
        <v/>
      </c>
      <c r="P82" s="9" t="str">
        <f aca="false">IF(OR(B82="",O82=""),"",IF(N82="",B82,N82)+O82)</f>
        <v/>
      </c>
      <c r="Q82" s="10"/>
      <c r="R82" s="8"/>
      <c r="S82" s="7" t="str">
        <f aca="false">IF(OR(B82="",R82=""),"",R82-B82)</f>
        <v/>
      </c>
      <c r="T82" s="7" t="str">
        <f aca="true">IF(OR(B82="",P82=""),"",IF(R82&lt;&gt;"",IF(R82&gt;P82,"Traité hors délai","Non"),IF(Q82="Classé sans suite","Non",IF(TODAY()&gt;P82,"OUI","Non"))))</f>
        <v/>
      </c>
      <c r="U82" s="11"/>
    </row>
    <row r="83" customFormat="false" ht="15" hidden="false" customHeight="false" outlineLevel="0" collapsed="false">
      <c r="A83" s="7" t="str">
        <f aca="false">IF(B83="","",YEAR(B83)&amp;"/"&amp;TEXT(ROW()-4,"0000"))</f>
        <v/>
      </c>
      <c r="B83" s="8"/>
      <c r="C83" s="7" t="str">
        <f aca="false">IF(B83="","",INT((B83-DATE(YEAR(B83-WEEKDAY(B83-1)+4),1,3)+WEEKDAY(DATE(YEAR(B83-WEEKDAY(B83-1)+4),1,3))+5)/7))</f>
        <v/>
      </c>
      <c r="D83" s="9" t="str">
        <f aca="false">IF(B83="","",B83-WEEKDAY(B83,2)+1)</f>
        <v/>
      </c>
      <c r="E83" s="10"/>
      <c r="F83" s="8"/>
      <c r="G83" s="11"/>
      <c r="H83" s="10"/>
      <c r="I83" s="11"/>
      <c r="J83" s="10"/>
      <c r="K83" s="10"/>
      <c r="L83" s="10"/>
      <c r="M83" s="11"/>
      <c r="N83" s="8"/>
      <c r="O83" s="7" t="str">
        <f aca="false">IF(L83="","",IFERROR(VLOOKUP(L83,Paramètres!$F$5:$G$8,2,FALSE()),""))</f>
        <v/>
      </c>
      <c r="P83" s="9" t="str">
        <f aca="false">IF(OR(B83="",O83=""),"",IF(N83="",B83,N83)+O83)</f>
        <v/>
      </c>
      <c r="Q83" s="10"/>
      <c r="R83" s="8"/>
      <c r="S83" s="7" t="str">
        <f aca="false">IF(OR(B83="",R83=""),"",R83-B83)</f>
        <v/>
      </c>
      <c r="T83" s="7" t="str">
        <f aca="true">IF(OR(B83="",P83=""),"",IF(R83&lt;&gt;"",IF(R83&gt;P83,"Traité hors délai","Non"),IF(Q83="Classé sans suite","Non",IF(TODAY()&gt;P83,"OUI","Non"))))</f>
        <v/>
      </c>
      <c r="U83" s="11"/>
    </row>
    <row r="84" customFormat="false" ht="15" hidden="false" customHeight="false" outlineLevel="0" collapsed="false">
      <c r="A84" s="7" t="str">
        <f aca="false">IF(B84="","",YEAR(B84)&amp;"/"&amp;TEXT(ROW()-4,"0000"))</f>
        <v/>
      </c>
      <c r="B84" s="8"/>
      <c r="C84" s="7" t="str">
        <f aca="false">IF(B84="","",INT((B84-DATE(YEAR(B84-WEEKDAY(B84-1)+4),1,3)+WEEKDAY(DATE(YEAR(B84-WEEKDAY(B84-1)+4),1,3))+5)/7))</f>
        <v/>
      </c>
      <c r="D84" s="9" t="str">
        <f aca="false">IF(B84="","",B84-WEEKDAY(B84,2)+1)</f>
        <v/>
      </c>
      <c r="E84" s="10"/>
      <c r="F84" s="8"/>
      <c r="G84" s="11"/>
      <c r="H84" s="10"/>
      <c r="I84" s="11"/>
      <c r="J84" s="10"/>
      <c r="K84" s="10"/>
      <c r="L84" s="10"/>
      <c r="M84" s="11"/>
      <c r="N84" s="8"/>
      <c r="O84" s="7" t="str">
        <f aca="false">IF(L84="","",IFERROR(VLOOKUP(L84,Paramètres!$F$5:$G$8,2,FALSE()),""))</f>
        <v/>
      </c>
      <c r="P84" s="9" t="str">
        <f aca="false">IF(OR(B84="",O84=""),"",IF(N84="",B84,N84)+O84)</f>
        <v/>
      </c>
      <c r="Q84" s="10"/>
      <c r="R84" s="8"/>
      <c r="S84" s="7" t="str">
        <f aca="false">IF(OR(B84="",R84=""),"",R84-B84)</f>
        <v/>
      </c>
      <c r="T84" s="7" t="str">
        <f aca="true">IF(OR(B84="",P84=""),"",IF(R84&lt;&gt;"",IF(R84&gt;P84,"Traité hors délai","Non"),IF(Q84="Classé sans suite","Non",IF(TODAY()&gt;P84,"OUI","Non"))))</f>
        <v/>
      </c>
      <c r="U84" s="11"/>
    </row>
    <row r="85" customFormat="false" ht="15" hidden="false" customHeight="false" outlineLevel="0" collapsed="false">
      <c r="A85" s="7" t="str">
        <f aca="false">IF(B85="","",YEAR(B85)&amp;"/"&amp;TEXT(ROW()-4,"0000"))</f>
        <v/>
      </c>
      <c r="B85" s="8"/>
      <c r="C85" s="7" t="str">
        <f aca="false">IF(B85="","",INT((B85-DATE(YEAR(B85-WEEKDAY(B85-1)+4),1,3)+WEEKDAY(DATE(YEAR(B85-WEEKDAY(B85-1)+4),1,3))+5)/7))</f>
        <v/>
      </c>
      <c r="D85" s="9" t="str">
        <f aca="false">IF(B85="","",B85-WEEKDAY(B85,2)+1)</f>
        <v/>
      </c>
      <c r="E85" s="10"/>
      <c r="F85" s="8"/>
      <c r="G85" s="11"/>
      <c r="H85" s="10"/>
      <c r="I85" s="11"/>
      <c r="J85" s="10"/>
      <c r="K85" s="10"/>
      <c r="L85" s="10"/>
      <c r="M85" s="11"/>
      <c r="N85" s="8"/>
      <c r="O85" s="7" t="str">
        <f aca="false">IF(L85="","",IFERROR(VLOOKUP(L85,Paramètres!$F$5:$G$8,2,FALSE()),""))</f>
        <v/>
      </c>
      <c r="P85" s="9" t="str">
        <f aca="false">IF(OR(B85="",O85=""),"",IF(N85="",B85,N85)+O85)</f>
        <v/>
      </c>
      <c r="Q85" s="10"/>
      <c r="R85" s="8"/>
      <c r="S85" s="7" t="str">
        <f aca="false">IF(OR(B85="",R85=""),"",R85-B85)</f>
        <v/>
      </c>
      <c r="T85" s="7" t="str">
        <f aca="true">IF(OR(B85="",P85=""),"",IF(R85&lt;&gt;"",IF(R85&gt;P85,"Traité hors délai","Non"),IF(Q85="Classé sans suite","Non",IF(TODAY()&gt;P85,"OUI","Non"))))</f>
        <v/>
      </c>
      <c r="U85" s="11"/>
    </row>
    <row r="86" customFormat="false" ht="15" hidden="false" customHeight="false" outlineLevel="0" collapsed="false">
      <c r="A86" s="7" t="str">
        <f aca="false">IF(B86="","",YEAR(B86)&amp;"/"&amp;TEXT(ROW()-4,"0000"))</f>
        <v/>
      </c>
      <c r="B86" s="8"/>
      <c r="C86" s="7" t="str">
        <f aca="false">IF(B86="","",INT((B86-DATE(YEAR(B86-WEEKDAY(B86-1)+4),1,3)+WEEKDAY(DATE(YEAR(B86-WEEKDAY(B86-1)+4),1,3))+5)/7))</f>
        <v/>
      </c>
      <c r="D86" s="9" t="str">
        <f aca="false">IF(B86="","",B86-WEEKDAY(B86,2)+1)</f>
        <v/>
      </c>
      <c r="E86" s="10"/>
      <c r="F86" s="8"/>
      <c r="G86" s="11"/>
      <c r="H86" s="10"/>
      <c r="I86" s="11"/>
      <c r="J86" s="10"/>
      <c r="K86" s="10"/>
      <c r="L86" s="10"/>
      <c r="M86" s="11"/>
      <c r="N86" s="8"/>
      <c r="O86" s="7" t="str">
        <f aca="false">IF(L86="","",IFERROR(VLOOKUP(L86,Paramètres!$F$5:$G$8,2,FALSE()),""))</f>
        <v/>
      </c>
      <c r="P86" s="9" t="str">
        <f aca="false">IF(OR(B86="",O86=""),"",IF(N86="",B86,N86)+O86)</f>
        <v/>
      </c>
      <c r="Q86" s="10"/>
      <c r="R86" s="8"/>
      <c r="S86" s="7" t="str">
        <f aca="false">IF(OR(B86="",R86=""),"",R86-B86)</f>
        <v/>
      </c>
      <c r="T86" s="7" t="str">
        <f aca="true">IF(OR(B86="",P86=""),"",IF(R86&lt;&gt;"",IF(R86&gt;P86,"Traité hors délai","Non"),IF(Q86="Classé sans suite","Non",IF(TODAY()&gt;P86,"OUI","Non"))))</f>
        <v/>
      </c>
      <c r="U86" s="11"/>
    </row>
    <row r="87" customFormat="false" ht="15" hidden="false" customHeight="false" outlineLevel="0" collapsed="false">
      <c r="A87" s="7" t="str">
        <f aca="false">IF(B87="","",YEAR(B87)&amp;"/"&amp;TEXT(ROW()-4,"0000"))</f>
        <v/>
      </c>
      <c r="B87" s="8"/>
      <c r="C87" s="7" t="str">
        <f aca="false">IF(B87="","",INT((B87-DATE(YEAR(B87-WEEKDAY(B87-1)+4),1,3)+WEEKDAY(DATE(YEAR(B87-WEEKDAY(B87-1)+4),1,3))+5)/7))</f>
        <v/>
      </c>
      <c r="D87" s="9" t="str">
        <f aca="false">IF(B87="","",B87-WEEKDAY(B87,2)+1)</f>
        <v/>
      </c>
      <c r="E87" s="10"/>
      <c r="F87" s="8"/>
      <c r="G87" s="11"/>
      <c r="H87" s="10"/>
      <c r="I87" s="11"/>
      <c r="J87" s="10"/>
      <c r="K87" s="10"/>
      <c r="L87" s="10"/>
      <c r="M87" s="11"/>
      <c r="N87" s="8"/>
      <c r="O87" s="7" t="str">
        <f aca="false">IF(L87="","",IFERROR(VLOOKUP(L87,Paramètres!$F$5:$G$8,2,FALSE()),""))</f>
        <v/>
      </c>
      <c r="P87" s="9" t="str">
        <f aca="false">IF(OR(B87="",O87=""),"",IF(N87="",B87,N87)+O87)</f>
        <v/>
      </c>
      <c r="Q87" s="10"/>
      <c r="R87" s="8"/>
      <c r="S87" s="7" t="str">
        <f aca="false">IF(OR(B87="",R87=""),"",R87-B87)</f>
        <v/>
      </c>
      <c r="T87" s="7" t="str">
        <f aca="true">IF(OR(B87="",P87=""),"",IF(R87&lt;&gt;"",IF(R87&gt;P87,"Traité hors délai","Non"),IF(Q87="Classé sans suite","Non",IF(TODAY()&gt;P87,"OUI","Non"))))</f>
        <v/>
      </c>
      <c r="U87" s="11"/>
    </row>
    <row r="88" customFormat="false" ht="15" hidden="false" customHeight="false" outlineLevel="0" collapsed="false">
      <c r="A88" s="7" t="str">
        <f aca="false">IF(B88="","",YEAR(B88)&amp;"/"&amp;TEXT(ROW()-4,"0000"))</f>
        <v/>
      </c>
      <c r="B88" s="8"/>
      <c r="C88" s="7" t="str">
        <f aca="false">IF(B88="","",INT((B88-DATE(YEAR(B88-WEEKDAY(B88-1)+4),1,3)+WEEKDAY(DATE(YEAR(B88-WEEKDAY(B88-1)+4),1,3))+5)/7))</f>
        <v/>
      </c>
      <c r="D88" s="9" t="str">
        <f aca="false">IF(B88="","",B88-WEEKDAY(B88,2)+1)</f>
        <v/>
      </c>
      <c r="E88" s="10"/>
      <c r="F88" s="8"/>
      <c r="G88" s="11"/>
      <c r="H88" s="10"/>
      <c r="I88" s="11"/>
      <c r="J88" s="10"/>
      <c r="K88" s="10"/>
      <c r="L88" s="10"/>
      <c r="M88" s="11"/>
      <c r="N88" s="8"/>
      <c r="O88" s="7" t="str">
        <f aca="false">IF(L88="","",IFERROR(VLOOKUP(L88,Paramètres!$F$5:$G$8,2,FALSE()),""))</f>
        <v/>
      </c>
      <c r="P88" s="9" t="str">
        <f aca="false">IF(OR(B88="",O88=""),"",IF(N88="",B88,N88)+O88)</f>
        <v/>
      </c>
      <c r="Q88" s="10"/>
      <c r="R88" s="8"/>
      <c r="S88" s="7" t="str">
        <f aca="false">IF(OR(B88="",R88=""),"",R88-B88)</f>
        <v/>
      </c>
      <c r="T88" s="7" t="str">
        <f aca="true">IF(OR(B88="",P88=""),"",IF(R88&lt;&gt;"",IF(R88&gt;P88,"Traité hors délai","Non"),IF(Q88="Classé sans suite","Non",IF(TODAY()&gt;P88,"OUI","Non"))))</f>
        <v/>
      </c>
      <c r="U88" s="11"/>
    </row>
    <row r="89" customFormat="false" ht="15" hidden="false" customHeight="false" outlineLevel="0" collapsed="false">
      <c r="A89" s="7" t="str">
        <f aca="false">IF(B89="","",YEAR(B89)&amp;"/"&amp;TEXT(ROW()-4,"0000"))</f>
        <v/>
      </c>
      <c r="B89" s="8"/>
      <c r="C89" s="7" t="str">
        <f aca="false">IF(B89="","",INT((B89-DATE(YEAR(B89-WEEKDAY(B89-1)+4),1,3)+WEEKDAY(DATE(YEAR(B89-WEEKDAY(B89-1)+4),1,3))+5)/7))</f>
        <v/>
      </c>
      <c r="D89" s="9" t="str">
        <f aca="false">IF(B89="","",B89-WEEKDAY(B89,2)+1)</f>
        <v/>
      </c>
      <c r="E89" s="10"/>
      <c r="F89" s="8"/>
      <c r="G89" s="11"/>
      <c r="H89" s="10"/>
      <c r="I89" s="11"/>
      <c r="J89" s="10"/>
      <c r="K89" s="10"/>
      <c r="L89" s="10"/>
      <c r="M89" s="11"/>
      <c r="N89" s="8"/>
      <c r="O89" s="7" t="str">
        <f aca="false">IF(L89="","",IFERROR(VLOOKUP(L89,Paramètres!$F$5:$G$8,2,FALSE()),""))</f>
        <v/>
      </c>
      <c r="P89" s="9" t="str">
        <f aca="false">IF(OR(B89="",O89=""),"",IF(N89="",B89,N89)+O89)</f>
        <v/>
      </c>
      <c r="Q89" s="10"/>
      <c r="R89" s="8"/>
      <c r="S89" s="7" t="str">
        <f aca="false">IF(OR(B89="",R89=""),"",R89-B89)</f>
        <v/>
      </c>
      <c r="T89" s="7" t="str">
        <f aca="true">IF(OR(B89="",P89=""),"",IF(R89&lt;&gt;"",IF(R89&gt;P89,"Traité hors délai","Non"),IF(Q89="Classé sans suite","Non",IF(TODAY()&gt;P89,"OUI","Non"))))</f>
        <v/>
      </c>
      <c r="U89" s="11"/>
    </row>
    <row r="90" customFormat="false" ht="15" hidden="false" customHeight="false" outlineLevel="0" collapsed="false">
      <c r="A90" s="7" t="str">
        <f aca="false">IF(B90="","",YEAR(B90)&amp;"/"&amp;TEXT(ROW()-4,"0000"))</f>
        <v/>
      </c>
      <c r="B90" s="8"/>
      <c r="C90" s="7" t="str">
        <f aca="false">IF(B90="","",INT((B90-DATE(YEAR(B90-WEEKDAY(B90-1)+4),1,3)+WEEKDAY(DATE(YEAR(B90-WEEKDAY(B90-1)+4),1,3))+5)/7))</f>
        <v/>
      </c>
      <c r="D90" s="9" t="str">
        <f aca="false">IF(B90="","",B90-WEEKDAY(B90,2)+1)</f>
        <v/>
      </c>
      <c r="E90" s="10"/>
      <c r="F90" s="8"/>
      <c r="G90" s="11"/>
      <c r="H90" s="10"/>
      <c r="I90" s="11"/>
      <c r="J90" s="10"/>
      <c r="K90" s="10"/>
      <c r="L90" s="10"/>
      <c r="M90" s="11"/>
      <c r="N90" s="8"/>
      <c r="O90" s="7" t="str">
        <f aca="false">IF(L90="","",IFERROR(VLOOKUP(L90,Paramètres!$F$5:$G$8,2,FALSE()),""))</f>
        <v/>
      </c>
      <c r="P90" s="9" t="str">
        <f aca="false">IF(OR(B90="",O90=""),"",IF(N90="",B90,N90)+O90)</f>
        <v/>
      </c>
      <c r="Q90" s="10"/>
      <c r="R90" s="8"/>
      <c r="S90" s="7" t="str">
        <f aca="false">IF(OR(B90="",R90=""),"",R90-B90)</f>
        <v/>
      </c>
      <c r="T90" s="7" t="str">
        <f aca="true">IF(OR(B90="",P90=""),"",IF(R90&lt;&gt;"",IF(R90&gt;P90,"Traité hors délai","Non"),IF(Q90="Classé sans suite","Non",IF(TODAY()&gt;P90,"OUI","Non"))))</f>
        <v/>
      </c>
      <c r="U90" s="11"/>
    </row>
    <row r="91" customFormat="false" ht="15" hidden="false" customHeight="false" outlineLevel="0" collapsed="false">
      <c r="A91" s="7" t="str">
        <f aca="false">IF(B91="","",YEAR(B91)&amp;"/"&amp;TEXT(ROW()-4,"0000"))</f>
        <v/>
      </c>
      <c r="B91" s="8"/>
      <c r="C91" s="7" t="str">
        <f aca="false">IF(B91="","",INT((B91-DATE(YEAR(B91-WEEKDAY(B91-1)+4),1,3)+WEEKDAY(DATE(YEAR(B91-WEEKDAY(B91-1)+4),1,3))+5)/7))</f>
        <v/>
      </c>
      <c r="D91" s="9" t="str">
        <f aca="false">IF(B91="","",B91-WEEKDAY(B91,2)+1)</f>
        <v/>
      </c>
      <c r="E91" s="10"/>
      <c r="F91" s="8"/>
      <c r="G91" s="11"/>
      <c r="H91" s="10"/>
      <c r="I91" s="11"/>
      <c r="J91" s="10"/>
      <c r="K91" s="10"/>
      <c r="L91" s="10"/>
      <c r="M91" s="11"/>
      <c r="N91" s="8"/>
      <c r="O91" s="7" t="str">
        <f aca="false">IF(L91="","",IFERROR(VLOOKUP(L91,Paramètres!$F$5:$G$8,2,FALSE()),""))</f>
        <v/>
      </c>
      <c r="P91" s="9" t="str">
        <f aca="false">IF(OR(B91="",O91=""),"",IF(N91="",B91,N91)+O91)</f>
        <v/>
      </c>
      <c r="Q91" s="10"/>
      <c r="R91" s="8"/>
      <c r="S91" s="7" t="str">
        <f aca="false">IF(OR(B91="",R91=""),"",R91-B91)</f>
        <v/>
      </c>
      <c r="T91" s="7" t="str">
        <f aca="true">IF(OR(B91="",P91=""),"",IF(R91&lt;&gt;"",IF(R91&gt;P91,"Traité hors délai","Non"),IF(Q91="Classé sans suite","Non",IF(TODAY()&gt;P91,"OUI","Non"))))</f>
        <v/>
      </c>
      <c r="U91" s="11"/>
    </row>
    <row r="92" customFormat="false" ht="15" hidden="false" customHeight="false" outlineLevel="0" collapsed="false">
      <c r="A92" s="7" t="str">
        <f aca="false">IF(B92="","",YEAR(B92)&amp;"/"&amp;TEXT(ROW()-4,"0000"))</f>
        <v/>
      </c>
      <c r="B92" s="8"/>
      <c r="C92" s="7" t="str">
        <f aca="false">IF(B92="","",INT((B92-DATE(YEAR(B92-WEEKDAY(B92-1)+4),1,3)+WEEKDAY(DATE(YEAR(B92-WEEKDAY(B92-1)+4),1,3))+5)/7))</f>
        <v/>
      </c>
      <c r="D92" s="9" t="str">
        <f aca="false">IF(B92="","",B92-WEEKDAY(B92,2)+1)</f>
        <v/>
      </c>
      <c r="E92" s="10"/>
      <c r="F92" s="8"/>
      <c r="G92" s="11"/>
      <c r="H92" s="10"/>
      <c r="I92" s="11"/>
      <c r="J92" s="10"/>
      <c r="K92" s="10"/>
      <c r="L92" s="10"/>
      <c r="M92" s="11"/>
      <c r="N92" s="8"/>
      <c r="O92" s="7" t="str">
        <f aca="false">IF(L92="","",IFERROR(VLOOKUP(L92,Paramètres!$F$5:$G$8,2,FALSE()),""))</f>
        <v/>
      </c>
      <c r="P92" s="9" t="str">
        <f aca="false">IF(OR(B92="",O92=""),"",IF(N92="",B92,N92)+O92)</f>
        <v/>
      </c>
      <c r="Q92" s="10"/>
      <c r="R92" s="8"/>
      <c r="S92" s="7" t="str">
        <f aca="false">IF(OR(B92="",R92=""),"",R92-B92)</f>
        <v/>
      </c>
      <c r="T92" s="7" t="str">
        <f aca="true">IF(OR(B92="",P92=""),"",IF(R92&lt;&gt;"",IF(R92&gt;P92,"Traité hors délai","Non"),IF(Q92="Classé sans suite","Non",IF(TODAY()&gt;P92,"OUI","Non"))))</f>
        <v/>
      </c>
      <c r="U92" s="11"/>
    </row>
    <row r="93" customFormat="false" ht="15" hidden="false" customHeight="false" outlineLevel="0" collapsed="false">
      <c r="A93" s="7" t="str">
        <f aca="false">IF(B93="","",YEAR(B93)&amp;"/"&amp;TEXT(ROW()-4,"0000"))</f>
        <v/>
      </c>
      <c r="B93" s="8"/>
      <c r="C93" s="7" t="str">
        <f aca="false">IF(B93="","",INT((B93-DATE(YEAR(B93-WEEKDAY(B93-1)+4),1,3)+WEEKDAY(DATE(YEAR(B93-WEEKDAY(B93-1)+4),1,3))+5)/7))</f>
        <v/>
      </c>
      <c r="D93" s="9" t="str">
        <f aca="false">IF(B93="","",B93-WEEKDAY(B93,2)+1)</f>
        <v/>
      </c>
      <c r="E93" s="10"/>
      <c r="F93" s="8"/>
      <c r="G93" s="11"/>
      <c r="H93" s="10"/>
      <c r="I93" s="11"/>
      <c r="J93" s="10"/>
      <c r="K93" s="10"/>
      <c r="L93" s="10"/>
      <c r="M93" s="11"/>
      <c r="N93" s="8"/>
      <c r="O93" s="7" t="str">
        <f aca="false">IF(L93="","",IFERROR(VLOOKUP(L93,Paramètres!$F$5:$G$8,2,FALSE()),""))</f>
        <v/>
      </c>
      <c r="P93" s="9" t="str">
        <f aca="false">IF(OR(B93="",O93=""),"",IF(N93="",B93,N93)+O93)</f>
        <v/>
      </c>
      <c r="Q93" s="10"/>
      <c r="R93" s="8"/>
      <c r="S93" s="7" t="str">
        <f aca="false">IF(OR(B93="",R93=""),"",R93-B93)</f>
        <v/>
      </c>
      <c r="T93" s="7" t="str">
        <f aca="true">IF(OR(B93="",P93=""),"",IF(R93&lt;&gt;"",IF(R93&gt;P93,"Traité hors délai","Non"),IF(Q93="Classé sans suite","Non",IF(TODAY()&gt;P93,"OUI","Non"))))</f>
        <v/>
      </c>
      <c r="U93" s="11"/>
    </row>
    <row r="94" customFormat="false" ht="15" hidden="false" customHeight="false" outlineLevel="0" collapsed="false">
      <c r="A94" s="7" t="str">
        <f aca="false">IF(B94="","",YEAR(B94)&amp;"/"&amp;TEXT(ROW()-4,"0000"))</f>
        <v/>
      </c>
      <c r="B94" s="8"/>
      <c r="C94" s="7" t="str">
        <f aca="false">IF(B94="","",INT((B94-DATE(YEAR(B94-WEEKDAY(B94-1)+4),1,3)+WEEKDAY(DATE(YEAR(B94-WEEKDAY(B94-1)+4),1,3))+5)/7))</f>
        <v/>
      </c>
      <c r="D94" s="9" t="str">
        <f aca="false">IF(B94="","",B94-WEEKDAY(B94,2)+1)</f>
        <v/>
      </c>
      <c r="E94" s="10"/>
      <c r="F94" s="8"/>
      <c r="G94" s="11"/>
      <c r="H94" s="10"/>
      <c r="I94" s="11"/>
      <c r="J94" s="10"/>
      <c r="K94" s="10"/>
      <c r="L94" s="10"/>
      <c r="M94" s="11"/>
      <c r="N94" s="8"/>
      <c r="O94" s="7" t="str">
        <f aca="false">IF(L94="","",IFERROR(VLOOKUP(L94,Paramètres!$F$5:$G$8,2,FALSE()),""))</f>
        <v/>
      </c>
      <c r="P94" s="9" t="str">
        <f aca="false">IF(OR(B94="",O94=""),"",IF(N94="",B94,N94)+O94)</f>
        <v/>
      </c>
      <c r="Q94" s="10"/>
      <c r="R94" s="8"/>
      <c r="S94" s="7" t="str">
        <f aca="false">IF(OR(B94="",R94=""),"",R94-B94)</f>
        <v/>
      </c>
      <c r="T94" s="7" t="str">
        <f aca="true">IF(OR(B94="",P94=""),"",IF(R94&lt;&gt;"",IF(R94&gt;P94,"Traité hors délai","Non"),IF(Q94="Classé sans suite","Non",IF(TODAY()&gt;P94,"OUI","Non"))))</f>
        <v/>
      </c>
      <c r="U94" s="11"/>
    </row>
    <row r="95" customFormat="false" ht="15" hidden="false" customHeight="false" outlineLevel="0" collapsed="false">
      <c r="A95" s="7" t="str">
        <f aca="false">IF(B95="","",YEAR(B95)&amp;"/"&amp;TEXT(ROW()-4,"0000"))</f>
        <v/>
      </c>
      <c r="B95" s="8"/>
      <c r="C95" s="7" t="str">
        <f aca="false">IF(B95="","",INT((B95-DATE(YEAR(B95-WEEKDAY(B95-1)+4),1,3)+WEEKDAY(DATE(YEAR(B95-WEEKDAY(B95-1)+4),1,3))+5)/7))</f>
        <v/>
      </c>
      <c r="D95" s="9" t="str">
        <f aca="false">IF(B95="","",B95-WEEKDAY(B95,2)+1)</f>
        <v/>
      </c>
      <c r="E95" s="10"/>
      <c r="F95" s="8"/>
      <c r="G95" s="11"/>
      <c r="H95" s="10"/>
      <c r="I95" s="11"/>
      <c r="J95" s="10"/>
      <c r="K95" s="10"/>
      <c r="L95" s="10"/>
      <c r="M95" s="11"/>
      <c r="N95" s="8"/>
      <c r="O95" s="7" t="str">
        <f aca="false">IF(L95="","",IFERROR(VLOOKUP(L95,Paramètres!$F$5:$G$8,2,FALSE()),""))</f>
        <v/>
      </c>
      <c r="P95" s="9" t="str">
        <f aca="false">IF(OR(B95="",O95=""),"",IF(N95="",B95,N95)+O95)</f>
        <v/>
      </c>
      <c r="Q95" s="10"/>
      <c r="R95" s="8"/>
      <c r="S95" s="7" t="str">
        <f aca="false">IF(OR(B95="",R95=""),"",R95-B95)</f>
        <v/>
      </c>
      <c r="T95" s="7" t="str">
        <f aca="true">IF(OR(B95="",P95=""),"",IF(R95&lt;&gt;"",IF(R95&gt;P95,"Traité hors délai","Non"),IF(Q95="Classé sans suite","Non",IF(TODAY()&gt;P95,"OUI","Non"))))</f>
        <v/>
      </c>
      <c r="U95" s="11"/>
    </row>
    <row r="96" customFormat="false" ht="15" hidden="false" customHeight="false" outlineLevel="0" collapsed="false">
      <c r="A96" s="7" t="str">
        <f aca="false">IF(B96="","",YEAR(B96)&amp;"/"&amp;TEXT(ROW()-4,"0000"))</f>
        <v/>
      </c>
      <c r="B96" s="8"/>
      <c r="C96" s="7" t="str">
        <f aca="false">IF(B96="","",INT((B96-DATE(YEAR(B96-WEEKDAY(B96-1)+4),1,3)+WEEKDAY(DATE(YEAR(B96-WEEKDAY(B96-1)+4),1,3))+5)/7))</f>
        <v/>
      </c>
      <c r="D96" s="9" t="str">
        <f aca="false">IF(B96="","",B96-WEEKDAY(B96,2)+1)</f>
        <v/>
      </c>
      <c r="E96" s="10"/>
      <c r="F96" s="8"/>
      <c r="G96" s="11"/>
      <c r="H96" s="10"/>
      <c r="I96" s="11"/>
      <c r="J96" s="10"/>
      <c r="K96" s="10"/>
      <c r="L96" s="10"/>
      <c r="M96" s="11"/>
      <c r="N96" s="8"/>
      <c r="O96" s="7" t="str">
        <f aca="false">IF(L96="","",IFERROR(VLOOKUP(L96,Paramètres!$F$5:$G$8,2,FALSE()),""))</f>
        <v/>
      </c>
      <c r="P96" s="9" t="str">
        <f aca="false">IF(OR(B96="",O96=""),"",IF(N96="",B96,N96)+O96)</f>
        <v/>
      </c>
      <c r="Q96" s="10"/>
      <c r="R96" s="8"/>
      <c r="S96" s="7" t="str">
        <f aca="false">IF(OR(B96="",R96=""),"",R96-B96)</f>
        <v/>
      </c>
      <c r="T96" s="7" t="str">
        <f aca="true">IF(OR(B96="",P96=""),"",IF(R96&lt;&gt;"",IF(R96&gt;P96,"Traité hors délai","Non"),IF(Q96="Classé sans suite","Non",IF(TODAY()&gt;P96,"OUI","Non"))))</f>
        <v/>
      </c>
      <c r="U96" s="11"/>
    </row>
    <row r="97" customFormat="false" ht="15" hidden="false" customHeight="false" outlineLevel="0" collapsed="false">
      <c r="A97" s="7" t="str">
        <f aca="false">IF(B97="","",YEAR(B97)&amp;"/"&amp;TEXT(ROW()-4,"0000"))</f>
        <v/>
      </c>
      <c r="B97" s="8"/>
      <c r="C97" s="7" t="str">
        <f aca="false">IF(B97="","",INT((B97-DATE(YEAR(B97-WEEKDAY(B97-1)+4),1,3)+WEEKDAY(DATE(YEAR(B97-WEEKDAY(B97-1)+4),1,3))+5)/7))</f>
        <v/>
      </c>
      <c r="D97" s="9" t="str">
        <f aca="false">IF(B97="","",B97-WEEKDAY(B97,2)+1)</f>
        <v/>
      </c>
      <c r="E97" s="10"/>
      <c r="F97" s="8"/>
      <c r="G97" s="11"/>
      <c r="H97" s="10"/>
      <c r="I97" s="11"/>
      <c r="J97" s="10"/>
      <c r="K97" s="10"/>
      <c r="L97" s="10"/>
      <c r="M97" s="11"/>
      <c r="N97" s="8"/>
      <c r="O97" s="7" t="str">
        <f aca="false">IF(L97="","",IFERROR(VLOOKUP(L97,Paramètres!$F$5:$G$8,2,FALSE()),""))</f>
        <v/>
      </c>
      <c r="P97" s="9" t="str">
        <f aca="false">IF(OR(B97="",O97=""),"",IF(N97="",B97,N97)+O97)</f>
        <v/>
      </c>
      <c r="Q97" s="10"/>
      <c r="R97" s="8"/>
      <c r="S97" s="7" t="str">
        <f aca="false">IF(OR(B97="",R97=""),"",R97-B97)</f>
        <v/>
      </c>
      <c r="T97" s="7" t="str">
        <f aca="true">IF(OR(B97="",P97=""),"",IF(R97&lt;&gt;"",IF(R97&gt;P97,"Traité hors délai","Non"),IF(Q97="Classé sans suite","Non",IF(TODAY()&gt;P97,"OUI","Non"))))</f>
        <v/>
      </c>
      <c r="U97" s="11"/>
    </row>
    <row r="98" customFormat="false" ht="15" hidden="false" customHeight="false" outlineLevel="0" collapsed="false">
      <c r="A98" s="7" t="str">
        <f aca="false">IF(B98="","",YEAR(B98)&amp;"/"&amp;TEXT(ROW()-4,"0000"))</f>
        <v/>
      </c>
      <c r="B98" s="8"/>
      <c r="C98" s="7" t="str">
        <f aca="false">IF(B98="","",INT((B98-DATE(YEAR(B98-WEEKDAY(B98-1)+4),1,3)+WEEKDAY(DATE(YEAR(B98-WEEKDAY(B98-1)+4),1,3))+5)/7))</f>
        <v/>
      </c>
      <c r="D98" s="9" t="str">
        <f aca="false">IF(B98="","",B98-WEEKDAY(B98,2)+1)</f>
        <v/>
      </c>
      <c r="E98" s="10"/>
      <c r="F98" s="8"/>
      <c r="G98" s="11"/>
      <c r="H98" s="10"/>
      <c r="I98" s="11"/>
      <c r="J98" s="10"/>
      <c r="K98" s="10"/>
      <c r="L98" s="10"/>
      <c r="M98" s="11"/>
      <c r="N98" s="8"/>
      <c r="O98" s="7" t="str">
        <f aca="false">IF(L98="","",IFERROR(VLOOKUP(L98,Paramètres!$F$5:$G$8,2,FALSE()),""))</f>
        <v/>
      </c>
      <c r="P98" s="9" t="str">
        <f aca="false">IF(OR(B98="",O98=""),"",IF(N98="",B98,N98)+O98)</f>
        <v/>
      </c>
      <c r="Q98" s="10"/>
      <c r="R98" s="8"/>
      <c r="S98" s="7" t="str">
        <f aca="false">IF(OR(B98="",R98=""),"",R98-B98)</f>
        <v/>
      </c>
      <c r="T98" s="7" t="str">
        <f aca="true">IF(OR(B98="",P98=""),"",IF(R98&lt;&gt;"",IF(R98&gt;P98,"Traité hors délai","Non"),IF(Q98="Classé sans suite","Non",IF(TODAY()&gt;P98,"OUI","Non"))))</f>
        <v/>
      </c>
      <c r="U98" s="11"/>
    </row>
    <row r="99" customFormat="false" ht="15" hidden="false" customHeight="false" outlineLevel="0" collapsed="false">
      <c r="A99" s="7" t="str">
        <f aca="false">IF(B99="","",YEAR(B99)&amp;"/"&amp;TEXT(ROW()-4,"0000"))</f>
        <v/>
      </c>
      <c r="B99" s="8"/>
      <c r="C99" s="7" t="str">
        <f aca="false">IF(B99="","",INT((B99-DATE(YEAR(B99-WEEKDAY(B99-1)+4),1,3)+WEEKDAY(DATE(YEAR(B99-WEEKDAY(B99-1)+4),1,3))+5)/7))</f>
        <v/>
      </c>
      <c r="D99" s="9" t="str">
        <f aca="false">IF(B99="","",B99-WEEKDAY(B99,2)+1)</f>
        <v/>
      </c>
      <c r="E99" s="10"/>
      <c r="F99" s="8"/>
      <c r="G99" s="11"/>
      <c r="H99" s="10"/>
      <c r="I99" s="11"/>
      <c r="J99" s="10"/>
      <c r="K99" s="10"/>
      <c r="L99" s="10"/>
      <c r="M99" s="11"/>
      <c r="N99" s="8"/>
      <c r="O99" s="7" t="str">
        <f aca="false">IF(L99="","",IFERROR(VLOOKUP(L99,Paramètres!$F$5:$G$8,2,FALSE()),""))</f>
        <v/>
      </c>
      <c r="P99" s="9" t="str">
        <f aca="false">IF(OR(B99="",O99=""),"",IF(N99="",B99,N99)+O99)</f>
        <v/>
      </c>
      <c r="Q99" s="10"/>
      <c r="R99" s="8"/>
      <c r="S99" s="7" t="str">
        <f aca="false">IF(OR(B99="",R99=""),"",R99-B99)</f>
        <v/>
      </c>
      <c r="T99" s="7" t="str">
        <f aca="true">IF(OR(B99="",P99=""),"",IF(R99&lt;&gt;"",IF(R99&gt;P99,"Traité hors délai","Non"),IF(Q99="Classé sans suite","Non",IF(TODAY()&gt;P99,"OUI","Non"))))</f>
        <v/>
      </c>
      <c r="U99" s="11"/>
    </row>
    <row r="100" customFormat="false" ht="15" hidden="false" customHeight="false" outlineLevel="0" collapsed="false">
      <c r="A100" s="7" t="str">
        <f aca="false">IF(B100="","",YEAR(B100)&amp;"/"&amp;TEXT(ROW()-4,"0000"))</f>
        <v/>
      </c>
      <c r="B100" s="8"/>
      <c r="C100" s="7" t="str">
        <f aca="false">IF(B100="","",INT((B100-DATE(YEAR(B100-WEEKDAY(B100-1)+4),1,3)+WEEKDAY(DATE(YEAR(B100-WEEKDAY(B100-1)+4),1,3))+5)/7))</f>
        <v/>
      </c>
      <c r="D100" s="9" t="str">
        <f aca="false">IF(B100="","",B100-WEEKDAY(B100,2)+1)</f>
        <v/>
      </c>
      <c r="E100" s="10"/>
      <c r="F100" s="8"/>
      <c r="G100" s="11"/>
      <c r="H100" s="10"/>
      <c r="I100" s="11"/>
      <c r="J100" s="10"/>
      <c r="K100" s="10"/>
      <c r="L100" s="10"/>
      <c r="M100" s="11"/>
      <c r="N100" s="8"/>
      <c r="O100" s="7" t="str">
        <f aca="false">IF(L100="","",IFERROR(VLOOKUP(L100,Paramètres!$F$5:$G$8,2,FALSE()),""))</f>
        <v/>
      </c>
      <c r="P100" s="9" t="str">
        <f aca="false">IF(OR(B100="",O100=""),"",IF(N100="",B100,N100)+O100)</f>
        <v/>
      </c>
      <c r="Q100" s="10"/>
      <c r="R100" s="8"/>
      <c r="S100" s="7" t="str">
        <f aca="false">IF(OR(B100="",R100=""),"",R100-B100)</f>
        <v/>
      </c>
      <c r="T100" s="7" t="str">
        <f aca="true">IF(OR(B100="",P100=""),"",IF(R100&lt;&gt;"",IF(R100&gt;P100,"Traité hors délai","Non"),IF(Q100="Classé sans suite","Non",IF(TODAY()&gt;P100,"OUI","Non"))))</f>
        <v/>
      </c>
      <c r="U100" s="11"/>
    </row>
    <row r="101" customFormat="false" ht="15" hidden="false" customHeight="false" outlineLevel="0" collapsed="false">
      <c r="A101" s="7" t="str">
        <f aca="false">IF(B101="","",YEAR(B101)&amp;"/"&amp;TEXT(ROW()-4,"0000"))</f>
        <v/>
      </c>
      <c r="B101" s="8"/>
      <c r="C101" s="7" t="str">
        <f aca="false">IF(B101="","",INT((B101-DATE(YEAR(B101-WEEKDAY(B101-1)+4),1,3)+WEEKDAY(DATE(YEAR(B101-WEEKDAY(B101-1)+4),1,3))+5)/7))</f>
        <v/>
      </c>
      <c r="D101" s="9" t="str">
        <f aca="false">IF(B101="","",B101-WEEKDAY(B101,2)+1)</f>
        <v/>
      </c>
      <c r="E101" s="10"/>
      <c r="F101" s="8"/>
      <c r="G101" s="11"/>
      <c r="H101" s="10"/>
      <c r="I101" s="11"/>
      <c r="J101" s="10"/>
      <c r="K101" s="10"/>
      <c r="L101" s="10"/>
      <c r="M101" s="11"/>
      <c r="N101" s="8"/>
      <c r="O101" s="7" t="str">
        <f aca="false">IF(L101="","",IFERROR(VLOOKUP(L101,Paramètres!$F$5:$G$8,2,FALSE()),""))</f>
        <v/>
      </c>
      <c r="P101" s="9" t="str">
        <f aca="false">IF(OR(B101="",O101=""),"",IF(N101="",B101,N101)+O101)</f>
        <v/>
      </c>
      <c r="Q101" s="10"/>
      <c r="R101" s="8"/>
      <c r="S101" s="7" t="str">
        <f aca="false">IF(OR(B101="",R101=""),"",R101-B101)</f>
        <v/>
      </c>
      <c r="T101" s="7" t="str">
        <f aca="true">IF(OR(B101="",P101=""),"",IF(R101&lt;&gt;"",IF(R101&gt;P101,"Traité hors délai","Non"),IF(Q101="Classé sans suite","Non",IF(TODAY()&gt;P101,"OUI","Non"))))</f>
        <v/>
      </c>
      <c r="U101" s="11"/>
    </row>
    <row r="102" customFormat="false" ht="15" hidden="false" customHeight="false" outlineLevel="0" collapsed="false">
      <c r="A102" s="7" t="str">
        <f aca="false">IF(B102="","",YEAR(B102)&amp;"/"&amp;TEXT(ROW()-4,"0000"))</f>
        <v/>
      </c>
      <c r="B102" s="8"/>
      <c r="C102" s="7" t="str">
        <f aca="false">IF(B102="","",INT((B102-DATE(YEAR(B102-WEEKDAY(B102-1)+4),1,3)+WEEKDAY(DATE(YEAR(B102-WEEKDAY(B102-1)+4),1,3))+5)/7))</f>
        <v/>
      </c>
      <c r="D102" s="9" t="str">
        <f aca="false">IF(B102="","",B102-WEEKDAY(B102,2)+1)</f>
        <v/>
      </c>
      <c r="E102" s="10"/>
      <c r="F102" s="8"/>
      <c r="G102" s="11"/>
      <c r="H102" s="10"/>
      <c r="I102" s="11"/>
      <c r="J102" s="10"/>
      <c r="K102" s="10"/>
      <c r="L102" s="10"/>
      <c r="M102" s="11"/>
      <c r="N102" s="8"/>
      <c r="O102" s="7" t="str">
        <f aca="false">IF(L102="","",IFERROR(VLOOKUP(L102,Paramètres!$F$5:$G$8,2,FALSE()),""))</f>
        <v/>
      </c>
      <c r="P102" s="9" t="str">
        <f aca="false">IF(OR(B102="",O102=""),"",IF(N102="",B102,N102)+O102)</f>
        <v/>
      </c>
      <c r="Q102" s="10"/>
      <c r="R102" s="8"/>
      <c r="S102" s="7" t="str">
        <f aca="false">IF(OR(B102="",R102=""),"",R102-B102)</f>
        <v/>
      </c>
      <c r="T102" s="7" t="str">
        <f aca="true">IF(OR(B102="",P102=""),"",IF(R102&lt;&gt;"",IF(R102&gt;P102,"Traité hors délai","Non"),IF(Q102="Classé sans suite","Non",IF(TODAY()&gt;P102,"OUI","Non"))))</f>
        <v/>
      </c>
      <c r="U102" s="11"/>
    </row>
    <row r="103" customFormat="false" ht="15" hidden="false" customHeight="false" outlineLevel="0" collapsed="false">
      <c r="A103" s="7" t="str">
        <f aca="false">IF(B103="","",YEAR(B103)&amp;"/"&amp;TEXT(ROW()-4,"0000"))</f>
        <v/>
      </c>
      <c r="B103" s="8"/>
      <c r="C103" s="7" t="str">
        <f aca="false">IF(B103="","",INT((B103-DATE(YEAR(B103-WEEKDAY(B103-1)+4),1,3)+WEEKDAY(DATE(YEAR(B103-WEEKDAY(B103-1)+4),1,3))+5)/7))</f>
        <v/>
      </c>
      <c r="D103" s="9" t="str">
        <f aca="false">IF(B103="","",B103-WEEKDAY(B103,2)+1)</f>
        <v/>
      </c>
      <c r="E103" s="10"/>
      <c r="F103" s="8"/>
      <c r="G103" s="11"/>
      <c r="H103" s="10"/>
      <c r="I103" s="11"/>
      <c r="J103" s="10"/>
      <c r="K103" s="10"/>
      <c r="L103" s="10"/>
      <c r="M103" s="11"/>
      <c r="N103" s="8"/>
      <c r="O103" s="7" t="str">
        <f aca="false">IF(L103="","",IFERROR(VLOOKUP(L103,Paramètres!$F$5:$G$8,2,FALSE()),""))</f>
        <v/>
      </c>
      <c r="P103" s="9" t="str">
        <f aca="false">IF(OR(B103="",O103=""),"",IF(N103="",B103,N103)+O103)</f>
        <v/>
      </c>
      <c r="Q103" s="10"/>
      <c r="R103" s="8"/>
      <c r="S103" s="7" t="str">
        <f aca="false">IF(OR(B103="",R103=""),"",R103-B103)</f>
        <v/>
      </c>
      <c r="T103" s="7" t="str">
        <f aca="true">IF(OR(B103="",P103=""),"",IF(R103&lt;&gt;"",IF(R103&gt;P103,"Traité hors délai","Non"),IF(Q103="Classé sans suite","Non",IF(TODAY()&gt;P103,"OUI","Non"))))</f>
        <v/>
      </c>
      <c r="U103" s="11"/>
    </row>
    <row r="104" customFormat="false" ht="15" hidden="false" customHeight="false" outlineLevel="0" collapsed="false">
      <c r="A104" s="7" t="str">
        <f aca="false">IF(B104="","",YEAR(B104)&amp;"/"&amp;TEXT(ROW()-4,"0000"))</f>
        <v/>
      </c>
      <c r="B104" s="8"/>
      <c r="C104" s="7" t="str">
        <f aca="false">IF(B104="","",INT((B104-DATE(YEAR(B104-WEEKDAY(B104-1)+4),1,3)+WEEKDAY(DATE(YEAR(B104-WEEKDAY(B104-1)+4),1,3))+5)/7))</f>
        <v/>
      </c>
      <c r="D104" s="9" t="str">
        <f aca="false">IF(B104="","",B104-WEEKDAY(B104,2)+1)</f>
        <v/>
      </c>
      <c r="E104" s="10"/>
      <c r="F104" s="8"/>
      <c r="G104" s="11"/>
      <c r="H104" s="10"/>
      <c r="I104" s="11"/>
      <c r="J104" s="10"/>
      <c r="K104" s="10"/>
      <c r="L104" s="10"/>
      <c r="M104" s="11"/>
      <c r="N104" s="8"/>
      <c r="O104" s="7" t="str">
        <f aca="false">IF(L104="","",IFERROR(VLOOKUP(L104,Paramètres!$F$5:$G$8,2,FALSE()),""))</f>
        <v/>
      </c>
      <c r="P104" s="9" t="str">
        <f aca="false">IF(OR(B104="",O104=""),"",IF(N104="",B104,N104)+O104)</f>
        <v/>
      </c>
      <c r="Q104" s="10"/>
      <c r="R104" s="8"/>
      <c r="S104" s="7" t="str">
        <f aca="false">IF(OR(B104="",R104=""),"",R104-B104)</f>
        <v/>
      </c>
      <c r="T104" s="7" t="str">
        <f aca="true">IF(OR(B104="",P104=""),"",IF(R104&lt;&gt;"",IF(R104&gt;P104,"Traité hors délai","Non"),IF(Q104="Classé sans suite","Non",IF(TODAY()&gt;P104,"OUI","Non"))))</f>
        <v/>
      </c>
      <c r="U104" s="11"/>
    </row>
    <row r="105" customFormat="false" ht="15" hidden="false" customHeight="false" outlineLevel="0" collapsed="false">
      <c r="A105" s="7" t="str">
        <f aca="false">IF(B105="","",YEAR(B105)&amp;"/"&amp;TEXT(ROW()-4,"0000"))</f>
        <v/>
      </c>
      <c r="B105" s="8"/>
      <c r="C105" s="7" t="str">
        <f aca="false">IF(B105="","",INT((B105-DATE(YEAR(B105-WEEKDAY(B105-1)+4),1,3)+WEEKDAY(DATE(YEAR(B105-WEEKDAY(B105-1)+4),1,3))+5)/7))</f>
        <v/>
      </c>
      <c r="D105" s="9" t="str">
        <f aca="false">IF(B105="","",B105-WEEKDAY(B105,2)+1)</f>
        <v/>
      </c>
      <c r="E105" s="10"/>
      <c r="F105" s="8"/>
      <c r="G105" s="11"/>
      <c r="H105" s="10"/>
      <c r="I105" s="11"/>
      <c r="J105" s="10"/>
      <c r="K105" s="10"/>
      <c r="L105" s="10"/>
      <c r="M105" s="11"/>
      <c r="N105" s="8"/>
      <c r="O105" s="7" t="str">
        <f aca="false">IF(L105="","",IFERROR(VLOOKUP(L105,Paramètres!$F$5:$G$8,2,FALSE()),""))</f>
        <v/>
      </c>
      <c r="P105" s="9" t="str">
        <f aca="false">IF(OR(B105="",O105=""),"",IF(N105="",B105,N105)+O105)</f>
        <v/>
      </c>
      <c r="Q105" s="10"/>
      <c r="R105" s="8"/>
      <c r="S105" s="7" t="str">
        <f aca="false">IF(OR(B105="",R105=""),"",R105-B105)</f>
        <v/>
      </c>
      <c r="T105" s="7" t="str">
        <f aca="true">IF(OR(B105="",P105=""),"",IF(R105&lt;&gt;"",IF(R105&gt;P105,"Traité hors délai","Non"),IF(Q105="Classé sans suite","Non",IF(TODAY()&gt;P105,"OUI","Non"))))</f>
        <v/>
      </c>
      <c r="U105" s="11"/>
    </row>
    <row r="106" customFormat="false" ht="15" hidden="false" customHeight="false" outlineLevel="0" collapsed="false">
      <c r="A106" s="7" t="str">
        <f aca="false">IF(B106="","",YEAR(B106)&amp;"/"&amp;TEXT(ROW()-4,"0000"))</f>
        <v/>
      </c>
      <c r="B106" s="8"/>
      <c r="C106" s="7" t="str">
        <f aca="false">IF(B106="","",INT((B106-DATE(YEAR(B106-WEEKDAY(B106-1)+4),1,3)+WEEKDAY(DATE(YEAR(B106-WEEKDAY(B106-1)+4),1,3))+5)/7))</f>
        <v/>
      </c>
      <c r="D106" s="9" t="str">
        <f aca="false">IF(B106="","",B106-WEEKDAY(B106,2)+1)</f>
        <v/>
      </c>
      <c r="E106" s="10"/>
      <c r="F106" s="8"/>
      <c r="G106" s="11"/>
      <c r="H106" s="10"/>
      <c r="I106" s="11"/>
      <c r="J106" s="10"/>
      <c r="K106" s="10"/>
      <c r="L106" s="10"/>
      <c r="M106" s="11"/>
      <c r="N106" s="8"/>
      <c r="O106" s="7" t="str">
        <f aca="false">IF(L106="","",IFERROR(VLOOKUP(L106,Paramètres!$F$5:$G$8,2,FALSE()),""))</f>
        <v/>
      </c>
      <c r="P106" s="9" t="str">
        <f aca="false">IF(OR(B106="",O106=""),"",IF(N106="",B106,N106)+O106)</f>
        <v/>
      </c>
      <c r="Q106" s="10"/>
      <c r="R106" s="8"/>
      <c r="S106" s="7" t="str">
        <f aca="false">IF(OR(B106="",R106=""),"",R106-B106)</f>
        <v/>
      </c>
      <c r="T106" s="7" t="str">
        <f aca="true">IF(OR(B106="",P106=""),"",IF(R106&lt;&gt;"",IF(R106&gt;P106,"Traité hors délai","Non"),IF(Q106="Classé sans suite","Non",IF(TODAY()&gt;P106,"OUI","Non"))))</f>
        <v/>
      </c>
      <c r="U106" s="11"/>
    </row>
    <row r="107" customFormat="false" ht="15" hidden="false" customHeight="false" outlineLevel="0" collapsed="false">
      <c r="A107" s="7" t="str">
        <f aca="false">IF(B107="","",YEAR(B107)&amp;"/"&amp;TEXT(ROW()-4,"0000"))</f>
        <v/>
      </c>
      <c r="B107" s="8"/>
      <c r="C107" s="7" t="str">
        <f aca="false">IF(B107="","",INT((B107-DATE(YEAR(B107-WEEKDAY(B107-1)+4),1,3)+WEEKDAY(DATE(YEAR(B107-WEEKDAY(B107-1)+4),1,3))+5)/7))</f>
        <v/>
      </c>
      <c r="D107" s="9" t="str">
        <f aca="false">IF(B107="","",B107-WEEKDAY(B107,2)+1)</f>
        <v/>
      </c>
      <c r="E107" s="10"/>
      <c r="F107" s="8"/>
      <c r="G107" s="11"/>
      <c r="H107" s="10"/>
      <c r="I107" s="11"/>
      <c r="J107" s="10"/>
      <c r="K107" s="10"/>
      <c r="L107" s="10"/>
      <c r="M107" s="11"/>
      <c r="N107" s="8"/>
      <c r="O107" s="7" t="str">
        <f aca="false">IF(L107="","",IFERROR(VLOOKUP(L107,Paramètres!$F$5:$G$8,2,FALSE()),""))</f>
        <v/>
      </c>
      <c r="P107" s="9" t="str">
        <f aca="false">IF(OR(B107="",O107=""),"",IF(N107="",B107,N107)+O107)</f>
        <v/>
      </c>
      <c r="Q107" s="10"/>
      <c r="R107" s="8"/>
      <c r="S107" s="7" t="str">
        <f aca="false">IF(OR(B107="",R107=""),"",R107-B107)</f>
        <v/>
      </c>
      <c r="T107" s="7" t="str">
        <f aca="true">IF(OR(B107="",P107=""),"",IF(R107&lt;&gt;"",IF(R107&gt;P107,"Traité hors délai","Non"),IF(Q107="Classé sans suite","Non",IF(TODAY()&gt;P107,"OUI","Non"))))</f>
        <v/>
      </c>
      <c r="U107" s="11"/>
    </row>
    <row r="108" customFormat="false" ht="15" hidden="false" customHeight="false" outlineLevel="0" collapsed="false">
      <c r="A108" s="7" t="str">
        <f aca="false">IF(B108="","",YEAR(B108)&amp;"/"&amp;TEXT(ROW()-4,"0000"))</f>
        <v/>
      </c>
      <c r="B108" s="8"/>
      <c r="C108" s="7" t="str">
        <f aca="false">IF(B108="","",INT((B108-DATE(YEAR(B108-WEEKDAY(B108-1)+4),1,3)+WEEKDAY(DATE(YEAR(B108-WEEKDAY(B108-1)+4),1,3))+5)/7))</f>
        <v/>
      </c>
      <c r="D108" s="9" t="str">
        <f aca="false">IF(B108="","",B108-WEEKDAY(B108,2)+1)</f>
        <v/>
      </c>
      <c r="E108" s="10"/>
      <c r="F108" s="8"/>
      <c r="G108" s="11"/>
      <c r="H108" s="10"/>
      <c r="I108" s="11"/>
      <c r="J108" s="10"/>
      <c r="K108" s="10"/>
      <c r="L108" s="10"/>
      <c r="M108" s="11"/>
      <c r="N108" s="8"/>
      <c r="O108" s="7" t="str">
        <f aca="false">IF(L108="","",IFERROR(VLOOKUP(L108,Paramètres!$F$5:$G$8,2,FALSE()),""))</f>
        <v/>
      </c>
      <c r="P108" s="9" t="str">
        <f aca="false">IF(OR(B108="",O108=""),"",IF(N108="",B108,N108)+O108)</f>
        <v/>
      </c>
      <c r="Q108" s="10"/>
      <c r="R108" s="8"/>
      <c r="S108" s="7" t="str">
        <f aca="false">IF(OR(B108="",R108=""),"",R108-B108)</f>
        <v/>
      </c>
      <c r="T108" s="7" t="str">
        <f aca="true">IF(OR(B108="",P108=""),"",IF(R108&lt;&gt;"",IF(R108&gt;P108,"Traité hors délai","Non"),IF(Q108="Classé sans suite","Non",IF(TODAY()&gt;P108,"OUI","Non"))))</f>
        <v/>
      </c>
      <c r="U108" s="11"/>
    </row>
    <row r="109" customFormat="false" ht="15" hidden="false" customHeight="false" outlineLevel="0" collapsed="false">
      <c r="A109" s="7" t="str">
        <f aca="false">IF(B109="","",YEAR(B109)&amp;"/"&amp;TEXT(ROW()-4,"0000"))</f>
        <v/>
      </c>
      <c r="B109" s="8"/>
      <c r="C109" s="7" t="str">
        <f aca="false">IF(B109="","",INT((B109-DATE(YEAR(B109-WEEKDAY(B109-1)+4),1,3)+WEEKDAY(DATE(YEAR(B109-WEEKDAY(B109-1)+4),1,3))+5)/7))</f>
        <v/>
      </c>
      <c r="D109" s="9" t="str">
        <f aca="false">IF(B109="","",B109-WEEKDAY(B109,2)+1)</f>
        <v/>
      </c>
      <c r="E109" s="10"/>
      <c r="F109" s="8"/>
      <c r="G109" s="11"/>
      <c r="H109" s="10"/>
      <c r="I109" s="11"/>
      <c r="J109" s="10"/>
      <c r="K109" s="10"/>
      <c r="L109" s="10"/>
      <c r="M109" s="11"/>
      <c r="N109" s="8"/>
      <c r="O109" s="7" t="str">
        <f aca="false">IF(L109="","",IFERROR(VLOOKUP(L109,Paramètres!$F$5:$G$8,2,FALSE()),""))</f>
        <v/>
      </c>
      <c r="P109" s="9" t="str">
        <f aca="false">IF(OR(B109="",O109=""),"",IF(N109="",B109,N109)+O109)</f>
        <v/>
      </c>
      <c r="Q109" s="10"/>
      <c r="R109" s="8"/>
      <c r="S109" s="7" t="str">
        <f aca="false">IF(OR(B109="",R109=""),"",R109-B109)</f>
        <v/>
      </c>
      <c r="T109" s="7" t="str">
        <f aca="true">IF(OR(B109="",P109=""),"",IF(R109&lt;&gt;"",IF(R109&gt;P109,"Traité hors délai","Non"),IF(Q109="Classé sans suite","Non",IF(TODAY()&gt;P109,"OUI","Non"))))</f>
        <v/>
      </c>
      <c r="U109" s="11"/>
    </row>
    <row r="110" customFormat="false" ht="15" hidden="false" customHeight="false" outlineLevel="0" collapsed="false">
      <c r="A110" s="7" t="str">
        <f aca="false">IF(B110="","",YEAR(B110)&amp;"/"&amp;TEXT(ROW()-4,"0000"))</f>
        <v/>
      </c>
      <c r="B110" s="8"/>
      <c r="C110" s="7" t="str">
        <f aca="false">IF(B110="","",INT((B110-DATE(YEAR(B110-WEEKDAY(B110-1)+4),1,3)+WEEKDAY(DATE(YEAR(B110-WEEKDAY(B110-1)+4),1,3))+5)/7))</f>
        <v/>
      </c>
      <c r="D110" s="9" t="str">
        <f aca="false">IF(B110="","",B110-WEEKDAY(B110,2)+1)</f>
        <v/>
      </c>
      <c r="E110" s="10"/>
      <c r="F110" s="8"/>
      <c r="G110" s="11"/>
      <c r="H110" s="10"/>
      <c r="I110" s="11"/>
      <c r="J110" s="10"/>
      <c r="K110" s="10"/>
      <c r="L110" s="10"/>
      <c r="M110" s="11"/>
      <c r="N110" s="8"/>
      <c r="O110" s="7" t="str">
        <f aca="false">IF(L110="","",IFERROR(VLOOKUP(L110,Paramètres!$F$5:$G$8,2,FALSE()),""))</f>
        <v/>
      </c>
      <c r="P110" s="9" t="str">
        <f aca="false">IF(OR(B110="",O110=""),"",IF(N110="",B110,N110)+O110)</f>
        <v/>
      </c>
      <c r="Q110" s="10"/>
      <c r="R110" s="8"/>
      <c r="S110" s="7" t="str">
        <f aca="false">IF(OR(B110="",R110=""),"",R110-B110)</f>
        <v/>
      </c>
      <c r="T110" s="7" t="str">
        <f aca="true">IF(OR(B110="",P110=""),"",IF(R110&lt;&gt;"",IF(R110&gt;P110,"Traité hors délai","Non"),IF(Q110="Classé sans suite","Non",IF(TODAY()&gt;P110,"OUI","Non"))))</f>
        <v/>
      </c>
      <c r="U110" s="11"/>
    </row>
    <row r="111" customFormat="false" ht="15" hidden="false" customHeight="false" outlineLevel="0" collapsed="false">
      <c r="A111" s="7" t="str">
        <f aca="false">IF(B111="","",YEAR(B111)&amp;"/"&amp;TEXT(ROW()-4,"0000"))</f>
        <v/>
      </c>
      <c r="B111" s="8"/>
      <c r="C111" s="7" t="str">
        <f aca="false">IF(B111="","",INT((B111-DATE(YEAR(B111-WEEKDAY(B111-1)+4),1,3)+WEEKDAY(DATE(YEAR(B111-WEEKDAY(B111-1)+4),1,3))+5)/7))</f>
        <v/>
      </c>
      <c r="D111" s="9" t="str">
        <f aca="false">IF(B111="","",B111-WEEKDAY(B111,2)+1)</f>
        <v/>
      </c>
      <c r="E111" s="10"/>
      <c r="F111" s="8"/>
      <c r="G111" s="11"/>
      <c r="H111" s="10"/>
      <c r="I111" s="11"/>
      <c r="J111" s="10"/>
      <c r="K111" s="10"/>
      <c r="L111" s="10"/>
      <c r="M111" s="11"/>
      <c r="N111" s="8"/>
      <c r="O111" s="7" t="str">
        <f aca="false">IF(L111="","",IFERROR(VLOOKUP(L111,Paramètres!$F$5:$G$8,2,FALSE()),""))</f>
        <v/>
      </c>
      <c r="P111" s="9" t="str">
        <f aca="false">IF(OR(B111="",O111=""),"",IF(N111="",B111,N111)+O111)</f>
        <v/>
      </c>
      <c r="Q111" s="10"/>
      <c r="R111" s="8"/>
      <c r="S111" s="7" t="str">
        <f aca="false">IF(OR(B111="",R111=""),"",R111-B111)</f>
        <v/>
      </c>
      <c r="T111" s="7" t="str">
        <f aca="true">IF(OR(B111="",P111=""),"",IF(R111&lt;&gt;"",IF(R111&gt;P111,"Traité hors délai","Non"),IF(Q111="Classé sans suite","Non",IF(TODAY()&gt;P111,"OUI","Non"))))</f>
        <v/>
      </c>
      <c r="U111" s="11"/>
    </row>
    <row r="112" customFormat="false" ht="15" hidden="false" customHeight="false" outlineLevel="0" collapsed="false">
      <c r="A112" s="7" t="str">
        <f aca="false">IF(B112="","",YEAR(B112)&amp;"/"&amp;TEXT(ROW()-4,"0000"))</f>
        <v/>
      </c>
      <c r="B112" s="8"/>
      <c r="C112" s="7" t="str">
        <f aca="false">IF(B112="","",INT((B112-DATE(YEAR(B112-WEEKDAY(B112-1)+4),1,3)+WEEKDAY(DATE(YEAR(B112-WEEKDAY(B112-1)+4),1,3))+5)/7))</f>
        <v/>
      </c>
      <c r="D112" s="9" t="str">
        <f aca="false">IF(B112="","",B112-WEEKDAY(B112,2)+1)</f>
        <v/>
      </c>
      <c r="E112" s="10"/>
      <c r="F112" s="8"/>
      <c r="G112" s="11"/>
      <c r="H112" s="10"/>
      <c r="I112" s="11"/>
      <c r="J112" s="10"/>
      <c r="K112" s="10"/>
      <c r="L112" s="10"/>
      <c r="M112" s="11"/>
      <c r="N112" s="8"/>
      <c r="O112" s="7" t="str">
        <f aca="false">IF(L112="","",IFERROR(VLOOKUP(L112,Paramètres!$F$5:$G$8,2,FALSE()),""))</f>
        <v/>
      </c>
      <c r="P112" s="9" t="str">
        <f aca="false">IF(OR(B112="",O112=""),"",IF(N112="",B112,N112)+O112)</f>
        <v/>
      </c>
      <c r="Q112" s="10"/>
      <c r="R112" s="8"/>
      <c r="S112" s="7" t="str">
        <f aca="false">IF(OR(B112="",R112=""),"",R112-B112)</f>
        <v/>
      </c>
      <c r="T112" s="7" t="str">
        <f aca="true">IF(OR(B112="",P112=""),"",IF(R112&lt;&gt;"",IF(R112&gt;P112,"Traité hors délai","Non"),IF(Q112="Classé sans suite","Non",IF(TODAY()&gt;P112,"OUI","Non"))))</f>
        <v/>
      </c>
      <c r="U112" s="11"/>
    </row>
    <row r="113" customFormat="false" ht="15" hidden="false" customHeight="false" outlineLevel="0" collapsed="false">
      <c r="A113" s="7" t="str">
        <f aca="false">IF(B113="","",YEAR(B113)&amp;"/"&amp;TEXT(ROW()-4,"0000"))</f>
        <v/>
      </c>
      <c r="B113" s="8"/>
      <c r="C113" s="7" t="str">
        <f aca="false">IF(B113="","",INT((B113-DATE(YEAR(B113-WEEKDAY(B113-1)+4),1,3)+WEEKDAY(DATE(YEAR(B113-WEEKDAY(B113-1)+4),1,3))+5)/7))</f>
        <v/>
      </c>
      <c r="D113" s="9" t="str">
        <f aca="false">IF(B113="","",B113-WEEKDAY(B113,2)+1)</f>
        <v/>
      </c>
      <c r="E113" s="10"/>
      <c r="F113" s="8"/>
      <c r="G113" s="11"/>
      <c r="H113" s="10"/>
      <c r="I113" s="11"/>
      <c r="J113" s="10"/>
      <c r="K113" s="10"/>
      <c r="L113" s="10"/>
      <c r="M113" s="11"/>
      <c r="N113" s="8"/>
      <c r="O113" s="7" t="str">
        <f aca="false">IF(L113="","",IFERROR(VLOOKUP(L113,Paramètres!$F$5:$G$8,2,FALSE()),""))</f>
        <v/>
      </c>
      <c r="P113" s="9" t="str">
        <f aca="false">IF(OR(B113="",O113=""),"",IF(N113="",B113,N113)+O113)</f>
        <v/>
      </c>
      <c r="Q113" s="10"/>
      <c r="R113" s="8"/>
      <c r="S113" s="7" t="str">
        <f aca="false">IF(OR(B113="",R113=""),"",R113-B113)</f>
        <v/>
      </c>
      <c r="T113" s="7" t="str">
        <f aca="true">IF(OR(B113="",P113=""),"",IF(R113&lt;&gt;"",IF(R113&gt;P113,"Traité hors délai","Non"),IF(Q113="Classé sans suite","Non",IF(TODAY()&gt;P113,"OUI","Non"))))</f>
        <v/>
      </c>
      <c r="U113" s="11"/>
    </row>
    <row r="114" customFormat="false" ht="15" hidden="false" customHeight="false" outlineLevel="0" collapsed="false">
      <c r="A114" s="7" t="str">
        <f aca="false">IF(B114="","",YEAR(B114)&amp;"/"&amp;TEXT(ROW()-4,"0000"))</f>
        <v/>
      </c>
      <c r="B114" s="8"/>
      <c r="C114" s="7" t="str">
        <f aca="false">IF(B114="","",INT((B114-DATE(YEAR(B114-WEEKDAY(B114-1)+4),1,3)+WEEKDAY(DATE(YEAR(B114-WEEKDAY(B114-1)+4),1,3))+5)/7))</f>
        <v/>
      </c>
      <c r="D114" s="9" t="str">
        <f aca="false">IF(B114="","",B114-WEEKDAY(B114,2)+1)</f>
        <v/>
      </c>
      <c r="E114" s="10"/>
      <c r="F114" s="8"/>
      <c r="G114" s="11"/>
      <c r="H114" s="10"/>
      <c r="I114" s="11"/>
      <c r="J114" s="10"/>
      <c r="K114" s="10"/>
      <c r="L114" s="10"/>
      <c r="M114" s="11"/>
      <c r="N114" s="8"/>
      <c r="O114" s="7" t="str">
        <f aca="false">IF(L114="","",IFERROR(VLOOKUP(L114,Paramètres!$F$5:$G$8,2,FALSE()),""))</f>
        <v/>
      </c>
      <c r="P114" s="9" t="str">
        <f aca="false">IF(OR(B114="",O114=""),"",IF(N114="",B114,N114)+O114)</f>
        <v/>
      </c>
      <c r="Q114" s="10"/>
      <c r="R114" s="8"/>
      <c r="S114" s="7" t="str">
        <f aca="false">IF(OR(B114="",R114=""),"",R114-B114)</f>
        <v/>
      </c>
      <c r="T114" s="7" t="str">
        <f aca="true">IF(OR(B114="",P114=""),"",IF(R114&lt;&gt;"",IF(R114&gt;P114,"Traité hors délai","Non"),IF(Q114="Classé sans suite","Non",IF(TODAY()&gt;P114,"OUI","Non"))))</f>
        <v/>
      </c>
      <c r="U114" s="11"/>
    </row>
    <row r="115" customFormat="false" ht="15" hidden="false" customHeight="false" outlineLevel="0" collapsed="false">
      <c r="A115" s="7" t="str">
        <f aca="false">IF(B115="","",YEAR(B115)&amp;"/"&amp;TEXT(ROW()-4,"0000"))</f>
        <v/>
      </c>
      <c r="B115" s="8"/>
      <c r="C115" s="7" t="str">
        <f aca="false">IF(B115="","",INT((B115-DATE(YEAR(B115-WEEKDAY(B115-1)+4),1,3)+WEEKDAY(DATE(YEAR(B115-WEEKDAY(B115-1)+4),1,3))+5)/7))</f>
        <v/>
      </c>
      <c r="D115" s="9" t="str">
        <f aca="false">IF(B115="","",B115-WEEKDAY(B115,2)+1)</f>
        <v/>
      </c>
      <c r="E115" s="10"/>
      <c r="F115" s="8"/>
      <c r="G115" s="11"/>
      <c r="H115" s="10"/>
      <c r="I115" s="11"/>
      <c r="J115" s="10"/>
      <c r="K115" s="10"/>
      <c r="L115" s="10"/>
      <c r="M115" s="11"/>
      <c r="N115" s="8"/>
      <c r="O115" s="7" t="str">
        <f aca="false">IF(L115="","",IFERROR(VLOOKUP(L115,Paramètres!$F$5:$G$8,2,FALSE()),""))</f>
        <v/>
      </c>
      <c r="P115" s="9" t="str">
        <f aca="false">IF(OR(B115="",O115=""),"",IF(N115="",B115,N115)+O115)</f>
        <v/>
      </c>
      <c r="Q115" s="10"/>
      <c r="R115" s="8"/>
      <c r="S115" s="7" t="str">
        <f aca="false">IF(OR(B115="",R115=""),"",R115-B115)</f>
        <v/>
      </c>
      <c r="T115" s="7" t="str">
        <f aca="true">IF(OR(B115="",P115=""),"",IF(R115&lt;&gt;"",IF(R115&gt;P115,"Traité hors délai","Non"),IF(Q115="Classé sans suite","Non",IF(TODAY()&gt;P115,"OUI","Non"))))</f>
        <v/>
      </c>
      <c r="U115" s="11"/>
    </row>
    <row r="116" customFormat="false" ht="15" hidden="false" customHeight="false" outlineLevel="0" collapsed="false">
      <c r="A116" s="7" t="str">
        <f aca="false">IF(B116="","",YEAR(B116)&amp;"/"&amp;TEXT(ROW()-4,"0000"))</f>
        <v/>
      </c>
      <c r="B116" s="8"/>
      <c r="C116" s="7" t="str">
        <f aca="false">IF(B116="","",INT((B116-DATE(YEAR(B116-WEEKDAY(B116-1)+4),1,3)+WEEKDAY(DATE(YEAR(B116-WEEKDAY(B116-1)+4),1,3))+5)/7))</f>
        <v/>
      </c>
      <c r="D116" s="9" t="str">
        <f aca="false">IF(B116="","",B116-WEEKDAY(B116,2)+1)</f>
        <v/>
      </c>
      <c r="E116" s="10"/>
      <c r="F116" s="8"/>
      <c r="G116" s="11"/>
      <c r="H116" s="10"/>
      <c r="I116" s="11"/>
      <c r="J116" s="10"/>
      <c r="K116" s="10"/>
      <c r="L116" s="10"/>
      <c r="M116" s="11"/>
      <c r="N116" s="8"/>
      <c r="O116" s="7" t="str">
        <f aca="false">IF(L116="","",IFERROR(VLOOKUP(L116,Paramètres!$F$5:$G$8,2,FALSE()),""))</f>
        <v/>
      </c>
      <c r="P116" s="9" t="str">
        <f aca="false">IF(OR(B116="",O116=""),"",IF(N116="",B116,N116)+O116)</f>
        <v/>
      </c>
      <c r="Q116" s="10"/>
      <c r="R116" s="8"/>
      <c r="S116" s="7" t="str">
        <f aca="false">IF(OR(B116="",R116=""),"",R116-B116)</f>
        <v/>
      </c>
      <c r="T116" s="7" t="str">
        <f aca="true">IF(OR(B116="",P116=""),"",IF(R116&lt;&gt;"",IF(R116&gt;P116,"Traité hors délai","Non"),IF(Q116="Classé sans suite","Non",IF(TODAY()&gt;P116,"OUI","Non"))))</f>
        <v/>
      </c>
      <c r="U116" s="11"/>
    </row>
    <row r="117" customFormat="false" ht="15" hidden="false" customHeight="false" outlineLevel="0" collapsed="false">
      <c r="A117" s="7" t="str">
        <f aca="false">IF(B117="","",YEAR(B117)&amp;"/"&amp;TEXT(ROW()-4,"0000"))</f>
        <v/>
      </c>
      <c r="B117" s="8"/>
      <c r="C117" s="7" t="str">
        <f aca="false">IF(B117="","",INT((B117-DATE(YEAR(B117-WEEKDAY(B117-1)+4),1,3)+WEEKDAY(DATE(YEAR(B117-WEEKDAY(B117-1)+4),1,3))+5)/7))</f>
        <v/>
      </c>
      <c r="D117" s="9" t="str">
        <f aca="false">IF(B117="","",B117-WEEKDAY(B117,2)+1)</f>
        <v/>
      </c>
      <c r="E117" s="10"/>
      <c r="F117" s="8"/>
      <c r="G117" s="11"/>
      <c r="H117" s="10"/>
      <c r="I117" s="11"/>
      <c r="J117" s="10"/>
      <c r="K117" s="10"/>
      <c r="L117" s="10"/>
      <c r="M117" s="11"/>
      <c r="N117" s="8"/>
      <c r="O117" s="7" t="str">
        <f aca="false">IF(L117="","",IFERROR(VLOOKUP(L117,Paramètres!$F$5:$G$8,2,FALSE()),""))</f>
        <v/>
      </c>
      <c r="P117" s="9" t="str">
        <f aca="false">IF(OR(B117="",O117=""),"",IF(N117="",B117,N117)+O117)</f>
        <v/>
      </c>
      <c r="Q117" s="10"/>
      <c r="R117" s="8"/>
      <c r="S117" s="7" t="str">
        <f aca="false">IF(OR(B117="",R117=""),"",R117-B117)</f>
        <v/>
      </c>
      <c r="T117" s="7" t="str">
        <f aca="true">IF(OR(B117="",P117=""),"",IF(R117&lt;&gt;"",IF(R117&gt;P117,"Traité hors délai","Non"),IF(Q117="Classé sans suite","Non",IF(TODAY()&gt;P117,"OUI","Non"))))</f>
        <v/>
      </c>
      <c r="U117" s="11"/>
    </row>
    <row r="118" customFormat="false" ht="15" hidden="false" customHeight="false" outlineLevel="0" collapsed="false">
      <c r="A118" s="7" t="str">
        <f aca="false">IF(B118="","",YEAR(B118)&amp;"/"&amp;TEXT(ROW()-4,"0000"))</f>
        <v/>
      </c>
      <c r="B118" s="8"/>
      <c r="C118" s="7" t="str">
        <f aca="false">IF(B118="","",INT((B118-DATE(YEAR(B118-WEEKDAY(B118-1)+4),1,3)+WEEKDAY(DATE(YEAR(B118-WEEKDAY(B118-1)+4),1,3))+5)/7))</f>
        <v/>
      </c>
      <c r="D118" s="9" t="str">
        <f aca="false">IF(B118="","",B118-WEEKDAY(B118,2)+1)</f>
        <v/>
      </c>
      <c r="E118" s="10"/>
      <c r="F118" s="8"/>
      <c r="G118" s="11"/>
      <c r="H118" s="10"/>
      <c r="I118" s="11"/>
      <c r="J118" s="10"/>
      <c r="K118" s="10"/>
      <c r="L118" s="10"/>
      <c r="M118" s="11"/>
      <c r="N118" s="8"/>
      <c r="O118" s="7" t="str">
        <f aca="false">IF(L118="","",IFERROR(VLOOKUP(L118,Paramètres!$F$5:$G$8,2,FALSE()),""))</f>
        <v/>
      </c>
      <c r="P118" s="9" t="str">
        <f aca="false">IF(OR(B118="",O118=""),"",IF(N118="",B118,N118)+O118)</f>
        <v/>
      </c>
      <c r="Q118" s="10"/>
      <c r="R118" s="8"/>
      <c r="S118" s="7" t="str">
        <f aca="false">IF(OR(B118="",R118=""),"",R118-B118)</f>
        <v/>
      </c>
      <c r="T118" s="7" t="str">
        <f aca="true">IF(OR(B118="",P118=""),"",IF(R118&lt;&gt;"",IF(R118&gt;P118,"Traité hors délai","Non"),IF(Q118="Classé sans suite","Non",IF(TODAY()&gt;P118,"OUI","Non"))))</f>
        <v/>
      </c>
      <c r="U118" s="11"/>
    </row>
    <row r="119" customFormat="false" ht="15" hidden="false" customHeight="false" outlineLevel="0" collapsed="false">
      <c r="A119" s="7" t="str">
        <f aca="false">IF(B119="","",YEAR(B119)&amp;"/"&amp;TEXT(ROW()-4,"0000"))</f>
        <v/>
      </c>
      <c r="B119" s="8"/>
      <c r="C119" s="7" t="str">
        <f aca="false">IF(B119="","",INT((B119-DATE(YEAR(B119-WEEKDAY(B119-1)+4),1,3)+WEEKDAY(DATE(YEAR(B119-WEEKDAY(B119-1)+4),1,3))+5)/7))</f>
        <v/>
      </c>
      <c r="D119" s="9" t="str">
        <f aca="false">IF(B119="","",B119-WEEKDAY(B119,2)+1)</f>
        <v/>
      </c>
      <c r="E119" s="10"/>
      <c r="F119" s="8"/>
      <c r="G119" s="11"/>
      <c r="H119" s="10"/>
      <c r="I119" s="11"/>
      <c r="J119" s="10"/>
      <c r="K119" s="10"/>
      <c r="L119" s="10"/>
      <c r="M119" s="11"/>
      <c r="N119" s="8"/>
      <c r="O119" s="7" t="str">
        <f aca="false">IF(L119="","",IFERROR(VLOOKUP(L119,Paramètres!$F$5:$G$8,2,FALSE()),""))</f>
        <v/>
      </c>
      <c r="P119" s="9" t="str">
        <f aca="false">IF(OR(B119="",O119=""),"",IF(N119="",B119,N119)+O119)</f>
        <v/>
      </c>
      <c r="Q119" s="10"/>
      <c r="R119" s="8"/>
      <c r="S119" s="7" t="str">
        <f aca="false">IF(OR(B119="",R119=""),"",R119-B119)</f>
        <v/>
      </c>
      <c r="T119" s="7" t="str">
        <f aca="true">IF(OR(B119="",P119=""),"",IF(R119&lt;&gt;"",IF(R119&gt;P119,"Traité hors délai","Non"),IF(Q119="Classé sans suite","Non",IF(TODAY()&gt;P119,"OUI","Non"))))</f>
        <v/>
      </c>
      <c r="U119" s="11"/>
    </row>
    <row r="120" customFormat="false" ht="15" hidden="false" customHeight="false" outlineLevel="0" collapsed="false">
      <c r="A120" s="7" t="str">
        <f aca="false">IF(B120="","",YEAR(B120)&amp;"/"&amp;TEXT(ROW()-4,"0000"))</f>
        <v/>
      </c>
      <c r="B120" s="8"/>
      <c r="C120" s="7" t="str">
        <f aca="false">IF(B120="","",INT((B120-DATE(YEAR(B120-WEEKDAY(B120-1)+4),1,3)+WEEKDAY(DATE(YEAR(B120-WEEKDAY(B120-1)+4),1,3))+5)/7))</f>
        <v/>
      </c>
      <c r="D120" s="9" t="str">
        <f aca="false">IF(B120="","",B120-WEEKDAY(B120,2)+1)</f>
        <v/>
      </c>
      <c r="E120" s="10"/>
      <c r="F120" s="8"/>
      <c r="G120" s="11"/>
      <c r="H120" s="10"/>
      <c r="I120" s="11"/>
      <c r="J120" s="10"/>
      <c r="K120" s="10"/>
      <c r="L120" s="10"/>
      <c r="M120" s="11"/>
      <c r="N120" s="8"/>
      <c r="O120" s="7" t="str">
        <f aca="false">IF(L120="","",IFERROR(VLOOKUP(L120,Paramètres!$F$5:$G$8,2,FALSE()),""))</f>
        <v/>
      </c>
      <c r="P120" s="9" t="str">
        <f aca="false">IF(OR(B120="",O120=""),"",IF(N120="",B120,N120)+O120)</f>
        <v/>
      </c>
      <c r="Q120" s="10"/>
      <c r="R120" s="8"/>
      <c r="S120" s="7" t="str">
        <f aca="false">IF(OR(B120="",R120=""),"",R120-B120)</f>
        <v/>
      </c>
      <c r="T120" s="7" t="str">
        <f aca="true">IF(OR(B120="",P120=""),"",IF(R120&lt;&gt;"",IF(R120&gt;P120,"Traité hors délai","Non"),IF(Q120="Classé sans suite","Non",IF(TODAY()&gt;P120,"OUI","Non"))))</f>
        <v/>
      </c>
      <c r="U120" s="11"/>
    </row>
    <row r="121" customFormat="false" ht="15" hidden="false" customHeight="false" outlineLevel="0" collapsed="false">
      <c r="A121" s="7" t="str">
        <f aca="false">IF(B121="","",YEAR(B121)&amp;"/"&amp;TEXT(ROW()-4,"0000"))</f>
        <v/>
      </c>
      <c r="B121" s="8"/>
      <c r="C121" s="7" t="str">
        <f aca="false">IF(B121="","",INT((B121-DATE(YEAR(B121-WEEKDAY(B121-1)+4),1,3)+WEEKDAY(DATE(YEAR(B121-WEEKDAY(B121-1)+4),1,3))+5)/7))</f>
        <v/>
      </c>
      <c r="D121" s="9" t="str">
        <f aca="false">IF(B121="","",B121-WEEKDAY(B121,2)+1)</f>
        <v/>
      </c>
      <c r="E121" s="10"/>
      <c r="F121" s="8"/>
      <c r="G121" s="11"/>
      <c r="H121" s="10"/>
      <c r="I121" s="11"/>
      <c r="J121" s="10"/>
      <c r="K121" s="10"/>
      <c r="L121" s="10"/>
      <c r="M121" s="11"/>
      <c r="N121" s="8"/>
      <c r="O121" s="7" t="str">
        <f aca="false">IF(L121="","",IFERROR(VLOOKUP(L121,Paramètres!$F$5:$G$8,2,FALSE()),""))</f>
        <v/>
      </c>
      <c r="P121" s="9" t="str">
        <f aca="false">IF(OR(B121="",O121=""),"",IF(N121="",B121,N121)+O121)</f>
        <v/>
      </c>
      <c r="Q121" s="10"/>
      <c r="R121" s="8"/>
      <c r="S121" s="7" t="str">
        <f aca="false">IF(OR(B121="",R121=""),"",R121-B121)</f>
        <v/>
      </c>
      <c r="T121" s="7" t="str">
        <f aca="true">IF(OR(B121="",P121=""),"",IF(R121&lt;&gt;"",IF(R121&gt;P121,"Traité hors délai","Non"),IF(Q121="Classé sans suite","Non",IF(TODAY()&gt;P121,"OUI","Non"))))</f>
        <v/>
      </c>
      <c r="U121" s="11"/>
    </row>
    <row r="122" customFormat="false" ht="15" hidden="false" customHeight="false" outlineLevel="0" collapsed="false">
      <c r="A122" s="7" t="str">
        <f aca="false">IF(B122="","",YEAR(B122)&amp;"/"&amp;TEXT(ROW()-4,"0000"))</f>
        <v/>
      </c>
      <c r="B122" s="8"/>
      <c r="C122" s="7" t="str">
        <f aca="false">IF(B122="","",INT((B122-DATE(YEAR(B122-WEEKDAY(B122-1)+4),1,3)+WEEKDAY(DATE(YEAR(B122-WEEKDAY(B122-1)+4),1,3))+5)/7))</f>
        <v/>
      </c>
      <c r="D122" s="9" t="str">
        <f aca="false">IF(B122="","",B122-WEEKDAY(B122,2)+1)</f>
        <v/>
      </c>
      <c r="E122" s="10"/>
      <c r="F122" s="8"/>
      <c r="G122" s="11"/>
      <c r="H122" s="10"/>
      <c r="I122" s="11"/>
      <c r="J122" s="10"/>
      <c r="K122" s="10"/>
      <c r="L122" s="10"/>
      <c r="M122" s="11"/>
      <c r="N122" s="8"/>
      <c r="O122" s="7" t="str">
        <f aca="false">IF(L122="","",IFERROR(VLOOKUP(L122,Paramètres!$F$5:$G$8,2,FALSE()),""))</f>
        <v/>
      </c>
      <c r="P122" s="9" t="str">
        <f aca="false">IF(OR(B122="",O122=""),"",IF(N122="",B122,N122)+O122)</f>
        <v/>
      </c>
      <c r="Q122" s="10"/>
      <c r="R122" s="8"/>
      <c r="S122" s="7" t="str">
        <f aca="false">IF(OR(B122="",R122=""),"",R122-B122)</f>
        <v/>
      </c>
      <c r="T122" s="7" t="str">
        <f aca="true">IF(OR(B122="",P122=""),"",IF(R122&lt;&gt;"",IF(R122&gt;P122,"Traité hors délai","Non"),IF(Q122="Classé sans suite","Non",IF(TODAY()&gt;P122,"OUI","Non"))))</f>
        <v/>
      </c>
      <c r="U122" s="11"/>
    </row>
    <row r="123" customFormat="false" ht="15" hidden="false" customHeight="false" outlineLevel="0" collapsed="false">
      <c r="A123" s="7" t="str">
        <f aca="false">IF(B123="","",YEAR(B123)&amp;"/"&amp;TEXT(ROW()-4,"0000"))</f>
        <v/>
      </c>
      <c r="B123" s="8"/>
      <c r="C123" s="7" t="str">
        <f aca="false">IF(B123="","",INT((B123-DATE(YEAR(B123-WEEKDAY(B123-1)+4),1,3)+WEEKDAY(DATE(YEAR(B123-WEEKDAY(B123-1)+4),1,3))+5)/7))</f>
        <v/>
      </c>
      <c r="D123" s="9" t="str">
        <f aca="false">IF(B123="","",B123-WEEKDAY(B123,2)+1)</f>
        <v/>
      </c>
      <c r="E123" s="10"/>
      <c r="F123" s="8"/>
      <c r="G123" s="11"/>
      <c r="H123" s="10"/>
      <c r="I123" s="11"/>
      <c r="J123" s="10"/>
      <c r="K123" s="10"/>
      <c r="L123" s="10"/>
      <c r="M123" s="11"/>
      <c r="N123" s="8"/>
      <c r="O123" s="7" t="str">
        <f aca="false">IF(L123="","",IFERROR(VLOOKUP(L123,Paramètres!$F$5:$G$8,2,FALSE()),""))</f>
        <v/>
      </c>
      <c r="P123" s="9" t="str">
        <f aca="false">IF(OR(B123="",O123=""),"",IF(N123="",B123,N123)+O123)</f>
        <v/>
      </c>
      <c r="Q123" s="10"/>
      <c r="R123" s="8"/>
      <c r="S123" s="7" t="str">
        <f aca="false">IF(OR(B123="",R123=""),"",R123-B123)</f>
        <v/>
      </c>
      <c r="T123" s="7" t="str">
        <f aca="true">IF(OR(B123="",P123=""),"",IF(R123&lt;&gt;"",IF(R123&gt;P123,"Traité hors délai","Non"),IF(Q123="Classé sans suite","Non",IF(TODAY()&gt;P123,"OUI","Non"))))</f>
        <v/>
      </c>
      <c r="U123" s="11"/>
    </row>
    <row r="124" customFormat="false" ht="15" hidden="false" customHeight="false" outlineLevel="0" collapsed="false">
      <c r="A124" s="7" t="str">
        <f aca="false">IF(B124="","",YEAR(B124)&amp;"/"&amp;TEXT(ROW()-4,"0000"))</f>
        <v/>
      </c>
      <c r="B124" s="8"/>
      <c r="C124" s="7" t="str">
        <f aca="false">IF(B124="","",INT((B124-DATE(YEAR(B124-WEEKDAY(B124-1)+4),1,3)+WEEKDAY(DATE(YEAR(B124-WEEKDAY(B124-1)+4),1,3))+5)/7))</f>
        <v/>
      </c>
      <c r="D124" s="9" t="str">
        <f aca="false">IF(B124="","",B124-WEEKDAY(B124,2)+1)</f>
        <v/>
      </c>
      <c r="E124" s="10"/>
      <c r="F124" s="8"/>
      <c r="G124" s="11"/>
      <c r="H124" s="10"/>
      <c r="I124" s="11"/>
      <c r="J124" s="10"/>
      <c r="K124" s="10"/>
      <c r="L124" s="10"/>
      <c r="M124" s="11"/>
      <c r="N124" s="8"/>
      <c r="O124" s="7" t="str">
        <f aca="false">IF(L124="","",IFERROR(VLOOKUP(L124,Paramètres!$F$5:$G$8,2,FALSE()),""))</f>
        <v/>
      </c>
      <c r="P124" s="9" t="str">
        <f aca="false">IF(OR(B124="",O124=""),"",IF(N124="",B124,N124)+O124)</f>
        <v/>
      </c>
      <c r="Q124" s="10"/>
      <c r="R124" s="8"/>
      <c r="S124" s="7" t="str">
        <f aca="false">IF(OR(B124="",R124=""),"",R124-B124)</f>
        <v/>
      </c>
      <c r="T124" s="7" t="str">
        <f aca="true">IF(OR(B124="",P124=""),"",IF(R124&lt;&gt;"",IF(R124&gt;P124,"Traité hors délai","Non"),IF(Q124="Classé sans suite","Non",IF(TODAY()&gt;P124,"OUI","Non"))))</f>
        <v/>
      </c>
      <c r="U124" s="11"/>
    </row>
    <row r="125" customFormat="false" ht="15" hidden="false" customHeight="false" outlineLevel="0" collapsed="false">
      <c r="A125" s="7" t="str">
        <f aca="false">IF(B125="","",YEAR(B125)&amp;"/"&amp;TEXT(ROW()-4,"0000"))</f>
        <v/>
      </c>
      <c r="B125" s="8"/>
      <c r="C125" s="7" t="str">
        <f aca="false">IF(B125="","",INT((B125-DATE(YEAR(B125-WEEKDAY(B125-1)+4),1,3)+WEEKDAY(DATE(YEAR(B125-WEEKDAY(B125-1)+4),1,3))+5)/7))</f>
        <v/>
      </c>
      <c r="D125" s="9" t="str">
        <f aca="false">IF(B125="","",B125-WEEKDAY(B125,2)+1)</f>
        <v/>
      </c>
      <c r="E125" s="10"/>
      <c r="F125" s="8"/>
      <c r="G125" s="11"/>
      <c r="H125" s="10"/>
      <c r="I125" s="11"/>
      <c r="J125" s="10"/>
      <c r="K125" s="10"/>
      <c r="L125" s="10"/>
      <c r="M125" s="11"/>
      <c r="N125" s="8"/>
      <c r="O125" s="7" t="str">
        <f aca="false">IF(L125="","",IFERROR(VLOOKUP(L125,Paramètres!$F$5:$G$8,2,FALSE()),""))</f>
        <v/>
      </c>
      <c r="P125" s="9" t="str">
        <f aca="false">IF(OR(B125="",O125=""),"",IF(N125="",B125,N125)+O125)</f>
        <v/>
      </c>
      <c r="Q125" s="10"/>
      <c r="R125" s="8"/>
      <c r="S125" s="7" t="str">
        <f aca="false">IF(OR(B125="",R125=""),"",R125-B125)</f>
        <v/>
      </c>
      <c r="T125" s="7" t="str">
        <f aca="true">IF(OR(B125="",P125=""),"",IF(R125&lt;&gt;"",IF(R125&gt;P125,"Traité hors délai","Non"),IF(Q125="Classé sans suite","Non",IF(TODAY()&gt;P125,"OUI","Non"))))</f>
        <v/>
      </c>
      <c r="U125" s="11"/>
    </row>
    <row r="126" customFormat="false" ht="15" hidden="false" customHeight="false" outlineLevel="0" collapsed="false">
      <c r="A126" s="7" t="str">
        <f aca="false">IF(B126="","",YEAR(B126)&amp;"/"&amp;TEXT(ROW()-4,"0000"))</f>
        <v/>
      </c>
      <c r="B126" s="8"/>
      <c r="C126" s="7" t="str">
        <f aca="false">IF(B126="","",INT((B126-DATE(YEAR(B126-WEEKDAY(B126-1)+4),1,3)+WEEKDAY(DATE(YEAR(B126-WEEKDAY(B126-1)+4),1,3))+5)/7))</f>
        <v/>
      </c>
      <c r="D126" s="9" t="str">
        <f aca="false">IF(B126="","",B126-WEEKDAY(B126,2)+1)</f>
        <v/>
      </c>
      <c r="E126" s="10"/>
      <c r="F126" s="8"/>
      <c r="G126" s="11"/>
      <c r="H126" s="10"/>
      <c r="I126" s="11"/>
      <c r="J126" s="10"/>
      <c r="K126" s="10"/>
      <c r="L126" s="10"/>
      <c r="M126" s="11"/>
      <c r="N126" s="8"/>
      <c r="O126" s="7" t="str">
        <f aca="false">IF(L126="","",IFERROR(VLOOKUP(L126,Paramètres!$F$5:$G$8,2,FALSE()),""))</f>
        <v/>
      </c>
      <c r="P126" s="9" t="str">
        <f aca="false">IF(OR(B126="",O126=""),"",IF(N126="",B126,N126)+O126)</f>
        <v/>
      </c>
      <c r="Q126" s="10"/>
      <c r="R126" s="8"/>
      <c r="S126" s="7" t="str">
        <f aca="false">IF(OR(B126="",R126=""),"",R126-B126)</f>
        <v/>
      </c>
      <c r="T126" s="7" t="str">
        <f aca="true">IF(OR(B126="",P126=""),"",IF(R126&lt;&gt;"",IF(R126&gt;P126,"Traité hors délai","Non"),IF(Q126="Classé sans suite","Non",IF(TODAY()&gt;P126,"OUI","Non"))))</f>
        <v/>
      </c>
      <c r="U126" s="11"/>
    </row>
    <row r="127" customFormat="false" ht="15" hidden="false" customHeight="false" outlineLevel="0" collapsed="false">
      <c r="A127" s="7" t="str">
        <f aca="false">IF(B127="","",YEAR(B127)&amp;"/"&amp;TEXT(ROW()-4,"0000"))</f>
        <v/>
      </c>
      <c r="B127" s="8"/>
      <c r="C127" s="7" t="str">
        <f aca="false">IF(B127="","",INT((B127-DATE(YEAR(B127-WEEKDAY(B127-1)+4),1,3)+WEEKDAY(DATE(YEAR(B127-WEEKDAY(B127-1)+4),1,3))+5)/7))</f>
        <v/>
      </c>
      <c r="D127" s="9" t="str">
        <f aca="false">IF(B127="","",B127-WEEKDAY(B127,2)+1)</f>
        <v/>
      </c>
      <c r="E127" s="10"/>
      <c r="F127" s="8"/>
      <c r="G127" s="11"/>
      <c r="H127" s="10"/>
      <c r="I127" s="11"/>
      <c r="J127" s="10"/>
      <c r="K127" s="10"/>
      <c r="L127" s="10"/>
      <c r="M127" s="11"/>
      <c r="N127" s="8"/>
      <c r="O127" s="7" t="str">
        <f aca="false">IF(L127="","",IFERROR(VLOOKUP(L127,Paramètres!$F$5:$G$8,2,FALSE()),""))</f>
        <v/>
      </c>
      <c r="P127" s="9" t="str">
        <f aca="false">IF(OR(B127="",O127=""),"",IF(N127="",B127,N127)+O127)</f>
        <v/>
      </c>
      <c r="Q127" s="10"/>
      <c r="R127" s="8"/>
      <c r="S127" s="7" t="str">
        <f aca="false">IF(OR(B127="",R127=""),"",R127-B127)</f>
        <v/>
      </c>
      <c r="T127" s="7" t="str">
        <f aca="true">IF(OR(B127="",P127=""),"",IF(R127&lt;&gt;"",IF(R127&gt;P127,"Traité hors délai","Non"),IF(Q127="Classé sans suite","Non",IF(TODAY()&gt;P127,"OUI","Non"))))</f>
        <v/>
      </c>
      <c r="U127" s="11"/>
    </row>
    <row r="128" customFormat="false" ht="15" hidden="false" customHeight="false" outlineLevel="0" collapsed="false">
      <c r="A128" s="7" t="str">
        <f aca="false">IF(B128="","",YEAR(B128)&amp;"/"&amp;TEXT(ROW()-4,"0000"))</f>
        <v/>
      </c>
      <c r="B128" s="8"/>
      <c r="C128" s="7" t="str">
        <f aca="false">IF(B128="","",INT((B128-DATE(YEAR(B128-WEEKDAY(B128-1)+4),1,3)+WEEKDAY(DATE(YEAR(B128-WEEKDAY(B128-1)+4),1,3))+5)/7))</f>
        <v/>
      </c>
      <c r="D128" s="9" t="str">
        <f aca="false">IF(B128="","",B128-WEEKDAY(B128,2)+1)</f>
        <v/>
      </c>
      <c r="E128" s="10"/>
      <c r="F128" s="8"/>
      <c r="G128" s="11"/>
      <c r="H128" s="10"/>
      <c r="I128" s="11"/>
      <c r="J128" s="10"/>
      <c r="K128" s="10"/>
      <c r="L128" s="10"/>
      <c r="M128" s="11"/>
      <c r="N128" s="8"/>
      <c r="O128" s="7" t="str">
        <f aca="false">IF(L128="","",IFERROR(VLOOKUP(L128,Paramètres!$F$5:$G$8,2,FALSE()),""))</f>
        <v/>
      </c>
      <c r="P128" s="9" t="str">
        <f aca="false">IF(OR(B128="",O128=""),"",IF(N128="",B128,N128)+O128)</f>
        <v/>
      </c>
      <c r="Q128" s="10"/>
      <c r="R128" s="8"/>
      <c r="S128" s="7" t="str">
        <f aca="false">IF(OR(B128="",R128=""),"",R128-B128)</f>
        <v/>
      </c>
      <c r="T128" s="7" t="str">
        <f aca="true">IF(OR(B128="",P128=""),"",IF(R128&lt;&gt;"",IF(R128&gt;P128,"Traité hors délai","Non"),IF(Q128="Classé sans suite","Non",IF(TODAY()&gt;P128,"OUI","Non"))))</f>
        <v/>
      </c>
      <c r="U128" s="11"/>
    </row>
    <row r="129" customFormat="false" ht="15" hidden="false" customHeight="false" outlineLevel="0" collapsed="false">
      <c r="A129" s="7" t="str">
        <f aca="false">IF(B129="","",YEAR(B129)&amp;"/"&amp;TEXT(ROW()-4,"0000"))</f>
        <v/>
      </c>
      <c r="B129" s="8"/>
      <c r="C129" s="7" t="str">
        <f aca="false">IF(B129="","",INT((B129-DATE(YEAR(B129-WEEKDAY(B129-1)+4),1,3)+WEEKDAY(DATE(YEAR(B129-WEEKDAY(B129-1)+4),1,3))+5)/7))</f>
        <v/>
      </c>
      <c r="D129" s="9" t="str">
        <f aca="false">IF(B129="","",B129-WEEKDAY(B129,2)+1)</f>
        <v/>
      </c>
      <c r="E129" s="10"/>
      <c r="F129" s="8"/>
      <c r="G129" s="11"/>
      <c r="H129" s="10"/>
      <c r="I129" s="11"/>
      <c r="J129" s="10"/>
      <c r="K129" s="10"/>
      <c r="L129" s="10"/>
      <c r="M129" s="11"/>
      <c r="N129" s="8"/>
      <c r="O129" s="7" t="str">
        <f aca="false">IF(L129="","",IFERROR(VLOOKUP(L129,Paramètres!$F$5:$G$8,2,FALSE()),""))</f>
        <v/>
      </c>
      <c r="P129" s="9" t="str">
        <f aca="false">IF(OR(B129="",O129=""),"",IF(N129="",B129,N129)+O129)</f>
        <v/>
      </c>
      <c r="Q129" s="10"/>
      <c r="R129" s="8"/>
      <c r="S129" s="7" t="str">
        <f aca="false">IF(OR(B129="",R129=""),"",R129-B129)</f>
        <v/>
      </c>
      <c r="T129" s="7" t="str">
        <f aca="true">IF(OR(B129="",P129=""),"",IF(R129&lt;&gt;"",IF(R129&gt;P129,"Traité hors délai","Non"),IF(Q129="Classé sans suite","Non",IF(TODAY()&gt;P129,"OUI","Non"))))</f>
        <v/>
      </c>
      <c r="U129" s="11"/>
    </row>
    <row r="130" customFormat="false" ht="15" hidden="false" customHeight="false" outlineLevel="0" collapsed="false">
      <c r="A130" s="7" t="str">
        <f aca="false">IF(B130="","",YEAR(B130)&amp;"/"&amp;TEXT(ROW()-4,"0000"))</f>
        <v/>
      </c>
      <c r="B130" s="8"/>
      <c r="C130" s="7" t="str">
        <f aca="false">IF(B130="","",INT((B130-DATE(YEAR(B130-WEEKDAY(B130-1)+4),1,3)+WEEKDAY(DATE(YEAR(B130-WEEKDAY(B130-1)+4),1,3))+5)/7))</f>
        <v/>
      </c>
      <c r="D130" s="9" t="str">
        <f aca="false">IF(B130="","",B130-WEEKDAY(B130,2)+1)</f>
        <v/>
      </c>
      <c r="E130" s="10"/>
      <c r="F130" s="8"/>
      <c r="G130" s="11"/>
      <c r="H130" s="10"/>
      <c r="I130" s="11"/>
      <c r="J130" s="10"/>
      <c r="K130" s="10"/>
      <c r="L130" s="10"/>
      <c r="M130" s="11"/>
      <c r="N130" s="8"/>
      <c r="O130" s="7" t="str">
        <f aca="false">IF(L130="","",IFERROR(VLOOKUP(L130,Paramètres!$F$5:$G$8,2,FALSE()),""))</f>
        <v/>
      </c>
      <c r="P130" s="9" t="str">
        <f aca="false">IF(OR(B130="",O130=""),"",IF(N130="",B130,N130)+O130)</f>
        <v/>
      </c>
      <c r="Q130" s="10"/>
      <c r="R130" s="8"/>
      <c r="S130" s="7" t="str">
        <f aca="false">IF(OR(B130="",R130=""),"",R130-B130)</f>
        <v/>
      </c>
      <c r="T130" s="7" t="str">
        <f aca="true">IF(OR(B130="",P130=""),"",IF(R130&lt;&gt;"",IF(R130&gt;P130,"Traité hors délai","Non"),IF(Q130="Classé sans suite","Non",IF(TODAY()&gt;P130,"OUI","Non"))))</f>
        <v/>
      </c>
      <c r="U130" s="11"/>
    </row>
    <row r="131" customFormat="false" ht="15" hidden="false" customHeight="false" outlineLevel="0" collapsed="false">
      <c r="A131" s="7" t="str">
        <f aca="false">IF(B131="","",YEAR(B131)&amp;"/"&amp;TEXT(ROW()-4,"0000"))</f>
        <v/>
      </c>
      <c r="B131" s="8"/>
      <c r="C131" s="7" t="str">
        <f aca="false">IF(B131="","",INT((B131-DATE(YEAR(B131-WEEKDAY(B131-1)+4),1,3)+WEEKDAY(DATE(YEAR(B131-WEEKDAY(B131-1)+4),1,3))+5)/7))</f>
        <v/>
      </c>
      <c r="D131" s="9" t="str">
        <f aca="false">IF(B131="","",B131-WEEKDAY(B131,2)+1)</f>
        <v/>
      </c>
      <c r="E131" s="10"/>
      <c r="F131" s="8"/>
      <c r="G131" s="11"/>
      <c r="H131" s="10"/>
      <c r="I131" s="11"/>
      <c r="J131" s="10"/>
      <c r="K131" s="10"/>
      <c r="L131" s="10"/>
      <c r="M131" s="11"/>
      <c r="N131" s="8"/>
      <c r="O131" s="7" t="str">
        <f aca="false">IF(L131="","",IFERROR(VLOOKUP(L131,Paramètres!$F$5:$G$8,2,FALSE()),""))</f>
        <v/>
      </c>
      <c r="P131" s="9" t="str">
        <f aca="false">IF(OR(B131="",O131=""),"",IF(N131="",B131,N131)+O131)</f>
        <v/>
      </c>
      <c r="Q131" s="10"/>
      <c r="R131" s="8"/>
      <c r="S131" s="7" t="str">
        <f aca="false">IF(OR(B131="",R131=""),"",R131-B131)</f>
        <v/>
      </c>
      <c r="T131" s="7" t="str">
        <f aca="true">IF(OR(B131="",P131=""),"",IF(R131&lt;&gt;"",IF(R131&gt;P131,"Traité hors délai","Non"),IF(Q131="Classé sans suite","Non",IF(TODAY()&gt;P131,"OUI","Non"))))</f>
        <v/>
      </c>
      <c r="U131" s="11"/>
    </row>
    <row r="132" customFormat="false" ht="15" hidden="false" customHeight="false" outlineLevel="0" collapsed="false">
      <c r="A132" s="7" t="str">
        <f aca="false">IF(B132="","",YEAR(B132)&amp;"/"&amp;TEXT(ROW()-4,"0000"))</f>
        <v/>
      </c>
      <c r="B132" s="8"/>
      <c r="C132" s="7" t="str">
        <f aca="false">IF(B132="","",INT((B132-DATE(YEAR(B132-WEEKDAY(B132-1)+4),1,3)+WEEKDAY(DATE(YEAR(B132-WEEKDAY(B132-1)+4),1,3))+5)/7))</f>
        <v/>
      </c>
      <c r="D132" s="9" t="str">
        <f aca="false">IF(B132="","",B132-WEEKDAY(B132,2)+1)</f>
        <v/>
      </c>
      <c r="E132" s="10"/>
      <c r="F132" s="8"/>
      <c r="G132" s="11"/>
      <c r="H132" s="10"/>
      <c r="I132" s="11"/>
      <c r="J132" s="10"/>
      <c r="K132" s="10"/>
      <c r="L132" s="10"/>
      <c r="M132" s="11"/>
      <c r="N132" s="8"/>
      <c r="O132" s="7" t="str">
        <f aca="false">IF(L132="","",IFERROR(VLOOKUP(L132,Paramètres!$F$5:$G$8,2,FALSE()),""))</f>
        <v/>
      </c>
      <c r="P132" s="9" t="str">
        <f aca="false">IF(OR(B132="",O132=""),"",IF(N132="",B132,N132)+O132)</f>
        <v/>
      </c>
      <c r="Q132" s="10"/>
      <c r="R132" s="8"/>
      <c r="S132" s="7" t="str">
        <f aca="false">IF(OR(B132="",R132=""),"",R132-B132)</f>
        <v/>
      </c>
      <c r="T132" s="7" t="str">
        <f aca="true">IF(OR(B132="",P132=""),"",IF(R132&lt;&gt;"",IF(R132&gt;P132,"Traité hors délai","Non"),IF(Q132="Classé sans suite","Non",IF(TODAY()&gt;P132,"OUI","Non"))))</f>
        <v/>
      </c>
      <c r="U132" s="11"/>
    </row>
    <row r="133" customFormat="false" ht="15" hidden="false" customHeight="false" outlineLevel="0" collapsed="false">
      <c r="A133" s="7" t="str">
        <f aca="false">IF(B133="","",YEAR(B133)&amp;"/"&amp;TEXT(ROW()-4,"0000"))</f>
        <v/>
      </c>
      <c r="B133" s="8"/>
      <c r="C133" s="7" t="str">
        <f aca="false">IF(B133="","",INT((B133-DATE(YEAR(B133-WEEKDAY(B133-1)+4),1,3)+WEEKDAY(DATE(YEAR(B133-WEEKDAY(B133-1)+4),1,3))+5)/7))</f>
        <v/>
      </c>
      <c r="D133" s="9" t="str">
        <f aca="false">IF(B133="","",B133-WEEKDAY(B133,2)+1)</f>
        <v/>
      </c>
      <c r="E133" s="10"/>
      <c r="F133" s="8"/>
      <c r="G133" s="11"/>
      <c r="H133" s="10"/>
      <c r="I133" s="11"/>
      <c r="J133" s="10"/>
      <c r="K133" s="10"/>
      <c r="L133" s="10"/>
      <c r="M133" s="11"/>
      <c r="N133" s="8"/>
      <c r="O133" s="7" t="str">
        <f aca="false">IF(L133="","",IFERROR(VLOOKUP(L133,Paramètres!$F$5:$G$8,2,FALSE()),""))</f>
        <v/>
      </c>
      <c r="P133" s="9" t="str">
        <f aca="false">IF(OR(B133="",O133=""),"",IF(N133="",B133,N133)+O133)</f>
        <v/>
      </c>
      <c r="Q133" s="10"/>
      <c r="R133" s="8"/>
      <c r="S133" s="7" t="str">
        <f aca="false">IF(OR(B133="",R133=""),"",R133-B133)</f>
        <v/>
      </c>
      <c r="T133" s="7" t="str">
        <f aca="true">IF(OR(B133="",P133=""),"",IF(R133&lt;&gt;"",IF(R133&gt;P133,"Traité hors délai","Non"),IF(Q133="Classé sans suite","Non",IF(TODAY()&gt;P133,"OUI","Non"))))</f>
        <v/>
      </c>
      <c r="U133" s="11"/>
    </row>
    <row r="134" customFormat="false" ht="15" hidden="false" customHeight="false" outlineLevel="0" collapsed="false">
      <c r="A134" s="7" t="str">
        <f aca="false">IF(B134="","",YEAR(B134)&amp;"/"&amp;TEXT(ROW()-4,"0000"))</f>
        <v/>
      </c>
      <c r="B134" s="8"/>
      <c r="C134" s="7" t="str">
        <f aca="false">IF(B134="","",INT((B134-DATE(YEAR(B134-WEEKDAY(B134-1)+4),1,3)+WEEKDAY(DATE(YEAR(B134-WEEKDAY(B134-1)+4),1,3))+5)/7))</f>
        <v/>
      </c>
      <c r="D134" s="9" t="str">
        <f aca="false">IF(B134="","",B134-WEEKDAY(B134,2)+1)</f>
        <v/>
      </c>
      <c r="E134" s="10"/>
      <c r="F134" s="8"/>
      <c r="G134" s="11"/>
      <c r="H134" s="10"/>
      <c r="I134" s="11"/>
      <c r="J134" s="10"/>
      <c r="K134" s="10"/>
      <c r="L134" s="10"/>
      <c r="M134" s="11"/>
      <c r="N134" s="8"/>
      <c r="O134" s="7" t="str">
        <f aca="false">IF(L134="","",IFERROR(VLOOKUP(L134,Paramètres!$F$5:$G$8,2,FALSE()),""))</f>
        <v/>
      </c>
      <c r="P134" s="9" t="str">
        <f aca="false">IF(OR(B134="",O134=""),"",IF(N134="",B134,N134)+O134)</f>
        <v/>
      </c>
      <c r="Q134" s="10"/>
      <c r="R134" s="8"/>
      <c r="S134" s="7" t="str">
        <f aca="false">IF(OR(B134="",R134=""),"",R134-B134)</f>
        <v/>
      </c>
      <c r="T134" s="7" t="str">
        <f aca="true">IF(OR(B134="",P134=""),"",IF(R134&lt;&gt;"",IF(R134&gt;P134,"Traité hors délai","Non"),IF(Q134="Classé sans suite","Non",IF(TODAY()&gt;P134,"OUI","Non"))))</f>
        <v/>
      </c>
      <c r="U134" s="11"/>
    </row>
    <row r="135" customFormat="false" ht="15" hidden="false" customHeight="false" outlineLevel="0" collapsed="false">
      <c r="A135" s="7" t="str">
        <f aca="false">IF(B135="","",YEAR(B135)&amp;"/"&amp;TEXT(ROW()-4,"0000"))</f>
        <v/>
      </c>
      <c r="B135" s="8"/>
      <c r="C135" s="7" t="str">
        <f aca="false">IF(B135="","",INT((B135-DATE(YEAR(B135-WEEKDAY(B135-1)+4),1,3)+WEEKDAY(DATE(YEAR(B135-WEEKDAY(B135-1)+4),1,3))+5)/7))</f>
        <v/>
      </c>
      <c r="D135" s="9" t="str">
        <f aca="false">IF(B135="","",B135-WEEKDAY(B135,2)+1)</f>
        <v/>
      </c>
      <c r="E135" s="10"/>
      <c r="F135" s="8"/>
      <c r="G135" s="11"/>
      <c r="H135" s="10"/>
      <c r="I135" s="11"/>
      <c r="J135" s="10"/>
      <c r="K135" s="10"/>
      <c r="L135" s="10"/>
      <c r="M135" s="11"/>
      <c r="N135" s="8"/>
      <c r="O135" s="7" t="str">
        <f aca="false">IF(L135="","",IFERROR(VLOOKUP(L135,Paramètres!$F$5:$G$8,2,FALSE()),""))</f>
        <v/>
      </c>
      <c r="P135" s="9" t="str">
        <f aca="false">IF(OR(B135="",O135=""),"",IF(N135="",B135,N135)+O135)</f>
        <v/>
      </c>
      <c r="Q135" s="10"/>
      <c r="R135" s="8"/>
      <c r="S135" s="7" t="str">
        <f aca="false">IF(OR(B135="",R135=""),"",R135-B135)</f>
        <v/>
      </c>
      <c r="T135" s="7" t="str">
        <f aca="true">IF(OR(B135="",P135=""),"",IF(R135&lt;&gt;"",IF(R135&gt;P135,"Traité hors délai","Non"),IF(Q135="Classé sans suite","Non",IF(TODAY()&gt;P135,"OUI","Non"))))</f>
        <v/>
      </c>
      <c r="U135" s="11"/>
    </row>
    <row r="136" customFormat="false" ht="15" hidden="false" customHeight="false" outlineLevel="0" collapsed="false">
      <c r="A136" s="7" t="str">
        <f aca="false">IF(B136="","",YEAR(B136)&amp;"/"&amp;TEXT(ROW()-4,"0000"))</f>
        <v/>
      </c>
      <c r="B136" s="8"/>
      <c r="C136" s="7" t="str">
        <f aca="false">IF(B136="","",INT((B136-DATE(YEAR(B136-WEEKDAY(B136-1)+4),1,3)+WEEKDAY(DATE(YEAR(B136-WEEKDAY(B136-1)+4),1,3))+5)/7))</f>
        <v/>
      </c>
      <c r="D136" s="9" t="str">
        <f aca="false">IF(B136="","",B136-WEEKDAY(B136,2)+1)</f>
        <v/>
      </c>
      <c r="E136" s="10"/>
      <c r="F136" s="8"/>
      <c r="G136" s="11"/>
      <c r="H136" s="10"/>
      <c r="I136" s="11"/>
      <c r="J136" s="10"/>
      <c r="K136" s="10"/>
      <c r="L136" s="10"/>
      <c r="M136" s="11"/>
      <c r="N136" s="8"/>
      <c r="O136" s="7" t="str">
        <f aca="false">IF(L136="","",IFERROR(VLOOKUP(L136,Paramètres!$F$5:$G$8,2,FALSE()),""))</f>
        <v/>
      </c>
      <c r="P136" s="9" t="str">
        <f aca="false">IF(OR(B136="",O136=""),"",IF(N136="",B136,N136)+O136)</f>
        <v/>
      </c>
      <c r="Q136" s="10"/>
      <c r="R136" s="8"/>
      <c r="S136" s="7" t="str">
        <f aca="false">IF(OR(B136="",R136=""),"",R136-B136)</f>
        <v/>
      </c>
      <c r="T136" s="7" t="str">
        <f aca="true">IF(OR(B136="",P136=""),"",IF(R136&lt;&gt;"",IF(R136&gt;P136,"Traité hors délai","Non"),IF(Q136="Classé sans suite","Non",IF(TODAY()&gt;P136,"OUI","Non"))))</f>
        <v/>
      </c>
      <c r="U136" s="11"/>
    </row>
    <row r="137" customFormat="false" ht="15" hidden="false" customHeight="false" outlineLevel="0" collapsed="false">
      <c r="A137" s="7" t="str">
        <f aca="false">IF(B137="","",YEAR(B137)&amp;"/"&amp;TEXT(ROW()-4,"0000"))</f>
        <v/>
      </c>
      <c r="B137" s="8"/>
      <c r="C137" s="7" t="str">
        <f aca="false">IF(B137="","",INT((B137-DATE(YEAR(B137-WEEKDAY(B137-1)+4),1,3)+WEEKDAY(DATE(YEAR(B137-WEEKDAY(B137-1)+4),1,3))+5)/7))</f>
        <v/>
      </c>
      <c r="D137" s="9" t="str">
        <f aca="false">IF(B137="","",B137-WEEKDAY(B137,2)+1)</f>
        <v/>
      </c>
      <c r="E137" s="10"/>
      <c r="F137" s="8"/>
      <c r="G137" s="11"/>
      <c r="H137" s="10"/>
      <c r="I137" s="11"/>
      <c r="J137" s="10"/>
      <c r="K137" s="10"/>
      <c r="L137" s="10"/>
      <c r="M137" s="11"/>
      <c r="N137" s="8"/>
      <c r="O137" s="7" t="str">
        <f aca="false">IF(L137="","",IFERROR(VLOOKUP(L137,Paramètres!$F$5:$G$8,2,FALSE()),""))</f>
        <v/>
      </c>
      <c r="P137" s="9" t="str">
        <f aca="false">IF(OR(B137="",O137=""),"",IF(N137="",B137,N137)+O137)</f>
        <v/>
      </c>
      <c r="Q137" s="10"/>
      <c r="R137" s="8"/>
      <c r="S137" s="7" t="str">
        <f aca="false">IF(OR(B137="",R137=""),"",R137-B137)</f>
        <v/>
      </c>
      <c r="T137" s="7" t="str">
        <f aca="true">IF(OR(B137="",P137=""),"",IF(R137&lt;&gt;"",IF(R137&gt;P137,"Traité hors délai","Non"),IF(Q137="Classé sans suite","Non",IF(TODAY()&gt;P137,"OUI","Non"))))</f>
        <v/>
      </c>
      <c r="U137" s="11"/>
    </row>
    <row r="138" customFormat="false" ht="15" hidden="false" customHeight="false" outlineLevel="0" collapsed="false">
      <c r="A138" s="7" t="str">
        <f aca="false">IF(B138="","",YEAR(B138)&amp;"/"&amp;TEXT(ROW()-4,"0000"))</f>
        <v/>
      </c>
      <c r="B138" s="8"/>
      <c r="C138" s="7" t="str">
        <f aca="false">IF(B138="","",INT((B138-DATE(YEAR(B138-WEEKDAY(B138-1)+4),1,3)+WEEKDAY(DATE(YEAR(B138-WEEKDAY(B138-1)+4),1,3))+5)/7))</f>
        <v/>
      </c>
      <c r="D138" s="9" t="str">
        <f aca="false">IF(B138="","",B138-WEEKDAY(B138,2)+1)</f>
        <v/>
      </c>
      <c r="E138" s="10"/>
      <c r="F138" s="8"/>
      <c r="G138" s="11"/>
      <c r="H138" s="10"/>
      <c r="I138" s="11"/>
      <c r="J138" s="10"/>
      <c r="K138" s="10"/>
      <c r="L138" s="10"/>
      <c r="M138" s="11"/>
      <c r="N138" s="8"/>
      <c r="O138" s="7" t="str">
        <f aca="false">IF(L138="","",IFERROR(VLOOKUP(L138,Paramètres!$F$5:$G$8,2,FALSE()),""))</f>
        <v/>
      </c>
      <c r="P138" s="9" t="str">
        <f aca="false">IF(OR(B138="",O138=""),"",IF(N138="",B138,N138)+O138)</f>
        <v/>
      </c>
      <c r="Q138" s="10"/>
      <c r="R138" s="8"/>
      <c r="S138" s="7" t="str">
        <f aca="false">IF(OR(B138="",R138=""),"",R138-B138)</f>
        <v/>
      </c>
      <c r="T138" s="7" t="str">
        <f aca="true">IF(OR(B138="",P138=""),"",IF(R138&lt;&gt;"",IF(R138&gt;P138,"Traité hors délai","Non"),IF(Q138="Classé sans suite","Non",IF(TODAY()&gt;P138,"OUI","Non"))))</f>
        <v/>
      </c>
      <c r="U138" s="11"/>
    </row>
    <row r="139" customFormat="false" ht="15" hidden="false" customHeight="false" outlineLevel="0" collapsed="false">
      <c r="A139" s="7" t="str">
        <f aca="false">IF(B139="","",YEAR(B139)&amp;"/"&amp;TEXT(ROW()-4,"0000"))</f>
        <v/>
      </c>
      <c r="B139" s="8"/>
      <c r="C139" s="7" t="str">
        <f aca="false">IF(B139="","",INT((B139-DATE(YEAR(B139-WEEKDAY(B139-1)+4),1,3)+WEEKDAY(DATE(YEAR(B139-WEEKDAY(B139-1)+4),1,3))+5)/7))</f>
        <v/>
      </c>
      <c r="D139" s="9" t="str">
        <f aca="false">IF(B139="","",B139-WEEKDAY(B139,2)+1)</f>
        <v/>
      </c>
      <c r="E139" s="10"/>
      <c r="F139" s="8"/>
      <c r="G139" s="11"/>
      <c r="H139" s="10"/>
      <c r="I139" s="11"/>
      <c r="J139" s="10"/>
      <c r="K139" s="10"/>
      <c r="L139" s="10"/>
      <c r="M139" s="11"/>
      <c r="N139" s="8"/>
      <c r="O139" s="7" t="str">
        <f aca="false">IF(L139="","",IFERROR(VLOOKUP(L139,Paramètres!$F$5:$G$8,2,FALSE()),""))</f>
        <v/>
      </c>
      <c r="P139" s="9" t="str">
        <f aca="false">IF(OR(B139="",O139=""),"",IF(N139="",B139,N139)+O139)</f>
        <v/>
      </c>
      <c r="Q139" s="10"/>
      <c r="R139" s="8"/>
      <c r="S139" s="7" t="str">
        <f aca="false">IF(OR(B139="",R139=""),"",R139-B139)</f>
        <v/>
      </c>
      <c r="T139" s="7" t="str">
        <f aca="true">IF(OR(B139="",P139=""),"",IF(R139&lt;&gt;"",IF(R139&gt;P139,"Traité hors délai","Non"),IF(Q139="Classé sans suite","Non",IF(TODAY()&gt;P139,"OUI","Non"))))</f>
        <v/>
      </c>
      <c r="U139" s="11"/>
    </row>
    <row r="140" customFormat="false" ht="15" hidden="false" customHeight="false" outlineLevel="0" collapsed="false">
      <c r="A140" s="7" t="str">
        <f aca="false">IF(B140="","",YEAR(B140)&amp;"/"&amp;TEXT(ROW()-4,"0000"))</f>
        <v/>
      </c>
      <c r="B140" s="8"/>
      <c r="C140" s="7" t="str">
        <f aca="false">IF(B140="","",INT((B140-DATE(YEAR(B140-WEEKDAY(B140-1)+4),1,3)+WEEKDAY(DATE(YEAR(B140-WEEKDAY(B140-1)+4),1,3))+5)/7))</f>
        <v/>
      </c>
      <c r="D140" s="9" t="str">
        <f aca="false">IF(B140="","",B140-WEEKDAY(B140,2)+1)</f>
        <v/>
      </c>
      <c r="E140" s="10"/>
      <c r="F140" s="8"/>
      <c r="G140" s="11"/>
      <c r="H140" s="10"/>
      <c r="I140" s="11"/>
      <c r="J140" s="10"/>
      <c r="K140" s="10"/>
      <c r="L140" s="10"/>
      <c r="M140" s="11"/>
      <c r="N140" s="8"/>
      <c r="O140" s="7" t="str">
        <f aca="false">IF(L140="","",IFERROR(VLOOKUP(L140,Paramètres!$F$5:$G$8,2,FALSE()),""))</f>
        <v/>
      </c>
      <c r="P140" s="9" t="str">
        <f aca="false">IF(OR(B140="",O140=""),"",IF(N140="",B140,N140)+O140)</f>
        <v/>
      </c>
      <c r="Q140" s="10"/>
      <c r="R140" s="8"/>
      <c r="S140" s="7" t="str">
        <f aca="false">IF(OR(B140="",R140=""),"",R140-B140)</f>
        <v/>
      </c>
      <c r="T140" s="7" t="str">
        <f aca="true">IF(OR(B140="",P140=""),"",IF(R140&lt;&gt;"",IF(R140&gt;P140,"Traité hors délai","Non"),IF(Q140="Classé sans suite","Non",IF(TODAY()&gt;P140,"OUI","Non"))))</f>
        <v/>
      </c>
      <c r="U140" s="11"/>
    </row>
    <row r="141" customFormat="false" ht="15" hidden="false" customHeight="false" outlineLevel="0" collapsed="false">
      <c r="A141" s="7" t="str">
        <f aca="false">IF(B141="","",YEAR(B141)&amp;"/"&amp;TEXT(ROW()-4,"0000"))</f>
        <v/>
      </c>
      <c r="B141" s="8"/>
      <c r="C141" s="7" t="str">
        <f aca="false">IF(B141="","",INT((B141-DATE(YEAR(B141-WEEKDAY(B141-1)+4),1,3)+WEEKDAY(DATE(YEAR(B141-WEEKDAY(B141-1)+4),1,3))+5)/7))</f>
        <v/>
      </c>
      <c r="D141" s="9" t="str">
        <f aca="false">IF(B141="","",B141-WEEKDAY(B141,2)+1)</f>
        <v/>
      </c>
      <c r="E141" s="10"/>
      <c r="F141" s="8"/>
      <c r="G141" s="11"/>
      <c r="H141" s="10"/>
      <c r="I141" s="11"/>
      <c r="J141" s="10"/>
      <c r="K141" s="10"/>
      <c r="L141" s="10"/>
      <c r="M141" s="11"/>
      <c r="N141" s="8"/>
      <c r="O141" s="7" t="str">
        <f aca="false">IF(L141="","",IFERROR(VLOOKUP(L141,Paramètres!$F$5:$G$8,2,FALSE()),""))</f>
        <v/>
      </c>
      <c r="P141" s="9" t="str">
        <f aca="false">IF(OR(B141="",O141=""),"",IF(N141="",B141,N141)+O141)</f>
        <v/>
      </c>
      <c r="Q141" s="10"/>
      <c r="R141" s="8"/>
      <c r="S141" s="7" t="str">
        <f aca="false">IF(OR(B141="",R141=""),"",R141-B141)</f>
        <v/>
      </c>
      <c r="T141" s="7" t="str">
        <f aca="true">IF(OR(B141="",P141=""),"",IF(R141&lt;&gt;"",IF(R141&gt;P141,"Traité hors délai","Non"),IF(Q141="Classé sans suite","Non",IF(TODAY()&gt;P141,"OUI","Non"))))</f>
        <v/>
      </c>
      <c r="U141" s="11"/>
    </row>
    <row r="142" customFormat="false" ht="15" hidden="false" customHeight="false" outlineLevel="0" collapsed="false">
      <c r="A142" s="7" t="str">
        <f aca="false">IF(B142="","",YEAR(B142)&amp;"/"&amp;TEXT(ROW()-4,"0000"))</f>
        <v/>
      </c>
      <c r="B142" s="8"/>
      <c r="C142" s="7" t="str">
        <f aca="false">IF(B142="","",INT((B142-DATE(YEAR(B142-WEEKDAY(B142-1)+4),1,3)+WEEKDAY(DATE(YEAR(B142-WEEKDAY(B142-1)+4),1,3))+5)/7))</f>
        <v/>
      </c>
      <c r="D142" s="9" t="str">
        <f aca="false">IF(B142="","",B142-WEEKDAY(B142,2)+1)</f>
        <v/>
      </c>
      <c r="E142" s="10"/>
      <c r="F142" s="8"/>
      <c r="G142" s="11"/>
      <c r="H142" s="10"/>
      <c r="I142" s="11"/>
      <c r="J142" s="10"/>
      <c r="K142" s="10"/>
      <c r="L142" s="10"/>
      <c r="M142" s="11"/>
      <c r="N142" s="8"/>
      <c r="O142" s="7" t="str">
        <f aca="false">IF(L142="","",IFERROR(VLOOKUP(L142,Paramètres!$F$5:$G$8,2,FALSE()),""))</f>
        <v/>
      </c>
      <c r="P142" s="9" t="str">
        <f aca="false">IF(OR(B142="",O142=""),"",IF(N142="",B142,N142)+O142)</f>
        <v/>
      </c>
      <c r="Q142" s="10"/>
      <c r="R142" s="8"/>
      <c r="S142" s="7" t="str">
        <f aca="false">IF(OR(B142="",R142=""),"",R142-B142)</f>
        <v/>
      </c>
      <c r="T142" s="7" t="str">
        <f aca="true">IF(OR(B142="",P142=""),"",IF(R142&lt;&gt;"",IF(R142&gt;P142,"Traité hors délai","Non"),IF(Q142="Classé sans suite","Non",IF(TODAY()&gt;P142,"OUI","Non"))))</f>
        <v/>
      </c>
      <c r="U142" s="11"/>
    </row>
    <row r="143" customFormat="false" ht="15" hidden="false" customHeight="false" outlineLevel="0" collapsed="false">
      <c r="A143" s="7" t="str">
        <f aca="false">IF(B143="","",YEAR(B143)&amp;"/"&amp;TEXT(ROW()-4,"0000"))</f>
        <v/>
      </c>
      <c r="B143" s="8"/>
      <c r="C143" s="7" t="str">
        <f aca="false">IF(B143="","",INT((B143-DATE(YEAR(B143-WEEKDAY(B143-1)+4),1,3)+WEEKDAY(DATE(YEAR(B143-WEEKDAY(B143-1)+4),1,3))+5)/7))</f>
        <v/>
      </c>
      <c r="D143" s="9" t="str">
        <f aca="false">IF(B143="","",B143-WEEKDAY(B143,2)+1)</f>
        <v/>
      </c>
      <c r="E143" s="10"/>
      <c r="F143" s="8"/>
      <c r="G143" s="11"/>
      <c r="H143" s="10"/>
      <c r="I143" s="11"/>
      <c r="J143" s="10"/>
      <c r="K143" s="10"/>
      <c r="L143" s="10"/>
      <c r="M143" s="11"/>
      <c r="N143" s="8"/>
      <c r="O143" s="7" t="str">
        <f aca="false">IF(L143="","",IFERROR(VLOOKUP(L143,Paramètres!$F$5:$G$8,2,FALSE()),""))</f>
        <v/>
      </c>
      <c r="P143" s="9" t="str">
        <f aca="false">IF(OR(B143="",O143=""),"",IF(N143="",B143,N143)+O143)</f>
        <v/>
      </c>
      <c r="Q143" s="10"/>
      <c r="R143" s="8"/>
      <c r="S143" s="7" t="str">
        <f aca="false">IF(OR(B143="",R143=""),"",R143-B143)</f>
        <v/>
      </c>
      <c r="T143" s="7" t="str">
        <f aca="true">IF(OR(B143="",P143=""),"",IF(R143&lt;&gt;"",IF(R143&gt;P143,"Traité hors délai","Non"),IF(Q143="Classé sans suite","Non",IF(TODAY()&gt;P143,"OUI","Non"))))</f>
        <v/>
      </c>
      <c r="U143" s="11"/>
    </row>
    <row r="144" customFormat="false" ht="15" hidden="false" customHeight="false" outlineLevel="0" collapsed="false">
      <c r="A144" s="7" t="str">
        <f aca="false">IF(B144="","",YEAR(B144)&amp;"/"&amp;TEXT(ROW()-4,"0000"))</f>
        <v/>
      </c>
      <c r="B144" s="8"/>
      <c r="C144" s="7" t="str">
        <f aca="false">IF(B144="","",INT((B144-DATE(YEAR(B144-WEEKDAY(B144-1)+4),1,3)+WEEKDAY(DATE(YEAR(B144-WEEKDAY(B144-1)+4),1,3))+5)/7))</f>
        <v/>
      </c>
      <c r="D144" s="9" t="str">
        <f aca="false">IF(B144="","",B144-WEEKDAY(B144,2)+1)</f>
        <v/>
      </c>
      <c r="E144" s="10"/>
      <c r="F144" s="8"/>
      <c r="G144" s="11"/>
      <c r="H144" s="10"/>
      <c r="I144" s="11"/>
      <c r="J144" s="10"/>
      <c r="K144" s="10"/>
      <c r="L144" s="10"/>
      <c r="M144" s="11"/>
      <c r="N144" s="8"/>
      <c r="O144" s="7" t="str">
        <f aca="false">IF(L144="","",IFERROR(VLOOKUP(L144,Paramètres!$F$5:$G$8,2,FALSE()),""))</f>
        <v/>
      </c>
      <c r="P144" s="9" t="str">
        <f aca="false">IF(OR(B144="",O144=""),"",IF(N144="",B144,N144)+O144)</f>
        <v/>
      </c>
      <c r="Q144" s="10"/>
      <c r="R144" s="8"/>
      <c r="S144" s="7" t="str">
        <f aca="false">IF(OR(B144="",R144=""),"",R144-B144)</f>
        <v/>
      </c>
      <c r="T144" s="7" t="str">
        <f aca="true">IF(OR(B144="",P144=""),"",IF(R144&lt;&gt;"",IF(R144&gt;P144,"Traité hors délai","Non"),IF(Q144="Classé sans suite","Non",IF(TODAY()&gt;P144,"OUI","Non"))))</f>
        <v/>
      </c>
      <c r="U144" s="11"/>
    </row>
    <row r="145" customFormat="false" ht="15" hidden="false" customHeight="false" outlineLevel="0" collapsed="false">
      <c r="A145" s="7" t="str">
        <f aca="false">IF(B145="","",YEAR(B145)&amp;"/"&amp;TEXT(ROW()-4,"0000"))</f>
        <v/>
      </c>
      <c r="B145" s="8"/>
      <c r="C145" s="7" t="str">
        <f aca="false">IF(B145="","",INT((B145-DATE(YEAR(B145-WEEKDAY(B145-1)+4),1,3)+WEEKDAY(DATE(YEAR(B145-WEEKDAY(B145-1)+4),1,3))+5)/7))</f>
        <v/>
      </c>
      <c r="D145" s="9" t="str">
        <f aca="false">IF(B145="","",B145-WEEKDAY(B145,2)+1)</f>
        <v/>
      </c>
      <c r="E145" s="10"/>
      <c r="F145" s="8"/>
      <c r="G145" s="11"/>
      <c r="H145" s="10"/>
      <c r="I145" s="11"/>
      <c r="J145" s="10"/>
      <c r="K145" s="10"/>
      <c r="L145" s="10"/>
      <c r="M145" s="11"/>
      <c r="N145" s="8"/>
      <c r="O145" s="7" t="str">
        <f aca="false">IF(L145="","",IFERROR(VLOOKUP(L145,Paramètres!$F$5:$G$8,2,FALSE()),""))</f>
        <v/>
      </c>
      <c r="P145" s="9" t="str">
        <f aca="false">IF(OR(B145="",O145=""),"",IF(N145="",B145,N145)+O145)</f>
        <v/>
      </c>
      <c r="Q145" s="10"/>
      <c r="R145" s="8"/>
      <c r="S145" s="7" t="str">
        <f aca="false">IF(OR(B145="",R145=""),"",R145-B145)</f>
        <v/>
      </c>
      <c r="T145" s="7" t="str">
        <f aca="true">IF(OR(B145="",P145=""),"",IF(R145&lt;&gt;"",IF(R145&gt;P145,"Traité hors délai","Non"),IF(Q145="Classé sans suite","Non",IF(TODAY()&gt;P145,"OUI","Non"))))</f>
        <v/>
      </c>
      <c r="U145" s="11"/>
    </row>
    <row r="146" customFormat="false" ht="15" hidden="false" customHeight="false" outlineLevel="0" collapsed="false">
      <c r="A146" s="7" t="str">
        <f aca="false">IF(B146="","",YEAR(B146)&amp;"/"&amp;TEXT(ROW()-4,"0000"))</f>
        <v/>
      </c>
      <c r="B146" s="8"/>
      <c r="C146" s="7" t="str">
        <f aca="false">IF(B146="","",INT((B146-DATE(YEAR(B146-WEEKDAY(B146-1)+4),1,3)+WEEKDAY(DATE(YEAR(B146-WEEKDAY(B146-1)+4),1,3))+5)/7))</f>
        <v/>
      </c>
      <c r="D146" s="9" t="str">
        <f aca="false">IF(B146="","",B146-WEEKDAY(B146,2)+1)</f>
        <v/>
      </c>
      <c r="E146" s="10"/>
      <c r="F146" s="8"/>
      <c r="G146" s="11"/>
      <c r="H146" s="10"/>
      <c r="I146" s="11"/>
      <c r="J146" s="10"/>
      <c r="K146" s="10"/>
      <c r="L146" s="10"/>
      <c r="M146" s="11"/>
      <c r="N146" s="8"/>
      <c r="O146" s="7" t="str">
        <f aca="false">IF(L146="","",IFERROR(VLOOKUP(L146,Paramètres!$F$5:$G$8,2,FALSE()),""))</f>
        <v/>
      </c>
      <c r="P146" s="9" t="str">
        <f aca="false">IF(OR(B146="",O146=""),"",IF(N146="",B146,N146)+O146)</f>
        <v/>
      </c>
      <c r="Q146" s="10"/>
      <c r="R146" s="8"/>
      <c r="S146" s="7" t="str">
        <f aca="false">IF(OR(B146="",R146=""),"",R146-B146)</f>
        <v/>
      </c>
      <c r="T146" s="7" t="str">
        <f aca="true">IF(OR(B146="",P146=""),"",IF(R146&lt;&gt;"",IF(R146&gt;P146,"Traité hors délai","Non"),IF(Q146="Classé sans suite","Non",IF(TODAY()&gt;P146,"OUI","Non"))))</f>
        <v/>
      </c>
      <c r="U146" s="11"/>
    </row>
    <row r="147" customFormat="false" ht="15" hidden="false" customHeight="false" outlineLevel="0" collapsed="false">
      <c r="A147" s="7" t="str">
        <f aca="false">IF(B147="","",YEAR(B147)&amp;"/"&amp;TEXT(ROW()-4,"0000"))</f>
        <v/>
      </c>
      <c r="B147" s="8"/>
      <c r="C147" s="7" t="str">
        <f aca="false">IF(B147="","",INT((B147-DATE(YEAR(B147-WEEKDAY(B147-1)+4),1,3)+WEEKDAY(DATE(YEAR(B147-WEEKDAY(B147-1)+4),1,3))+5)/7))</f>
        <v/>
      </c>
      <c r="D147" s="9" t="str">
        <f aca="false">IF(B147="","",B147-WEEKDAY(B147,2)+1)</f>
        <v/>
      </c>
      <c r="E147" s="10"/>
      <c r="F147" s="8"/>
      <c r="G147" s="11"/>
      <c r="H147" s="10"/>
      <c r="I147" s="11"/>
      <c r="J147" s="10"/>
      <c r="K147" s="10"/>
      <c r="L147" s="10"/>
      <c r="M147" s="11"/>
      <c r="N147" s="8"/>
      <c r="O147" s="7" t="str">
        <f aca="false">IF(L147="","",IFERROR(VLOOKUP(L147,Paramètres!$F$5:$G$8,2,FALSE()),""))</f>
        <v/>
      </c>
      <c r="P147" s="9" t="str">
        <f aca="false">IF(OR(B147="",O147=""),"",IF(N147="",B147,N147)+O147)</f>
        <v/>
      </c>
      <c r="Q147" s="10"/>
      <c r="R147" s="8"/>
      <c r="S147" s="7" t="str">
        <f aca="false">IF(OR(B147="",R147=""),"",R147-B147)</f>
        <v/>
      </c>
      <c r="T147" s="7" t="str">
        <f aca="true">IF(OR(B147="",P147=""),"",IF(R147&lt;&gt;"",IF(R147&gt;P147,"Traité hors délai","Non"),IF(Q147="Classé sans suite","Non",IF(TODAY()&gt;P147,"OUI","Non"))))</f>
        <v/>
      </c>
      <c r="U147" s="11"/>
    </row>
    <row r="148" customFormat="false" ht="15" hidden="false" customHeight="false" outlineLevel="0" collapsed="false">
      <c r="A148" s="7" t="str">
        <f aca="false">IF(B148="","",YEAR(B148)&amp;"/"&amp;TEXT(ROW()-4,"0000"))</f>
        <v/>
      </c>
      <c r="B148" s="8"/>
      <c r="C148" s="7" t="str">
        <f aca="false">IF(B148="","",INT((B148-DATE(YEAR(B148-WEEKDAY(B148-1)+4),1,3)+WEEKDAY(DATE(YEAR(B148-WEEKDAY(B148-1)+4),1,3))+5)/7))</f>
        <v/>
      </c>
      <c r="D148" s="9" t="str">
        <f aca="false">IF(B148="","",B148-WEEKDAY(B148,2)+1)</f>
        <v/>
      </c>
      <c r="E148" s="10"/>
      <c r="F148" s="8"/>
      <c r="G148" s="11"/>
      <c r="H148" s="10"/>
      <c r="I148" s="11"/>
      <c r="J148" s="10"/>
      <c r="K148" s="10"/>
      <c r="L148" s="10"/>
      <c r="M148" s="11"/>
      <c r="N148" s="8"/>
      <c r="O148" s="7" t="str">
        <f aca="false">IF(L148="","",IFERROR(VLOOKUP(L148,Paramètres!$F$5:$G$8,2,FALSE()),""))</f>
        <v/>
      </c>
      <c r="P148" s="9" t="str">
        <f aca="false">IF(OR(B148="",O148=""),"",IF(N148="",B148,N148)+O148)</f>
        <v/>
      </c>
      <c r="Q148" s="10"/>
      <c r="R148" s="8"/>
      <c r="S148" s="7" t="str">
        <f aca="false">IF(OR(B148="",R148=""),"",R148-B148)</f>
        <v/>
      </c>
      <c r="T148" s="7" t="str">
        <f aca="true">IF(OR(B148="",P148=""),"",IF(R148&lt;&gt;"",IF(R148&gt;P148,"Traité hors délai","Non"),IF(Q148="Classé sans suite","Non",IF(TODAY()&gt;P148,"OUI","Non"))))</f>
        <v/>
      </c>
      <c r="U148" s="11"/>
    </row>
    <row r="149" customFormat="false" ht="15" hidden="false" customHeight="false" outlineLevel="0" collapsed="false">
      <c r="A149" s="7" t="str">
        <f aca="false">IF(B149="","",YEAR(B149)&amp;"/"&amp;TEXT(ROW()-4,"0000"))</f>
        <v/>
      </c>
      <c r="B149" s="8"/>
      <c r="C149" s="7" t="str">
        <f aca="false">IF(B149="","",INT((B149-DATE(YEAR(B149-WEEKDAY(B149-1)+4),1,3)+WEEKDAY(DATE(YEAR(B149-WEEKDAY(B149-1)+4),1,3))+5)/7))</f>
        <v/>
      </c>
      <c r="D149" s="9" t="str">
        <f aca="false">IF(B149="","",B149-WEEKDAY(B149,2)+1)</f>
        <v/>
      </c>
      <c r="E149" s="10"/>
      <c r="F149" s="8"/>
      <c r="G149" s="11"/>
      <c r="H149" s="10"/>
      <c r="I149" s="11"/>
      <c r="J149" s="10"/>
      <c r="K149" s="10"/>
      <c r="L149" s="10"/>
      <c r="M149" s="11"/>
      <c r="N149" s="8"/>
      <c r="O149" s="7" t="str">
        <f aca="false">IF(L149="","",IFERROR(VLOOKUP(L149,Paramètres!$F$5:$G$8,2,FALSE()),""))</f>
        <v/>
      </c>
      <c r="P149" s="9" t="str">
        <f aca="false">IF(OR(B149="",O149=""),"",IF(N149="",B149,N149)+O149)</f>
        <v/>
      </c>
      <c r="Q149" s="10"/>
      <c r="R149" s="8"/>
      <c r="S149" s="7" t="str">
        <f aca="false">IF(OR(B149="",R149=""),"",R149-B149)</f>
        <v/>
      </c>
      <c r="T149" s="7" t="str">
        <f aca="true">IF(OR(B149="",P149=""),"",IF(R149&lt;&gt;"",IF(R149&gt;P149,"Traité hors délai","Non"),IF(Q149="Classé sans suite","Non",IF(TODAY()&gt;P149,"OUI","Non"))))</f>
        <v/>
      </c>
      <c r="U149" s="11"/>
    </row>
    <row r="150" customFormat="false" ht="15" hidden="false" customHeight="false" outlineLevel="0" collapsed="false">
      <c r="A150" s="7" t="str">
        <f aca="false">IF(B150="","",YEAR(B150)&amp;"/"&amp;TEXT(ROW()-4,"0000"))</f>
        <v/>
      </c>
      <c r="B150" s="8"/>
      <c r="C150" s="7" t="str">
        <f aca="false">IF(B150="","",INT((B150-DATE(YEAR(B150-WEEKDAY(B150-1)+4),1,3)+WEEKDAY(DATE(YEAR(B150-WEEKDAY(B150-1)+4),1,3))+5)/7))</f>
        <v/>
      </c>
      <c r="D150" s="9" t="str">
        <f aca="false">IF(B150="","",B150-WEEKDAY(B150,2)+1)</f>
        <v/>
      </c>
      <c r="E150" s="10"/>
      <c r="F150" s="8"/>
      <c r="G150" s="11"/>
      <c r="H150" s="10"/>
      <c r="I150" s="11"/>
      <c r="J150" s="10"/>
      <c r="K150" s="10"/>
      <c r="L150" s="10"/>
      <c r="M150" s="11"/>
      <c r="N150" s="8"/>
      <c r="O150" s="7" t="str">
        <f aca="false">IF(L150="","",IFERROR(VLOOKUP(L150,Paramètres!$F$5:$G$8,2,FALSE()),""))</f>
        <v/>
      </c>
      <c r="P150" s="9" t="str">
        <f aca="false">IF(OR(B150="",O150=""),"",IF(N150="",B150,N150)+O150)</f>
        <v/>
      </c>
      <c r="Q150" s="10"/>
      <c r="R150" s="8"/>
      <c r="S150" s="7" t="str">
        <f aca="false">IF(OR(B150="",R150=""),"",R150-B150)</f>
        <v/>
      </c>
      <c r="T150" s="7" t="str">
        <f aca="true">IF(OR(B150="",P150=""),"",IF(R150&lt;&gt;"",IF(R150&gt;P150,"Traité hors délai","Non"),IF(Q150="Classé sans suite","Non",IF(TODAY()&gt;P150,"OUI","Non"))))</f>
        <v/>
      </c>
      <c r="U150" s="11"/>
    </row>
    <row r="151" customFormat="false" ht="15" hidden="false" customHeight="false" outlineLevel="0" collapsed="false">
      <c r="A151" s="7" t="str">
        <f aca="false">IF(B151="","",YEAR(B151)&amp;"/"&amp;TEXT(ROW()-4,"0000"))</f>
        <v/>
      </c>
      <c r="B151" s="8"/>
      <c r="C151" s="7" t="str">
        <f aca="false">IF(B151="","",INT((B151-DATE(YEAR(B151-WEEKDAY(B151-1)+4),1,3)+WEEKDAY(DATE(YEAR(B151-WEEKDAY(B151-1)+4),1,3))+5)/7))</f>
        <v/>
      </c>
      <c r="D151" s="9" t="str">
        <f aca="false">IF(B151="","",B151-WEEKDAY(B151,2)+1)</f>
        <v/>
      </c>
      <c r="E151" s="10"/>
      <c r="F151" s="8"/>
      <c r="G151" s="11"/>
      <c r="H151" s="10"/>
      <c r="I151" s="11"/>
      <c r="J151" s="10"/>
      <c r="K151" s="10"/>
      <c r="L151" s="10"/>
      <c r="M151" s="11"/>
      <c r="N151" s="8"/>
      <c r="O151" s="7" t="str">
        <f aca="false">IF(L151="","",IFERROR(VLOOKUP(L151,Paramètres!$F$5:$G$8,2,FALSE()),""))</f>
        <v/>
      </c>
      <c r="P151" s="9" t="str">
        <f aca="false">IF(OR(B151="",O151=""),"",IF(N151="",B151,N151)+O151)</f>
        <v/>
      </c>
      <c r="Q151" s="10"/>
      <c r="R151" s="8"/>
      <c r="S151" s="7" t="str">
        <f aca="false">IF(OR(B151="",R151=""),"",R151-B151)</f>
        <v/>
      </c>
      <c r="T151" s="7" t="str">
        <f aca="true">IF(OR(B151="",P151=""),"",IF(R151&lt;&gt;"",IF(R151&gt;P151,"Traité hors délai","Non"),IF(Q151="Classé sans suite","Non",IF(TODAY()&gt;P151,"OUI","Non"))))</f>
        <v/>
      </c>
      <c r="U151" s="11"/>
    </row>
    <row r="152" customFormat="false" ht="15" hidden="false" customHeight="false" outlineLevel="0" collapsed="false">
      <c r="A152" s="7" t="str">
        <f aca="false">IF(B152="","",YEAR(B152)&amp;"/"&amp;TEXT(ROW()-4,"0000"))</f>
        <v/>
      </c>
      <c r="B152" s="8"/>
      <c r="C152" s="7" t="str">
        <f aca="false">IF(B152="","",INT((B152-DATE(YEAR(B152-WEEKDAY(B152-1)+4),1,3)+WEEKDAY(DATE(YEAR(B152-WEEKDAY(B152-1)+4),1,3))+5)/7))</f>
        <v/>
      </c>
      <c r="D152" s="9" t="str">
        <f aca="false">IF(B152="","",B152-WEEKDAY(B152,2)+1)</f>
        <v/>
      </c>
      <c r="E152" s="10"/>
      <c r="F152" s="8"/>
      <c r="G152" s="11"/>
      <c r="H152" s="10"/>
      <c r="I152" s="11"/>
      <c r="J152" s="10"/>
      <c r="K152" s="10"/>
      <c r="L152" s="10"/>
      <c r="M152" s="11"/>
      <c r="N152" s="8"/>
      <c r="O152" s="7" t="str">
        <f aca="false">IF(L152="","",IFERROR(VLOOKUP(L152,Paramètres!$F$5:$G$8,2,FALSE()),""))</f>
        <v/>
      </c>
      <c r="P152" s="9" t="str">
        <f aca="false">IF(OR(B152="",O152=""),"",IF(N152="",B152,N152)+O152)</f>
        <v/>
      </c>
      <c r="Q152" s="10"/>
      <c r="R152" s="8"/>
      <c r="S152" s="7" t="str">
        <f aca="false">IF(OR(B152="",R152=""),"",R152-B152)</f>
        <v/>
      </c>
      <c r="T152" s="7" t="str">
        <f aca="true">IF(OR(B152="",P152=""),"",IF(R152&lt;&gt;"",IF(R152&gt;P152,"Traité hors délai","Non"),IF(Q152="Classé sans suite","Non",IF(TODAY()&gt;P152,"OUI","Non"))))</f>
        <v/>
      </c>
      <c r="U152" s="11"/>
    </row>
    <row r="153" customFormat="false" ht="15" hidden="false" customHeight="false" outlineLevel="0" collapsed="false">
      <c r="A153" s="7" t="str">
        <f aca="false">IF(B153="","",YEAR(B153)&amp;"/"&amp;TEXT(ROW()-4,"0000"))</f>
        <v/>
      </c>
      <c r="B153" s="8"/>
      <c r="C153" s="7" t="str">
        <f aca="false">IF(B153="","",INT((B153-DATE(YEAR(B153-WEEKDAY(B153-1)+4),1,3)+WEEKDAY(DATE(YEAR(B153-WEEKDAY(B153-1)+4),1,3))+5)/7))</f>
        <v/>
      </c>
      <c r="D153" s="9" t="str">
        <f aca="false">IF(B153="","",B153-WEEKDAY(B153,2)+1)</f>
        <v/>
      </c>
      <c r="E153" s="10"/>
      <c r="F153" s="8"/>
      <c r="G153" s="11"/>
      <c r="H153" s="10"/>
      <c r="I153" s="11"/>
      <c r="J153" s="10"/>
      <c r="K153" s="10"/>
      <c r="L153" s="10"/>
      <c r="M153" s="11"/>
      <c r="N153" s="8"/>
      <c r="O153" s="7" t="str">
        <f aca="false">IF(L153="","",IFERROR(VLOOKUP(L153,Paramètres!$F$5:$G$8,2,FALSE()),""))</f>
        <v/>
      </c>
      <c r="P153" s="9" t="str">
        <f aca="false">IF(OR(B153="",O153=""),"",IF(N153="",B153,N153)+O153)</f>
        <v/>
      </c>
      <c r="Q153" s="10"/>
      <c r="R153" s="8"/>
      <c r="S153" s="7" t="str">
        <f aca="false">IF(OR(B153="",R153=""),"",R153-B153)</f>
        <v/>
      </c>
      <c r="T153" s="7" t="str">
        <f aca="true">IF(OR(B153="",P153=""),"",IF(R153&lt;&gt;"",IF(R153&gt;P153,"Traité hors délai","Non"),IF(Q153="Classé sans suite","Non",IF(TODAY()&gt;P153,"OUI","Non"))))</f>
        <v/>
      </c>
      <c r="U153" s="11"/>
    </row>
    <row r="154" customFormat="false" ht="15" hidden="false" customHeight="false" outlineLevel="0" collapsed="false">
      <c r="A154" s="7" t="str">
        <f aca="false">IF(B154="","",YEAR(B154)&amp;"/"&amp;TEXT(ROW()-4,"0000"))</f>
        <v/>
      </c>
      <c r="B154" s="8"/>
      <c r="C154" s="7" t="str">
        <f aca="false">IF(B154="","",INT((B154-DATE(YEAR(B154-WEEKDAY(B154-1)+4),1,3)+WEEKDAY(DATE(YEAR(B154-WEEKDAY(B154-1)+4),1,3))+5)/7))</f>
        <v/>
      </c>
      <c r="D154" s="9" t="str">
        <f aca="false">IF(B154="","",B154-WEEKDAY(B154,2)+1)</f>
        <v/>
      </c>
      <c r="E154" s="10"/>
      <c r="F154" s="8"/>
      <c r="G154" s="11"/>
      <c r="H154" s="10"/>
      <c r="I154" s="11"/>
      <c r="J154" s="10"/>
      <c r="K154" s="10"/>
      <c r="L154" s="10"/>
      <c r="M154" s="11"/>
      <c r="N154" s="8"/>
      <c r="O154" s="7" t="str">
        <f aca="false">IF(L154="","",IFERROR(VLOOKUP(L154,Paramètres!$F$5:$G$8,2,FALSE()),""))</f>
        <v/>
      </c>
      <c r="P154" s="9" t="str">
        <f aca="false">IF(OR(B154="",O154=""),"",IF(N154="",B154,N154)+O154)</f>
        <v/>
      </c>
      <c r="Q154" s="10"/>
      <c r="R154" s="8"/>
      <c r="S154" s="7" t="str">
        <f aca="false">IF(OR(B154="",R154=""),"",R154-B154)</f>
        <v/>
      </c>
      <c r="T154" s="7" t="str">
        <f aca="true">IF(OR(B154="",P154=""),"",IF(R154&lt;&gt;"",IF(R154&gt;P154,"Traité hors délai","Non"),IF(Q154="Classé sans suite","Non",IF(TODAY()&gt;P154,"OUI","Non"))))</f>
        <v/>
      </c>
      <c r="U154" s="11"/>
    </row>
    <row r="155" customFormat="false" ht="15" hidden="false" customHeight="false" outlineLevel="0" collapsed="false">
      <c r="A155" s="7" t="str">
        <f aca="false">IF(B155="","",YEAR(B155)&amp;"/"&amp;TEXT(ROW()-4,"0000"))</f>
        <v/>
      </c>
      <c r="B155" s="8"/>
      <c r="C155" s="7" t="str">
        <f aca="false">IF(B155="","",INT((B155-DATE(YEAR(B155-WEEKDAY(B155-1)+4),1,3)+WEEKDAY(DATE(YEAR(B155-WEEKDAY(B155-1)+4),1,3))+5)/7))</f>
        <v/>
      </c>
      <c r="D155" s="9" t="str">
        <f aca="false">IF(B155="","",B155-WEEKDAY(B155,2)+1)</f>
        <v/>
      </c>
      <c r="E155" s="10"/>
      <c r="F155" s="8"/>
      <c r="G155" s="11"/>
      <c r="H155" s="10"/>
      <c r="I155" s="11"/>
      <c r="J155" s="10"/>
      <c r="K155" s="10"/>
      <c r="L155" s="10"/>
      <c r="M155" s="11"/>
      <c r="N155" s="8"/>
      <c r="O155" s="7" t="str">
        <f aca="false">IF(L155="","",IFERROR(VLOOKUP(L155,Paramètres!$F$5:$G$8,2,FALSE()),""))</f>
        <v/>
      </c>
      <c r="P155" s="9" t="str">
        <f aca="false">IF(OR(B155="",O155=""),"",IF(N155="",B155,N155)+O155)</f>
        <v/>
      </c>
      <c r="Q155" s="10"/>
      <c r="R155" s="8"/>
      <c r="S155" s="7" t="str">
        <f aca="false">IF(OR(B155="",R155=""),"",R155-B155)</f>
        <v/>
      </c>
      <c r="T155" s="7" t="str">
        <f aca="true">IF(OR(B155="",P155=""),"",IF(R155&lt;&gt;"",IF(R155&gt;P155,"Traité hors délai","Non"),IF(Q155="Classé sans suite","Non",IF(TODAY()&gt;P155,"OUI","Non"))))</f>
        <v/>
      </c>
      <c r="U155" s="11"/>
    </row>
    <row r="156" customFormat="false" ht="15" hidden="false" customHeight="false" outlineLevel="0" collapsed="false">
      <c r="A156" s="7" t="str">
        <f aca="false">IF(B156="","",YEAR(B156)&amp;"/"&amp;TEXT(ROW()-4,"0000"))</f>
        <v/>
      </c>
      <c r="B156" s="8"/>
      <c r="C156" s="7" t="str">
        <f aca="false">IF(B156="","",INT((B156-DATE(YEAR(B156-WEEKDAY(B156-1)+4),1,3)+WEEKDAY(DATE(YEAR(B156-WEEKDAY(B156-1)+4),1,3))+5)/7))</f>
        <v/>
      </c>
      <c r="D156" s="9" t="str">
        <f aca="false">IF(B156="","",B156-WEEKDAY(B156,2)+1)</f>
        <v/>
      </c>
      <c r="E156" s="10"/>
      <c r="F156" s="8"/>
      <c r="G156" s="11"/>
      <c r="H156" s="10"/>
      <c r="I156" s="11"/>
      <c r="J156" s="10"/>
      <c r="K156" s="10"/>
      <c r="L156" s="10"/>
      <c r="M156" s="11"/>
      <c r="N156" s="8"/>
      <c r="O156" s="7" t="str">
        <f aca="false">IF(L156="","",IFERROR(VLOOKUP(L156,Paramètres!$F$5:$G$8,2,FALSE()),""))</f>
        <v/>
      </c>
      <c r="P156" s="9" t="str">
        <f aca="false">IF(OR(B156="",O156=""),"",IF(N156="",B156,N156)+O156)</f>
        <v/>
      </c>
      <c r="Q156" s="10"/>
      <c r="R156" s="8"/>
      <c r="S156" s="7" t="str">
        <f aca="false">IF(OR(B156="",R156=""),"",R156-B156)</f>
        <v/>
      </c>
      <c r="T156" s="7" t="str">
        <f aca="true">IF(OR(B156="",P156=""),"",IF(R156&lt;&gt;"",IF(R156&gt;P156,"Traité hors délai","Non"),IF(Q156="Classé sans suite","Non",IF(TODAY()&gt;P156,"OUI","Non"))))</f>
        <v/>
      </c>
      <c r="U156" s="11"/>
    </row>
    <row r="157" customFormat="false" ht="15" hidden="false" customHeight="false" outlineLevel="0" collapsed="false">
      <c r="A157" s="7" t="str">
        <f aca="false">IF(B157="","",YEAR(B157)&amp;"/"&amp;TEXT(ROW()-4,"0000"))</f>
        <v/>
      </c>
      <c r="B157" s="8"/>
      <c r="C157" s="7" t="str">
        <f aca="false">IF(B157="","",INT((B157-DATE(YEAR(B157-WEEKDAY(B157-1)+4),1,3)+WEEKDAY(DATE(YEAR(B157-WEEKDAY(B157-1)+4),1,3))+5)/7))</f>
        <v/>
      </c>
      <c r="D157" s="9" t="str">
        <f aca="false">IF(B157="","",B157-WEEKDAY(B157,2)+1)</f>
        <v/>
      </c>
      <c r="E157" s="10"/>
      <c r="F157" s="8"/>
      <c r="G157" s="11"/>
      <c r="H157" s="10"/>
      <c r="I157" s="11"/>
      <c r="J157" s="10"/>
      <c r="K157" s="10"/>
      <c r="L157" s="10"/>
      <c r="M157" s="11"/>
      <c r="N157" s="8"/>
      <c r="O157" s="7" t="str">
        <f aca="false">IF(L157="","",IFERROR(VLOOKUP(L157,Paramètres!$F$5:$G$8,2,FALSE()),""))</f>
        <v/>
      </c>
      <c r="P157" s="9" t="str">
        <f aca="false">IF(OR(B157="",O157=""),"",IF(N157="",B157,N157)+O157)</f>
        <v/>
      </c>
      <c r="Q157" s="10"/>
      <c r="R157" s="8"/>
      <c r="S157" s="7" t="str">
        <f aca="false">IF(OR(B157="",R157=""),"",R157-B157)</f>
        <v/>
      </c>
      <c r="T157" s="7" t="str">
        <f aca="true">IF(OR(B157="",P157=""),"",IF(R157&lt;&gt;"",IF(R157&gt;P157,"Traité hors délai","Non"),IF(Q157="Classé sans suite","Non",IF(TODAY()&gt;P157,"OUI","Non"))))</f>
        <v/>
      </c>
      <c r="U157" s="11"/>
    </row>
    <row r="158" customFormat="false" ht="15" hidden="false" customHeight="false" outlineLevel="0" collapsed="false">
      <c r="A158" s="7" t="str">
        <f aca="false">IF(B158="","",YEAR(B158)&amp;"/"&amp;TEXT(ROW()-4,"0000"))</f>
        <v/>
      </c>
      <c r="B158" s="8"/>
      <c r="C158" s="7" t="str">
        <f aca="false">IF(B158="","",INT((B158-DATE(YEAR(B158-WEEKDAY(B158-1)+4),1,3)+WEEKDAY(DATE(YEAR(B158-WEEKDAY(B158-1)+4),1,3))+5)/7))</f>
        <v/>
      </c>
      <c r="D158" s="9" t="str">
        <f aca="false">IF(B158="","",B158-WEEKDAY(B158,2)+1)</f>
        <v/>
      </c>
      <c r="E158" s="10"/>
      <c r="F158" s="8"/>
      <c r="G158" s="11"/>
      <c r="H158" s="10"/>
      <c r="I158" s="11"/>
      <c r="J158" s="10"/>
      <c r="K158" s="10"/>
      <c r="L158" s="10"/>
      <c r="M158" s="11"/>
      <c r="N158" s="8"/>
      <c r="O158" s="7" t="str">
        <f aca="false">IF(L158="","",IFERROR(VLOOKUP(L158,Paramètres!$F$5:$G$8,2,FALSE()),""))</f>
        <v/>
      </c>
      <c r="P158" s="9" t="str">
        <f aca="false">IF(OR(B158="",O158=""),"",IF(N158="",B158,N158)+O158)</f>
        <v/>
      </c>
      <c r="Q158" s="10"/>
      <c r="R158" s="8"/>
      <c r="S158" s="7" t="str">
        <f aca="false">IF(OR(B158="",R158=""),"",R158-B158)</f>
        <v/>
      </c>
      <c r="T158" s="7" t="str">
        <f aca="true">IF(OR(B158="",P158=""),"",IF(R158&lt;&gt;"",IF(R158&gt;P158,"Traité hors délai","Non"),IF(Q158="Classé sans suite","Non",IF(TODAY()&gt;P158,"OUI","Non"))))</f>
        <v/>
      </c>
      <c r="U158" s="11"/>
    </row>
    <row r="159" customFormat="false" ht="15" hidden="false" customHeight="false" outlineLevel="0" collapsed="false">
      <c r="A159" s="7" t="str">
        <f aca="false">IF(B159="","",YEAR(B159)&amp;"/"&amp;TEXT(ROW()-4,"0000"))</f>
        <v/>
      </c>
      <c r="B159" s="8"/>
      <c r="C159" s="7" t="str">
        <f aca="false">IF(B159="","",INT((B159-DATE(YEAR(B159-WEEKDAY(B159-1)+4),1,3)+WEEKDAY(DATE(YEAR(B159-WEEKDAY(B159-1)+4),1,3))+5)/7))</f>
        <v/>
      </c>
      <c r="D159" s="9" t="str">
        <f aca="false">IF(B159="","",B159-WEEKDAY(B159,2)+1)</f>
        <v/>
      </c>
      <c r="E159" s="10"/>
      <c r="F159" s="8"/>
      <c r="G159" s="11"/>
      <c r="H159" s="10"/>
      <c r="I159" s="11"/>
      <c r="J159" s="10"/>
      <c r="K159" s="10"/>
      <c r="L159" s="10"/>
      <c r="M159" s="11"/>
      <c r="N159" s="8"/>
      <c r="O159" s="7" t="str">
        <f aca="false">IF(L159="","",IFERROR(VLOOKUP(L159,Paramètres!$F$5:$G$8,2,FALSE()),""))</f>
        <v/>
      </c>
      <c r="P159" s="9" t="str">
        <f aca="false">IF(OR(B159="",O159=""),"",IF(N159="",B159,N159)+O159)</f>
        <v/>
      </c>
      <c r="Q159" s="10"/>
      <c r="R159" s="8"/>
      <c r="S159" s="7" t="str">
        <f aca="false">IF(OR(B159="",R159=""),"",R159-B159)</f>
        <v/>
      </c>
      <c r="T159" s="7" t="str">
        <f aca="true">IF(OR(B159="",P159=""),"",IF(R159&lt;&gt;"",IF(R159&gt;P159,"Traité hors délai","Non"),IF(Q159="Classé sans suite","Non",IF(TODAY()&gt;P159,"OUI","Non"))))</f>
        <v/>
      </c>
      <c r="U159" s="11"/>
    </row>
    <row r="160" customFormat="false" ht="15" hidden="false" customHeight="false" outlineLevel="0" collapsed="false">
      <c r="A160" s="7" t="str">
        <f aca="false">IF(B160="","",YEAR(B160)&amp;"/"&amp;TEXT(ROW()-4,"0000"))</f>
        <v/>
      </c>
      <c r="B160" s="8"/>
      <c r="C160" s="7" t="str">
        <f aca="false">IF(B160="","",INT((B160-DATE(YEAR(B160-WEEKDAY(B160-1)+4),1,3)+WEEKDAY(DATE(YEAR(B160-WEEKDAY(B160-1)+4),1,3))+5)/7))</f>
        <v/>
      </c>
      <c r="D160" s="9" t="str">
        <f aca="false">IF(B160="","",B160-WEEKDAY(B160,2)+1)</f>
        <v/>
      </c>
      <c r="E160" s="10"/>
      <c r="F160" s="8"/>
      <c r="G160" s="11"/>
      <c r="H160" s="10"/>
      <c r="I160" s="11"/>
      <c r="J160" s="10"/>
      <c r="K160" s="10"/>
      <c r="L160" s="10"/>
      <c r="M160" s="11"/>
      <c r="N160" s="8"/>
      <c r="O160" s="7" t="str">
        <f aca="false">IF(L160="","",IFERROR(VLOOKUP(L160,Paramètres!$F$5:$G$8,2,FALSE()),""))</f>
        <v/>
      </c>
      <c r="P160" s="9" t="str">
        <f aca="false">IF(OR(B160="",O160=""),"",IF(N160="",B160,N160)+O160)</f>
        <v/>
      </c>
      <c r="Q160" s="10"/>
      <c r="R160" s="8"/>
      <c r="S160" s="7" t="str">
        <f aca="false">IF(OR(B160="",R160=""),"",R160-B160)</f>
        <v/>
      </c>
      <c r="T160" s="7" t="str">
        <f aca="true">IF(OR(B160="",P160=""),"",IF(R160&lt;&gt;"",IF(R160&gt;P160,"Traité hors délai","Non"),IF(Q160="Classé sans suite","Non",IF(TODAY()&gt;P160,"OUI","Non"))))</f>
        <v/>
      </c>
      <c r="U160" s="11"/>
    </row>
    <row r="161" customFormat="false" ht="15" hidden="false" customHeight="false" outlineLevel="0" collapsed="false">
      <c r="A161" s="7" t="str">
        <f aca="false">IF(B161="","",YEAR(B161)&amp;"/"&amp;TEXT(ROW()-4,"0000"))</f>
        <v/>
      </c>
      <c r="B161" s="8"/>
      <c r="C161" s="7" t="str">
        <f aca="false">IF(B161="","",INT((B161-DATE(YEAR(B161-WEEKDAY(B161-1)+4),1,3)+WEEKDAY(DATE(YEAR(B161-WEEKDAY(B161-1)+4),1,3))+5)/7))</f>
        <v/>
      </c>
      <c r="D161" s="9" t="str">
        <f aca="false">IF(B161="","",B161-WEEKDAY(B161,2)+1)</f>
        <v/>
      </c>
      <c r="E161" s="10"/>
      <c r="F161" s="8"/>
      <c r="G161" s="11"/>
      <c r="H161" s="10"/>
      <c r="I161" s="11"/>
      <c r="J161" s="10"/>
      <c r="K161" s="10"/>
      <c r="L161" s="10"/>
      <c r="M161" s="11"/>
      <c r="N161" s="8"/>
      <c r="O161" s="7" t="str">
        <f aca="false">IF(L161="","",IFERROR(VLOOKUP(L161,Paramètres!$F$5:$G$8,2,FALSE()),""))</f>
        <v/>
      </c>
      <c r="P161" s="9" t="str">
        <f aca="false">IF(OR(B161="",O161=""),"",IF(N161="",B161,N161)+O161)</f>
        <v/>
      </c>
      <c r="Q161" s="10"/>
      <c r="R161" s="8"/>
      <c r="S161" s="7" t="str">
        <f aca="false">IF(OR(B161="",R161=""),"",R161-B161)</f>
        <v/>
      </c>
      <c r="T161" s="7" t="str">
        <f aca="true">IF(OR(B161="",P161=""),"",IF(R161&lt;&gt;"",IF(R161&gt;P161,"Traité hors délai","Non"),IF(Q161="Classé sans suite","Non",IF(TODAY()&gt;P161,"OUI","Non"))))</f>
        <v/>
      </c>
      <c r="U161" s="11"/>
    </row>
    <row r="162" customFormat="false" ht="15" hidden="false" customHeight="false" outlineLevel="0" collapsed="false">
      <c r="A162" s="7" t="str">
        <f aca="false">IF(B162="","",YEAR(B162)&amp;"/"&amp;TEXT(ROW()-4,"0000"))</f>
        <v/>
      </c>
      <c r="B162" s="8"/>
      <c r="C162" s="7" t="str">
        <f aca="false">IF(B162="","",INT((B162-DATE(YEAR(B162-WEEKDAY(B162-1)+4),1,3)+WEEKDAY(DATE(YEAR(B162-WEEKDAY(B162-1)+4),1,3))+5)/7))</f>
        <v/>
      </c>
      <c r="D162" s="9" t="str">
        <f aca="false">IF(B162="","",B162-WEEKDAY(B162,2)+1)</f>
        <v/>
      </c>
      <c r="E162" s="10"/>
      <c r="F162" s="8"/>
      <c r="G162" s="11"/>
      <c r="H162" s="10"/>
      <c r="I162" s="11"/>
      <c r="J162" s="10"/>
      <c r="K162" s="10"/>
      <c r="L162" s="10"/>
      <c r="M162" s="11"/>
      <c r="N162" s="8"/>
      <c r="O162" s="7" t="str">
        <f aca="false">IF(L162="","",IFERROR(VLOOKUP(L162,Paramètres!$F$5:$G$8,2,FALSE()),""))</f>
        <v/>
      </c>
      <c r="P162" s="9" t="str">
        <f aca="false">IF(OR(B162="",O162=""),"",IF(N162="",B162,N162)+O162)</f>
        <v/>
      </c>
      <c r="Q162" s="10"/>
      <c r="R162" s="8"/>
      <c r="S162" s="7" t="str">
        <f aca="false">IF(OR(B162="",R162=""),"",R162-B162)</f>
        <v/>
      </c>
      <c r="T162" s="7" t="str">
        <f aca="true">IF(OR(B162="",P162=""),"",IF(R162&lt;&gt;"",IF(R162&gt;P162,"Traité hors délai","Non"),IF(Q162="Classé sans suite","Non",IF(TODAY()&gt;P162,"OUI","Non"))))</f>
        <v/>
      </c>
      <c r="U162" s="11"/>
    </row>
    <row r="163" customFormat="false" ht="15" hidden="false" customHeight="false" outlineLevel="0" collapsed="false">
      <c r="A163" s="7" t="str">
        <f aca="false">IF(B163="","",YEAR(B163)&amp;"/"&amp;TEXT(ROW()-4,"0000"))</f>
        <v/>
      </c>
      <c r="B163" s="8"/>
      <c r="C163" s="7" t="str">
        <f aca="false">IF(B163="","",INT((B163-DATE(YEAR(B163-WEEKDAY(B163-1)+4),1,3)+WEEKDAY(DATE(YEAR(B163-WEEKDAY(B163-1)+4),1,3))+5)/7))</f>
        <v/>
      </c>
      <c r="D163" s="9" t="str">
        <f aca="false">IF(B163="","",B163-WEEKDAY(B163,2)+1)</f>
        <v/>
      </c>
      <c r="E163" s="10"/>
      <c r="F163" s="8"/>
      <c r="G163" s="11"/>
      <c r="H163" s="10"/>
      <c r="I163" s="11"/>
      <c r="J163" s="10"/>
      <c r="K163" s="10"/>
      <c r="L163" s="10"/>
      <c r="M163" s="11"/>
      <c r="N163" s="8"/>
      <c r="O163" s="7" t="str">
        <f aca="false">IF(L163="","",IFERROR(VLOOKUP(L163,Paramètres!$F$5:$G$8,2,FALSE()),""))</f>
        <v/>
      </c>
      <c r="P163" s="9" t="str">
        <f aca="false">IF(OR(B163="",O163=""),"",IF(N163="",B163,N163)+O163)</f>
        <v/>
      </c>
      <c r="Q163" s="10"/>
      <c r="R163" s="8"/>
      <c r="S163" s="7" t="str">
        <f aca="false">IF(OR(B163="",R163=""),"",R163-B163)</f>
        <v/>
      </c>
      <c r="T163" s="7" t="str">
        <f aca="true">IF(OR(B163="",P163=""),"",IF(R163&lt;&gt;"",IF(R163&gt;P163,"Traité hors délai","Non"),IF(Q163="Classé sans suite","Non",IF(TODAY()&gt;P163,"OUI","Non"))))</f>
        <v/>
      </c>
      <c r="U163" s="11"/>
    </row>
    <row r="164" customFormat="false" ht="15" hidden="false" customHeight="false" outlineLevel="0" collapsed="false">
      <c r="A164" s="7" t="str">
        <f aca="false">IF(B164="","",YEAR(B164)&amp;"/"&amp;TEXT(ROW()-4,"0000"))</f>
        <v/>
      </c>
      <c r="B164" s="8"/>
      <c r="C164" s="7" t="str">
        <f aca="false">IF(B164="","",INT((B164-DATE(YEAR(B164-WEEKDAY(B164-1)+4),1,3)+WEEKDAY(DATE(YEAR(B164-WEEKDAY(B164-1)+4),1,3))+5)/7))</f>
        <v/>
      </c>
      <c r="D164" s="9" t="str">
        <f aca="false">IF(B164="","",B164-WEEKDAY(B164,2)+1)</f>
        <v/>
      </c>
      <c r="E164" s="10"/>
      <c r="F164" s="8"/>
      <c r="G164" s="11"/>
      <c r="H164" s="10"/>
      <c r="I164" s="11"/>
      <c r="J164" s="10"/>
      <c r="K164" s="10"/>
      <c r="L164" s="10"/>
      <c r="M164" s="11"/>
      <c r="N164" s="8"/>
      <c r="O164" s="7" t="str">
        <f aca="false">IF(L164="","",IFERROR(VLOOKUP(L164,Paramètres!$F$5:$G$8,2,FALSE()),""))</f>
        <v/>
      </c>
      <c r="P164" s="9" t="str">
        <f aca="false">IF(OR(B164="",O164=""),"",IF(N164="",B164,N164)+O164)</f>
        <v/>
      </c>
      <c r="Q164" s="10"/>
      <c r="R164" s="8"/>
      <c r="S164" s="7" t="str">
        <f aca="false">IF(OR(B164="",R164=""),"",R164-B164)</f>
        <v/>
      </c>
      <c r="T164" s="7" t="str">
        <f aca="true">IF(OR(B164="",P164=""),"",IF(R164&lt;&gt;"",IF(R164&gt;P164,"Traité hors délai","Non"),IF(Q164="Classé sans suite","Non",IF(TODAY()&gt;P164,"OUI","Non"))))</f>
        <v/>
      </c>
      <c r="U164" s="11"/>
    </row>
    <row r="165" customFormat="false" ht="15" hidden="false" customHeight="false" outlineLevel="0" collapsed="false">
      <c r="A165" s="7" t="str">
        <f aca="false">IF(B165="","",YEAR(B165)&amp;"/"&amp;TEXT(ROW()-4,"0000"))</f>
        <v/>
      </c>
      <c r="B165" s="8"/>
      <c r="C165" s="7" t="str">
        <f aca="false">IF(B165="","",INT((B165-DATE(YEAR(B165-WEEKDAY(B165-1)+4),1,3)+WEEKDAY(DATE(YEAR(B165-WEEKDAY(B165-1)+4),1,3))+5)/7))</f>
        <v/>
      </c>
      <c r="D165" s="9" t="str">
        <f aca="false">IF(B165="","",B165-WEEKDAY(B165,2)+1)</f>
        <v/>
      </c>
      <c r="E165" s="10"/>
      <c r="F165" s="8"/>
      <c r="G165" s="11"/>
      <c r="H165" s="10"/>
      <c r="I165" s="11"/>
      <c r="J165" s="10"/>
      <c r="K165" s="10"/>
      <c r="L165" s="10"/>
      <c r="M165" s="11"/>
      <c r="N165" s="8"/>
      <c r="O165" s="7" t="str">
        <f aca="false">IF(L165="","",IFERROR(VLOOKUP(L165,Paramètres!$F$5:$G$8,2,FALSE()),""))</f>
        <v/>
      </c>
      <c r="P165" s="9" t="str">
        <f aca="false">IF(OR(B165="",O165=""),"",IF(N165="",B165,N165)+O165)</f>
        <v/>
      </c>
      <c r="Q165" s="10"/>
      <c r="R165" s="8"/>
      <c r="S165" s="7" t="str">
        <f aca="false">IF(OR(B165="",R165=""),"",R165-B165)</f>
        <v/>
      </c>
      <c r="T165" s="7" t="str">
        <f aca="true">IF(OR(B165="",P165=""),"",IF(R165&lt;&gt;"",IF(R165&gt;P165,"Traité hors délai","Non"),IF(Q165="Classé sans suite","Non",IF(TODAY()&gt;P165,"OUI","Non"))))</f>
        <v/>
      </c>
      <c r="U165" s="11"/>
    </row>
    <row r="166" customFormat="false" ht="15" hidden="false" customHeight="false" outlineLevel="0" collapsed="false">
      <c r="A166" s="7" t="str">
        <f aca="false">IF(B166="","",YEAR(B166)&amp;"/"&amp;TEXT(ROW()-4,"0000"))</f>
        <v/>
      </c>
      <c r="B166" s="8"/>
      <c r="C166" s="7" t="str">
        <f aca="false">IF(B166="","",INT((B166-DATE(YEAR(B166-WEEKDAY(B166-1)+4),1,3)+WEEKDAY(DATE(YEAR(B166-WEEKDAY(B166-1)+4),1,3))+5)/7))</f>
        <v/>
      </c>
      <c r="D166" s="9" t="str">
        <f aca="false">IF(B166="","",B166-WEEKDAY(B166,2)+1)</f>
        <v/>
      </c>
      <c r="E166" s="10"/>
      <c r="F166" s="8"/>
      <c r="G166" s="11"/>
      <c r="H166" s="10"/>
      <c r="I166" s="11"/>
      <c r="J166" s="10"/>
      <c r="K166" s="10"/>
      <c r="L166" s="10"/>
      <c r="M166" s="11"/>
      <c r="N166" s="8"/>
      <c r="O166" s="7" t="str">
        <f aca="false">IF(L166="","",IFERROR(VLOOKUP(L166,Paramètres!$F$5:$G$8,2,FALSE()),""))</f>
        <v/>
      </c>
      <c r="P166" s="9" t="str">
        <f aca="false">IF(OR(B166="",O166=""),"",IF(N166="",B166,N166)+O166)</f>
        <v/>
      </c>
      <c r="Q166" s="10"/>
      <c r="R166" s="8"/>
      <c r="S166" s="7" t="str">
        <f aca="false">IF(OR(B166="",R166=""),"",R166-B166)</f>
        <v/>
      </c>
      <c r="T166" s="7" t="str">
        <f aca="true">IF(OR(B166="",P166=""),"",IF(R166&lt;&gt;"",IF(R166&gt;P166,"Traité hors délai","Non"),IF(Q166="Classé sans suite","Non",IF(TODAY()&gt;P166,"OUI","Non"))))</f>
        <v/>
      </c>
      <c r="U166" s="11"/>
    </row>
    <row r="167" customFormat="false" ht="15" hidden="false" customHeight="false" outlineLevel="0" collapsed="false">
      <c r="A167" s="7" t="str">
        <f aca="false">IF(B167="","",YEAR(B167)&amp;"/"&amp;TEXT(ROW()-4,"0000"))</f>
        <v/>
      </c>
      <c r="B167" s="8"/>
      <c r="C167" s="7" t="str">
        <f aca="false">IF(B167="","",INT((B167-DATE(YEAR(B167-WEEKDAY(B167-1)+4),1,3)+WEEKDAY(DATE(YEAR(B167-WEEKDAY(B167-1)+4),1,3))+5)/7))</f>
        <v/>
      </c>
      <c r="D167" s="9" t="str">
        <f aca="false">IF(B167="","",B167-WEEKDAY(B167,2)+1)</f>
        <v/>
      </c>
      <c r="E167" s="10"/>
      <c r="F167" s="8"/>
      <c r="G167" s="11"/>
      <c r="H167" s="10"/>
      <c r="I167" s="11"/>
      <c r="J167" s="10"/>
      <c r="K167" s="10"/>
      <c r="L167" s="10"/>
      <c r="M167" s="11"/>
      <c r="N167" s="8"/>
      <c r="O167" s="7" t="str">
        <f aca="false">IF(L167="","",IFERROR(VLOOKUP(L167,Paramètres!$F$5:$G$8,2,FALSE()),""))</f>
        <v/>
      </c>
      <c r="P167" s="9" t="str">
        <f aca="false">IF(OR(B167="",O167=""),"",IF(N167="",B167,N167)+O167)</f>
        <v/>
      </c>
      <c r="Q167" s="10"/>
      <c r="R167" s="8"/>
      <c r="S167" s="7" t="str">
        <f aca="false">IF(OR(B167="",R167=""),"",R167-B167)</f>
        <v/>
      </c>
      <c r="T167" s="7" t="str">
        <f aca="true">IF(OR(B167="",P167=""),"",IF(R167&lt;&gt;"",IF(R167&gt;P167,"Traité hors délai","Non"),IF(Q167="Classé sans suite","Non",IF(TODAY()&gt;P167,"OUI","Non"))))</f>
        <v/>
      </c>
      <c r="U167" s="11"/>
    </row>
    <row r="168" customFormat="false" ht="15" hidden="false" customHeight="false" outlineLevel="0" collapsed="false">
      <c r="A168" s="7" t="str">
        <f aca="false">IF(B168="","",YEAR(B168)&amp;"/"&amp;TEXT(ROW()-4,"0000"))</f>
        <v/>
      </c>
      <c r="B168" s="8"/>
      <c r="C168" s="7" t="str">
        <f aca="false">IF(B168="","",INT((B168-DATE(YEAR(B168-WEEKDAY(B168-1)+4),1,3)+WEEKDAY(DATE(YEAR(B168-WEEKDAY(B168-1)+4),1,3))+5)/7))</f>
        <v/>
      </c>
      <c r="D168" s="9" t="str">
        <f aca="false">IF(B168="","",B168-WEEKDAY(B168,2)+1)</f>
        <v/>
      </c>
      <c r="E168" s="10"/>
      <c r="F168" s="8"/>
      <c r="G168" s="11"/>
      <c r="H168" s="10"/>
      <c r="I168" s="11"/>
      <c r="J168" s="10"/>
      <c r="K168" s="10"/>
      <c r="L168" s="10"/>
      <c r="M168" s="11"/>
      <c r="N168" s="8"/>
      <c r="O168" s="7" t="str">
        <f aca="false">IF(L168="","",IFERROR(VLOOKUP(L168,Paramètres!$F$5:$G$8,2,FALSE()),""))</f>
        <v/>
      </c>
      <c r="P168" s="9" t="str">
        <f aca="false">IF(OR(B168="",O168=""),"",IF(N168="",B168,N168)+O168)</f>
        <v/>
      </c>
      <c r="Q168" s="10"/>
      <c r="R168" s="8"/>
      <c r="S168" s="7" t="str">
        <f aca="false">IF(OR(B168="",R168=""),"",R168-B168)</f>
        <v/>
      </c>
      <c r="T168" s="7" t="str">
        <f aca="true">IF(OR(B168="",P168=""),"",IF(R168&lt;&gt;"",IF(R168&gt;P168,"Traité hors délai","Non"),IF(Q168="Classé sans suite","Non",IF(TODAY()&gt;P168,"OUI","Non"))))</f>
        <v/>
      </c>
      <c r="U168" s="11"/>
    </row>
    <row r="169" customFormat="false" ht="15" hidden="false" customHeight="false" outlineLevel="0" collapsed="false">
      <c r="A169" s="7" t="str">
        <f aca="false">IF(B169="","",YEAR(B169)&amp;"/"&amp;TEXT(ROW()-4,"0000"))</f>
        <v/>
      </c>
      <c r="B169" s="8"/>
      <c r="C169" s="7" t="str">
        <f aca="false">IF(B169="","",INT((B169-DATE(YEAR(B169-WEEKDAY(B169-1)+4),1,3)+WEEKDAY(DATE(YEAR(B169-WEEKDAY(B169-1)+4),1,3))+5)/7))</f>
        <v/>
      </c>
      <c r="D169" s="9" t="str">
        <f aca="false">IF(B169="","",B169-WEEKDAY(B169,2)+1)</f>
        <v/>
      </c>
      <c r="E169" s="10"/>
      <c r="F169" s="8"/>
      <c r="G169" s="11"/>
      <c r="H169" s="10"/>
      <c r="I169" s="11"/>
      <c r="J169" s="10"/>
      <c r="K169" s="10"/>
      <c r="L169" s="10"/>
      <c r="M169" s="11"/>
      <c r="N169" s="8"/>
      <c r="O169" s="7" t="str">
        <f aca="false">IF(L169="","",IFERROR(VLOOKUP(L169,Paramètres!$F$5:$G$8,2,FALSE()),""))</f>
        <v/>
      </c>
      <c r="P169" s="9" t="str">
        <f aca="false">IF(OR(B169="",O169=""),"",IF(N169="",B169,N169)+O169)</f>
        <v/>
      </c>
      <c r="Q169" s="10"/>
      <c r="R169" s="8"/>
      <c r="S169" s="7" t="str">
        <f aca="false">IF(OR(B169="",R169=""),"",R169-B169)</f>
        <v/>
      </c>
      <c r="T169" s="7" t="str">
        <f aca="true">IF(OR(B169="",P169=""),"",IF(R169&lt;&gt;"",IF(R169&gt;P169,"Traité hors délai","Non"),IF(Q169="Classé sans suite","Non",IF(TODAY()&gt;P169,"OUI","Non"))))</f>
        <v/>
      </c>
      <c r="U169" s="11"/>
    </row>
    <row r="170" customFormat="false" ht="15" hidden="false" customHeight="false" outlineLevel="0" collapsed="false">
      <c r="A170" s="7" t="str">
        <f aca="false">IF(B170="","",YEAR(B170)&amp;"/"&amp;TEXT(ROW()-4,"0000"))</f>
        <v/>
      </c>
      <c r="B170" s="8"/>
      <c r="C170" s="7" t="str">
        <f aca="false">IF(B170="","",INT((B170-DATE(YEAR(B170-WEEKDAY(B170-1)+4),1,3)+WEEKDAY(DATE(YEAR(B170-WEEKDAY(B170-1)+4),1,3))+5)/7))</f>
        <v/>
      </c>
      <c r="D170" s="9" t="str">
        <f aca="false">IF(B170="","",B170-WEEKDAY(B170,2)+1)</f>
        <v/>
      </c>
      <c r="E170" s="10"/>
      <c r="F170" s="8"/>
      <c r="G170" s="11"/>
      <c r="H170" s="10"/>
      <c r="I170" s="11"/>
      <c r="J170" s="10"/>
      <c r="K170" s="10"/>
      <c r="L170" s="10"/>
      <c r="M170" s="11"/>
      <c r="N170" s="8"/>
      <c r="O170" s="7" t="str">
        <f aca="false">IF(L170="","",IFERROR(VLOOKUP(L170,Paramètres!$F$5:$G$8,2,FALSE()),""))</f>
        <v/>
      </c>
      <c r="P170" s="9" t="str">
        <f aca="false">IF(OR(B170="",O170=""),"",IF(N170="",B170,N170)+O170)</f>
        <v/>
      </c>
      <c r="Q170" s="10"/>
      <c r="R170" s="8"/>
      <c r="S170" s="7" t="str">
        <f aca="false">IF(OR(B170="",R170=""),"",R170-B170)</f>
        <v/>
      </c>
      <c r="T170" s="7" t="str">
        <f aca="true">IF(OR(B170="",P170=""),"",IF(R170&lt;&gt;"",IF(R170&gt;P170,"Traité hors délai","Non"),IF(Q170="Classé sans suite","Non",IF(TODAY()&gt;P170,"OUI","Non"))))</f>
        <v/>
      </c>
      <c r="U170" s="11"/>
    </row>
    <row r="171" customFormat="false" ht="15" hidden="false" customHeight="false" outlineLevel="0" collapsed="false">
      <c r="A171" s="7" t="str">
        <f aca="false">IF(B171="","",YEAR(B171)&amp;"/"&amp;TEXT(ROW()-4,"0000"))</f>
        <v/>
      </c>
      <c r="B171" s="8"/>
      <c r="C171" s="7" t="str">
        <f aca="false">IF(B171="","",INT((B171-DATE(YEAR(B171-WEEKDAY(B171-1)+4),1,3)+WEEKDAY(DATE(YEAR(B171-WEEKDAY(B171-1)+4),1,3))+5)/7))</f>
        <v/>
      </c>
      <c r="D171" s="9" t="str">
        <f aca="false">IF(B171="","",B171-WEEKDAY(B171,2)+1)</f>
        <v/>
      </c>
      <c r="E171" s="10"/>
      <c r="F171" s="8"/>
      <c r="G171" s="11"/>
      <c r="H171" s="10"/>
      <c r="I171" s="11"/>
      <c r="J171" s="10"/>
      <c r="K171" s="10"/>
      <c r="L171" s="10"/>
      <c r="M171" s="11"/>
      <c r="N171" s="8"/>
      <c r="O171" s="7" t="str">
        <f aca="false">IF(L171="","",IFERROR(VLOOKUP(L171,Paramètres!$F$5:$G$8,2,FALSE()),""))</f>
        <v/>
      </c>
      <c r="P171" s="9" t="str">
        <f aca="false">IF(OR(B171="",O171=""),"",IF(N171="",B171,N171)+O171)</f>
        <v/>
      </c>
      <c r="Q171" s="10"/>
      <c r="R171" s="8"/>
      <c r="S171" s="7" t="str">
        <f aca="false">IF(OR(B171="",R171=""),"",R171-B171)</f>
        <v/>
      </c>
      <c r="T171" s="7" t="str">
        <f aca="true">IF(OR(B171="",P171=""),"",IF(R171&lt;&gt;"",IF(R171&gt;P171,"Traité hors délai","Non"),IF(Q171="Classé sans suite","Non",IF(TODAY()&gt;P171,"OUI","Non"))))</f>
        <v/>
      </c>
      <c r="U171" s="11"/>
    </row>
    <row r="172" customFormat="false" ht="15" hidden="false" customHeight="false" outlineLevel="0" collapsed="false">
      <c r="A172" s="7" t="str">
        <f aca="false">IF(B172="","",YEAR(B172)&amp;"/"&amp;TEXT(ROW()-4,"0000"))</f>
        <v/>
      </c>
      <c r="B172" s="8"/>
      <c r="C172" s="7" t="str">
        <f aca="false">IF(B172="","",INT((B172-DATE(YEAR(B172-WEEKDAY(B172-1)+4),1,3)+WEEKDAY(DATE(YEAR(B172-WEEKDAY(B172-1)+4),1,3))+5)/7))</f>
        <v/>
      </c>
      <c r="D172" s="9" t="str">
        <f aca="false">IF(B172="","",B172-WEEKDAY(B172,2)+1)</f>
        <v/>
      </c>
      <c r="E172" s="10"/>
      <c r="F172" s="8"/>
      <c r="G172" s="11"/>
      <c r="H172" s="10"/>
      <c r="I172" s="11"/>
      <c r="J172" s="10"/>
      <c r="K172" s="10"/>
      <c r="L172" s="10"/>
      <c r="M172" s="11"/>
      <c r="N172" s="8"/>
      <c r="O172" s="7" t="str">
        <f aca="false">IF(L172="","",IFERROR(VLOOKUP(L172,Paramètres!$F$5:$G$8,2,FALSE()),""))</f>
        <v/>
      </c>
      <c r="P172" s="9" t="str">
        <f aca="false">IF(OR(B172="",O172=""),"",IF(N172="",B172,N172)+O172)</f>
        <v/>
      </c>
      <c r="Q172" s="10"/>
      <c r="R172" s="8"/>
      <c r="S172" s="7" t="str">
        <f aca="false">IF(OR(B172="",R172=""),"",R172-B172)</f>
        <v/>
      </c>
      <c r="T172" s="7" t="str">
        <f aca="true">IF(OR(B172="",P172=""),"",IF(R172&lt;&gt;"",IF(R172&gt;P172,"Traité hors délai","Non"),IF(Q172="Classé sans suite","Non",IF(TODAY()&gt;P172,"OUI","Non"))))</f>
        <v/>
      </c>
      <c r="U172" s="11"/>
    </row>
    <row r="173" customFormat="false" ht="15" hidden="false" customHeight="false" outlineLevel="0" collapsed="false">
      <c r="A173" s="7" t="str">
        <f aca="false">IF(B173="","",YEAR(B173)&amp;"/"&amp;TEXT(ROW()-4,"0000"))</f>
        <v/>
      </c>
      <c r="B173" s="8"/>
      <c r="C173" s="7" t="str">
        <f aca="false">IF(B173="","",INT((B173-DATE(YEAR(B173-WEEKDAY(B173-1)+4),1,3)+WEEKDAY(DATE(YEAR(B173-WEEKDAY(B173-1)+4),1,3))+5)/7))</f>
        <v/>
      </c>
      <c r="D173" s="9" t="str">
        <f aca="false">IF(B173="","",B173-WEEKDAY(B173,2)+1)</f>
        <v/>
      </c>
      <c r="E173" s="10"/>
      <c r="F173" s="8"/>
      <c r="G173" s="11"/>
      <c r="H173" s="10"/>
      <c r="I173" s="11"/>
      <c r="J173" s="10"/>
      <c r="K173" s="10"/>
      <c r="L173" s="10"/>
      <c r="M173" s="11"/>
      <c r="N173" s="8"/>
      <c r="O173" s="7" t="str">
        <f aca="false">IF(L173="","",IFERROR(VLOOKUP(L173,Paramètres!$F$5:$G$8,2,FALSE()),""))</f>
        <v/>
      </c>
      <c r="P173" s="9" t="str">
        <f aca="false">IF(OR(B173="",O173=""),"",IF(N173="",B173,N173)+O173)</f>
        <v/>
      </c>
      <c r="Q173" s="10"/>
      <c r="R173" s="8"/>
      <c r="S173" s="7" t="str">
        <f aca="false">IF(OR(B173="",R173=""),"",R173-B173)</f>
        <v/>
      </c>
      <c r="T173" s="7" t="str">
        <f aca="true">IF(OR(B173="",P173=""),"",IF(R173&lt;&gt;"",IF(R173&gt;P173,"Traité hors délai","Non"),IF(Q173="Classé sans suite","Non",IF(TODAY()&gt;P173,"OUI","Non"))))</f>
        <v/>
      </c>
      <c r="U173" s="11"/>
    </row>
    <row r="174" customFormat="false" ht="15" hidden="false" customHeight="false" outlineLevel="0" collapsed="false">
      <c r="A174" s="7" t="str">
        <f aca="false">IF(B174="","",YEAR(B174)&amp;"/"&amp;TEXT(ROW()-4,"0000"))</f>
        <v/>
      </c>
      <c r="B174" s="8"/>
      <c r="C174" s="7" t="str">
        <f aca="false">IF(B174="","",INT((B174-DATE(YEAR(B174-WEEKDAY(B174-1)+4),1,3)+WEEKDAY(DATE(YEAR(B174-WEEKDAY(B174-1)+4),1,3))+5)/7))</f>
        <v/>
      </c>
      <c r="D174" s="9" t="str">
        <f aca="false">IF(B174="","",B174-WEEKDAY(B174,2)+1)</f>
        <v/>
      </c>
      <c r="E174" s="10"/>
      <c r="F174" s="8"/>
      <c r="G174" s="11"/>
      <c r="H174" s="10"/>
      <c r="I174" s="11"/>
      <c r="J174" s="10"/>
      <c r="K174" s="10"/>
      <c r="L174" s="10"/>
      <c r="M174" s="11"/>
      <c r="N174" s="8"/>
      <c r="O174" s="7" t="str">
        <f aca="false">IF(L174="","",IFERROR(VLOOKUP(L174,Paramètres!$F$5:$G$8,2,FALSE()),""))</f>
        <v/>
      </c>
      <c r="P174" s="9" t="str">
        <f aca="false">IF(OR(B174="",O174=""),"",IF(N174="",B174,N174)+O174)</f>
        <v/>
      </c>
      <c r="Q174" s="10"/>
      <c r="R174" s="8"/>
      <c r="S174" s="7" t="str">
        <f aca="false">IF(OR(B174="",R174=""),"",R174-B174)</f>
        <v/>
      </c>
      <c r="T174" s="7" t="str">
        <f aca="true">IF(OR(B174="",P174=""),"",IF(R174&lt;&gt;"",IF(R174&gt;P174,"Traité hors délai","Non"),IF(Q174="Classé sans suite","Non",IF(TODAY()&gt;P174,"OUI","Non"))))</f>
        <v/>
      </c>
      <c r="U174" s="11"/>
    </row>
    <row r="175" customFormat="false" ht="15" hidden="false" customHeight="false" outlineLevel="0" collapsed="false">
      <c r="A175" s="7" t="str">
        <f aca="false">IF(B175="","",YEAR(B175)&amp;"/"&amp;TEXT(ROW()-4,"0000"))</f>
        <v/>
      </c>
      <c r="B175" s="8"/>
      <c r="C175" s="7" t="str">
        <f aca="false">IF(B175="","",INT((B175-DATE(YEAR(B175-WEEKDAY(B175-1)+4),1,3)+WEEKDAY(DATE(YEAR(B175-WEEKDAY(B175-1)+4),1,3))+5)/7))</f>
        <v/>
      </c>
      <c r="D175" s="9" t="str">
        <f aca="false">IF(B175="","",B175-WEEKDAY(B175,2)+1)</f>
        <v/>
      </c>
      <c r="E175" s="10"/>
      <c r="F175" s="8"/>
      <c r="G175" s="11"/>
      <c r="H175" s="10"/>
      <c r="I175" s="11"/>
      <c r="J175" s="10"/>
      <c r="K175" s="10"/>
      <c r="L175" s="10"/>
      <c r="M175" s="11"/>
      <c r="N175" s="8"/>
      <c r="O175" s="7" t="str">
        <f aca="false">IF(L175="","",IFERROR(VLOOKUP(L175,Paramètres!$F$5:$G$8,2,FALSE()),""))</f>
        <v/>
      </c>
      <c r="P175" s="9" t="str">
        <f aca="false">IF(OR(B175="",O175=""),"",IF(N175="",B175,N175)+O175)</f>
        <v/>
      </c>
      <c r="Q175" s="10"/>
      <c r="R175" s="8"/>
      <c r="S175" s="7" t="str">
        <f aca="false">IF(OR(B175="",R175=""),"",R175-B175)</f>
        <v/>
      </c>
      <c r="T175" s="7" t="str">
        <f aca="true">IF(OR(B175="",P175=""),"",IF(R175&lt;&gt;"",IF(R175&gt;P175,"Traité hors délai","Non"),IF(Q175="Classé sans suite","Non",IF(TODAY()&gt;P175,"OUI","Non"))))</f>
        <v/>
      </c>
      <c r="U175" s="11"/>
    </row>
    <row r="176" customFormat="false" ht="15" hidden="false" customHeight="false" outlineLevel="0" collapsed="false">
      <c r="A176" s="7" t="str">
        <f aca="false">IF(B176="","",YEAR(B176)&amp;"/"&amp;TEXT(ROW()-4,"0000"))</f>
        <v/>
      </c>
      <c r="B176" s="8"/>
      <c r="C176" s="7" t="str">
        <f aca="false">IF(B176="","",INT((B176-DATE(YEAR(B176-WEEKDAY(B176-1)+4),1,3)+WEEKDAY(DATE(YEAR(B176-WEEKDAY(B176-1)+4),1,3))+5)/7))</f>
        <v/>
      </c>
      <c r="D176" s="9" t="str">
        <f aca="false">IF(B176="","",B176-WEEKDAY(B176,2)+1)</f>
        <v/>
      </c>
      <c r="E176" s="10"/>
      <c r="F176" s="8"/>
      <c r="G176" s="11"/>
      <c r="H176" s="10"/>
      <c r="I176" s="11"/>
      <c r="J176" s="10"/>
      <c r="K176" s="10"/>
      <c r="L176" s="10"/>
      <c r="M176" s="11"/>
      <c r="N176" s="8"/>
      <c r="O176" s="7" t="str">
        <f aca="false">IF(L176="","",IFERROR(VLOOKUP(L176,Paramètres!$F$5:$G$8,2,FALSE()),""))</f>
        <v/>
      </c>
      <c r="P176" s="9" t="str">
        <f aca="false">IF(OR(B176="",O176=""),"",IF(N176="",B176,N176)+O176)</f>
        <v/>
      </c>
      <c r="Q176" s="10"/>
      <c r="R176" s="8"/>
      <c r="S176" s="7" t="str">
        <f aca="false">IF(OR(B176="",R176=""),"",R176-B176)</f>
        <v/>
      </c>
      <c r="T176" s="7" t="str">
        <f aca="true">IF(OR(B176="",P176=""),"",IF(R176&lt;&gt;"",IF(R176&gt;P176,"Traité hors délai","Non"),IF(Q176="Classé sans suite","Non",IF(TODAY()&gt;P176,"OUI","Non"))))</f>
        <v/>
      </c>
      <c r="U176" s="11"/>
    </row>
    <row r="177" customFormat="false" ht="15" hidden="false" customHeight="false" outlineLevel="0" collapsed="false">
      <c r="A177" s="7" t="str">
        <f aca="false">IF(B177="","",YEAR(B177)&amp;"/"&amp;TEXT(ROW()-4,"0000"))</f>
        <v/>
      </c>
      <c r="B177" s="8"/>
      <c r="C177" s="7" t="str">
        <f aca="false">IF(B177="","",INT((B177-DATE(YEAR(B177-WEEKDAY(B177-1)+4),1,3)+WEEKDAY(DATE(YEAR(B177-WEEKDAY(B177-1)+4),1,3))+5)/7))</f>
        <v/>
      </c>
      <c r="D177" s="9" t="str">
        <f aca="false">IF(B177="","",B177-WEEKDAY(B177,2)+1)</f>
        <v/>
      </c>
      <c r="E177" s="10"/>
      <c r="F177" s="8"/>
      <c r="G177" s="11"/>
      <c r="H177" s="10"/>
      <c r="I177" s="11"/>
      <c r="J177" s="10"/>
      <c r="K177" s="10"/>
      <c r="L177" s="10"/>
      <c r="M177" s="11"/>
      <c r="N177" s="8"/>
      <c r="O177" s="7" t="str">
        <f aca="false">IF(L177="","",IFERROR(VLOOKUP(L177,Paramètres!$F$5:$G$8,2,FALSE()),""))</f>
        <v/>
      </c>
      <c r="P177" s="9" t="str">
        <f aca="false">IF(OR(B177="",O177=""),"",IF(N177="",B177,N177)+O177)</f>
        <v/>
      </c>
      <c r="Q177" s="10"/>
      <c r="R177" s="8"/>
      <c r="S177" s="7" t="str">
        <f aca="false">IF(OR(B177="",R177=""),"",R177-B177)</f>
        <v/>
      </c>
      <c r="T177" s="7" t="str">
        <f aca="true">IF(OR(B177="",P177=""),"",IF(R177&lt;&gt;"",IF(R177&gt;P177,"Traité hors délai","Non"),IF(Q177="Classé sans suite","Non",IF(TODAY()&gt;P177,"OUI","Non"))))</f>
        <v/>
      </c>
      <c r="U177" s="11"/>
    </row>
    <row r="178" customFormat="false" ht="15" hidden="false" customHeight="false" outlineLevel="0" collapsed="false">
      <c r="A178" s="7" t="str">
        <f aca="false">IF(B178="","",YEAR(B178)&amp;"/"&amp;TEXT(ROW()-4,"0000"))</f>
        <v/>
      </c>
      <c r="B178" s="8"/>
      <c r="C178" s="7" t="str">
        <f aca="false">IF(B178="","",INT((B178-DATE(YEAR(B178-WEEKDAY(B178-1)+4),1,3)+WEEKDAY(DATE(YEAR(B178-WEEKDAY(B178-1)+4),1,3))+5)/7))</f>
        <v/>
      </c>
      <c r="D178" s="9" t="str">
        <f aca="false">IF(B178="","",B178-WEEKDAY(B178,2)+1)</f>
        <v/>
      </c>
      <c r="E178" s="10"/>
      <c r="F178" s="8"/>
      <c r="G178" s="11"/>
      <c r="H178" s="10"/>
      <c r="I178" s="11"/>
      <c r="J178" s="10"/>
      <c r="K178" s="10"/>
      <c r="L178" s="10"/>
      <c r="M178" s="11"/>
      <c r="N178" s="8"/>
      <c r="O178" s="7" t="str">
        <f aca="false">IF(L178="","",IFERROR(VLOOKUP(L178,Paramètres!$F$5:$G$8,2,FALSE()),""))</f>
        <v/>
      </c>
      <c r="P178" s="9" t="str">
        <f aca="false">IF(OR(B178="",O178=""),"",IF(N178="",B178,N178)+O178)</f>
        <v/>
      </c>
      <c r="Q178" s="10"/>
      <c r="R178" s="8"/>
      <c r="S178" s="7" t="str">
        <f aca="false">IF(OR(B178="",R178=""),"",R178-B178)</f>
        <v/>
      </c>
      <c r="T178" s="7" t="str">
        <f aca="true">IF(OR(B178="",P178=""),"",IF(R178&lt;&gt;"",IF(R178&gt;P178,"Traité hors délai","Non"),IF(Q178="Classé sans suite","Non",IF(TODAY()&gt;P178,"OUI","Non"))))</f>
        <v/>
      </c>
      <c r="U178" s="11"/>
    </row>
    <row r="179" customFormat="false" ht="15" hidden="false" customHeight="false" outlineLevel="0" collapsed="false">
      <c r="A179" s="7" t="str">
        <f aca="false">IF(B179="","",YEAR(B179)&amp;"/"&amp;TEXT(ROW()-4,"0000"))</f>
        <v/>
      </c>
      <c r="B179" s="8"/>
      <c r="C179" s="7" t="str">
        <f aca="false">IF(B179="","",INT((B179-DATE(YEAR(B179-WEEKDAY(B179-1)+4),1,3)+WEEKDAY(DATE(YEAR(B179-WEEKDAY(B179-1)+4),1,3))+5)/7))</f>
        <v/>
      </c>
      <c r="D179" s="9" t="str">
        <f aca="false">IF(B179="","",B179-WEEKDAY(B179,2)+1)</f>
        <v/>
      </c>
      <c r="E179" s="10"/>
      <c r="F179" s="8"/>
      <c r="G179" s="11"/>
      <c r="H179" s="10"/>
      <c r="I179" s="11"/>
      <c r="J179" s="10"/>
      <c r="K179" s="10"/>
      <c r="L179" s="10"/>
      <c r="M179" s="11"/>
      <c r="N179" s="8"/>
      <c r="O179" s="7" t="str">
        <f aca="false">IF(L179="","",IFERROR(VLOOKUP(L179,Paramètres!$F$5:$G$8,2,FALSE()),""))</f>
        <v/>
      </c>
      <c r="P179" s="9" t="str">
        <f aca="false">IF(OR(B179="",O179=""),"",IF(N179="",B179,N179)+O179)</f>
        <v/>
      </c>
      <c r="Q179" s="10"/>
      <c r="R179" s="8"/>
      <c r="S179" s="7" t="str">
        <f aca="false">IF(OR(B179="",R179=""),"",R179-B179)</f>
        <v/>
      </c>
      <c r="T179" s="7" t="str">
        <f aca="true">IF(OR(B179="",P179=""),"",IF(R179&lt;&gt;"",IF(R179&gt;P179,"Traité hors délai","Non"),IF(Q179="Classé sans suite","Non",IF(TODAY()&gt;P179,"OUI","Non"))))</f>
        <v/>
      </c>
      <c r="U179" s="11"/>
    </row>
    <row r="180" customFormat="false" ht="15" hidden="false" customHeight="false" outlineLevel="0" collapsed="false">
      <c r="A180" s="7" t="str">
        <f aca="false">IF(B180="","",YEAR(B180)&amp;"/"&amp;TEXT(ROW()-4,"0000"))</f>
        <v/>
      </c>
      <c r="B180" s="8"/>
      <c r="C180" s="7" t="str">
        <f aca="false">IF(B180="","",INT((B180-DATE(YEAR(B180-WEEKDAY(B180-1)+4),1,3)+WEEKDAY(DATE(YEAR(B180-WEEKDAY(B180-1)+4),1,3))+5)/7))</f>
        <v/>
      </c>
      <c r="D180" s="9" t="str">
        <f aca="false">IF(B180="","",B180-WEEKDAY(B180,2)+1)</f>
        <v/>
      </c>
      <c r="E180" s="10"/>
      <c r="F180" s="8"/>
      <c r="G180" s="11"/>
      <c r="H180" s="10"/>
      <c r="I180" s="11"/>
      <c r="J180" s="10"/>
      <c r="K180" s="10"/>
      <c r="L180" s="10"/>
      <c r="M180" s="11"/>
      <c r="N180" s="8"/>
      <c r="O180" s="7" t="str">
        <f aca="false">IF(L180="","",IFERROR(VLOOKUP(L180,Paramètres!$F$5:$G$8,2,FALSE()),""))</f>
        <v/>
      </c>
      <c r="P180" s="9" t="str">
        <f aca="false">IF(OR(B180="",O180=""),"",IF(N180="",B180,N180)+O180)</f>
        <v/>
      </c>
      <c r="Q180" s="10"/>
      <c r="R180" s="8"/>
      <c r="S180" s="7" t="str">
        <f aca="false">IF(OR(B180="",R180=""),"",R180-B180)</f>
        <v/>
      </c>
      <c r="T180" s="7" t="str">
        <f aca="true">IF(OR(B180="",P180=""),"",IF(R180&lt;&gt;"",IF(R180&gt;P180,"Traité hors délai","Non"),IF(Q180="Classé sans suite","Non",IF(TODAY()&gt;P180,"OUI","Non"))))</f>
        <v/>
      </c>
      <c r="U180" s="11"/>
    </row>
    <row r="181" customFormat="false" ht="15" hidden="false" customHeight="false" outlineLevel="0" collapsed="false">
      <c r="A181" s="7" t="str">
        <f aca="false">IF(B181="","",YEAR(B181)&amp;"/"&amp;TEXT(ROW()-4,"0000"))</f>
        <v/>
      </c>
      <c r="B181" s="8"/>
      <c r="C181" s="7" t="str">
        <f aca="false">IF(B181="","",INT((B181-DATE(YEAR(B181-WEEKDAY(B181-1)+4),1,3)+WEEKDAY(DATE(YEAR(B181-WEEKDAY(B181-1)+4),1,3))+5)/7))</f>
        <v/>
      </c>
      <c r="D181" s="9" t="str">
        <f aca="false">IF(B181="","",B181-WEEKDAY(B181,2)+1)</f>
        <v/>
      </c>
      <c r="E181" s="10"/>
      <c r="F181" s="8"/>
      <c r="G181" s="11"/>
      <c r="H181" s="10"/>
      <c r="I181" s="11"/>
      <c r="J181" s="10"/>
      <c r="K181" s="10"/>
      <c r="L181" s="10"/>
      <c r="M181" s="11"/>
      <c r="N181" s="8"/>
      <c r="O181" s="7" t="str">
        <f aca="false">IF(L181="","",IFERROR(VLOOKUP(L181,Paramètres!$F$5:$G$8,2,FALSE()),""))</f>
        <v/>
      </c>
      <c r="P181" s="9" t="str">
        <f aca="false">IF(OR(B181="",O181=""),"",IF(N181="",B181,N181)+O181)</f>
        <v/>
      </c>
      <c r="Q181" s="10"/>
      <c r="R181" s="8"/>
      <c r="S181" s="7" t="str">
        <f aca="false">IF(OR(B181="",R181=""),"",R181-B181)</f>
        <v/>
      </c>
      <c r="T181" s="7" t="str">
        <f aca="true">IF(OR(B181="",P181=""),"",IF(R181&lt;&gt;"",IF(R181&gt;P181,"Traité hors délai","Non"),IF(Q181="Classé sans suite","Non",IF(TODAY()&gt;P181,"OUI","Non"))))</f>
        <v/>
      </c>
      <c r="U181" s="11"/>
    </row>
    <row r="182" customFormat="false" ht="15" hidden="false" customHeight="false" outlineLevel="0" collapsed="false">
      <c r="A182" s="7" t="str">
        <f aca="false">IF(B182="","",YEAR(B182)&amp;"/"&amp;TEXT(ROW()-4,"0000"))</f>
        <v/>
      </c>
      <c r="B182" s="8"/>
      <c r="C182" s="7" t="str">
        <f aca="false">IF(B182="","",INT((B182-DATE(YEAR(B182-WEEKDAY(B182-1)+4),1,3)+WEEKDAY(DATE(YEAR(B182-WEEKDAY(B182-1)+4),1,3))+5)/7))</f>
        <v/>
      </c>
      <c r="D182" s="9" t="str">
        <f aca="false">IF(B182="","",B182-WEEKDAY(B182,2)+1)</f>
        <v/>
      </c>
      <c r="E182" s="10"/>
      <c r="F182" s="8"/>
      <c r="G182" s="11"/>
      <c r="H182" s="10"/>
      <c r="I182" s="11"/>
      <c r="J182" s="10"/>
      <c r="K182" s="10"/>
      <c r="L182" s="10"/>
      <c r="M182" s="11"/>
      <c r="N182" s="8"/>
      <c r="O182" s="7" t="str">
        <f aca="false">IF(L182="","",IFERROR(VLOOKUP(L182,Paramètres!$F$5:$G$8,2,FALSE()),""))</f>
        <v/>
      </c>
      <c r="P182" s="9" t="str">
        <f aca="false">IF(OR(B182="",O182=""),"",IF(N182="",B182,N182)+O182)</f>
        <v/>
      </c>
      <c r="Q182" s="10"/>
      <c r="R182" s="8"/>
      <c r="S182" s="7" t="str">
        <f aca="false">IF(OR(B182="",R182=""),"",R182-B182)</f>
        <v/>
      </c>
      <c r="T182" s="7" t="str">
        <f aca="true">IF(OR(B182="",P182=""),"",IF(R182&lt;&gt;"",IF(R182&gt;P182,"Traité hors délai","Non"),IF(Q182="Classé sans suite","Non",IF(TODAY()&gt;P182,"OUI","Non"))))</f>
        <v/>
      </c>
      <c r="U182" s="11"/>
    </row>
    <row r="183" customFormat="false" ht="15" hidden="false" customHeight="false" outlineLevel="0" collapsed="false">
      <c r="A183" s="7" t="str">
        <f aca="false">IF(B183="","",YEAR(B183)&amp;"/"&amp;TEXT(ROW()-4,"0000"))</f>
        <v/>
      </c>
      <c r="B183" s="8"/>
      <c r="C183" s="7" t="str">
        <f aca="false">IF(B183="","",INT((B183-DATE(YEAR(B183-WEEKDAY(B183-1)+4),1,3)+WEEKDAY(DATE(YEAR(B183-WEEKDAY(B183-1)+4),1,3))+5)/7))</f>
        <v/>
      </c>
      <c r="D183" s="9" t="str">
        <f aca="false">IF(B183="","",B183-WEEKDAY(B183,2)+1)</f>
        <v/>
      </c>
      <c r="E183" s="10"/>
      <c r="F183" s="8"/>
      <c r="G183" s="11"/>
      <c r="H183" s="10"/>
      <c r="I183" s="11"/>
      <c r="J183" s="10"/>
      <c r="K183" s="10"/>
      <c r="L183" s="10"/>
      <c r="M183" s="11"/>
      <c r="N183" s="8"/>
      <c r="O183" s="7" t="str">
        <f aca="false">IF(L183="","",IFERROR(VLOOKUP(L183,Paramètres!$F$5:$G$8,2,FALSE()),""))</f>
        <v/>
      </c>
      <c r="P183" s="9" t="str">
        <f aca="false">IF(OR(B183="",O183=""),"",IF(N183="",B183,N183)+O183)</f>
        <v/>
      </c>
      <c r="Q183" s="10"/>
      <c r="R183" s="8"/>
      <c r="S183" s="7" t="str">
        <f aca="false">IF(OR(B183="",R183=""),"",R183-B183)</f>
        <v/>
      </c>
      <c r="T183" s="7" t="str">
        <f aca="true">IF(OR(B183="",P183=""),"",IF(R183&lt;&gt;"",IF(R183&gt;P183,"Traité hors délai","Non"),IF(Q183="Classé sans suite","Non",IF(TODAY()&gt;P183,"OUI","Non"))))</f>
        <v/>
      </c>
      <c r="U183" s="11"/>
    </row>
    <row r="184" customFormat="false" ht="15" hidden="false" customHeight="false" outlineLevel="0" collapsed="false">
      <c r="A184" s="7" t="str">
        <f aca="false">IF(B184="","",YEAR(B184)&amp;"/"&amp;TEXT(ROW()-4,"0000"))</f>
        <v/>
      </c>
      <c r="B184" s="8"/>
      <c r="C184" s="7" t="str">
        <f aca="false">IF(B184="","",INT((B184-DATE(YEAR(B184-WEEKDAY(B184-1)+4),1,3)+WEEKDAY(DATE(YEAR(B184-WEEKDAY(B184-1)+4),1,3))+5)/7))</f>
        <v/>
      </c>
      <c r="D184" s="9" t="str">
        <f aca="false">IF(B184="","",B184-WEEKDAY(B184,2)+1)</f>
        <v/>
      </c>
      <c r="E184" s="10"/>
      <c r="F184" s="8"/>
      <c r="G184" s="11"/>
      <c r="H184" s="10"/>
      <c r="I184" s="11"/>
      <c r="J184" s="10"/>
      <c r="K184" s="10"/>
      <c r="L184" s="10"/>
      <c r="M184" s="11"/>
      <c r="N184" s="8"/>
      <c r="O184" s="7" t="str">
        <f aca="false">IF(L184="","",IFERROR(VLOOKUP(L184,Paramètres!$F$5:$G$8,2,FALSE()),""))</f>
        <v/>
      </c>
      <c r="P184" s="9" t="str">
        <f aca="false">IF(OR(B184="",O184=""),"",IF(N184="",B184,N184)+O184)</f>
        <v/>
      </c>
      <c r="Q184" s="10"/>
      <c r="R184" s="8"/>
      <c r="S184" s="7" t="str">
        <f aca="false">IF(OR(B184="",R184=""),"",R184-B184)</f>
        <v/>
      </c>
      <c r="T184" s="7" t="str">
        <f aca="true">IF(OR(B184="",P184=""),"",IF(R184&lt;&gt;"",IF(R184&gt;P184,"Traité hors délai","Non"),IF(Q184="Classé sans suite","Non",IF(TODAY()&gt;P184,"OUI","Non"))))</f>
        <v/>
      </c>
      <c r="U184" s="11"/>
    </row>
    <row r="185" customFormat="false" ht="15" hidden="false" customHeight="false" outlineLevel="0" collapsed="false">
      <c r="A185" s="7" t="str">
        <f aca="false">IF(B185="","",YEAR(B185)&amp;"/"&amp;TEXT(ROW()-4,"0000"))</f>
        <v/>
      </c>
      <c r="B185" s="8"/>
      <c r="C185" s="7" t="str">
        <f aca="false">IF(B185="","",INT((B185-DATE(YEAR(B185-WEEKDAY(B185-1)+4),1,3)+WEEKDAY(DATE(YEAR(B185-WEEKDAY(B185-1)+4),1,3))+5)/7))</f>
        <v/>
      </c>
      <c r="D185" s="9" t="str">
        <f aca="false">IF(B185="","",B185-WEEKDAY(B185,2)+1)</f>
        <v/>
      </c>
      <c r="E185" s="10"/>
      <c r="F185" s="8"/>
      <c r="G185" s="11"/>
      <c r="H185" s="10"/>
      <c r="I185" s="11"/>
      <c r="J185" s="10"/>
      <c r="K185" s="10"/>
      <c r="L185" s="10"/>
      <c r="M185" s="11"/>
      <c r="N185" s="8"/>
      <c r="O185" s="7" t="str">
        <f aca="false">IF(L185="","",IFERROR(VLOOKUP(L185,Paramètres!$F$5:$G$8,2,FALSE()),""))</f>
        <v/>
      </c>
      <c r="P185" s="9" t="str">
        <f aca="false">IF(OR(B185="",O185=""),"",IF(N185="",B185,N185)+O185)</f>
        <v/>
      </c>
      <c r="Q185" s="10"/>
      <c r="R185" s="8"/>
      <c r="S185" s="7" t="str">
        <f aca="false">IF(OR(B185="",R185=""),"",R185-B185)</f>
        <v/>
      </c>
      <c r="T185" s="7" t="str">
        <f aca="true">IF(OR(B185="",P185=""),"",IF(R185&lt;&gt;"",IF(R185&gt;P185,"Traité hors délai","Non"),IF(Q185="Classé sans suite","Non",IF(TODAY()&gt;P185,"OUI","Non"))))</f>
        <v/>
      </c>
      <c r="U185" s="11"/>
    </row>
    <row r="186" customFormat="false" ht="15" hidden="false" customHeight="false" outlineLevel="0" collapsed="false">
      <c r="A186" s="7" t="str">
        <f aca="false">IF(B186="","",YEAR(B186)&amp;"/"&amp;TEXT(ROW()-4,"0000"))</f>
        <v/>
      </c>
      <c r="B186" s="8"/>
      <c r="C186" s="7" t="str">
        <f aca="false">IF(B186="","",INT((B186-DATE(YEAR(B186-WEEKDAY(B186-1)+4),1,3)+WEEKDAY(DATE(YEAR(B186-WEEKDAY(B186-1)+4),1,3))+5)/7))</f>
        <v/>
      </c>
      <c r="D186" s="9" t="str">
        <f aca="false">IF(B186="","",B186-WEEKDAY(B186,2)+1)</f>
        <v/>
      </c>
      <c r="E186" s="10"/>
      <c r="F186" s="8"/>
      <c r="G186" s="11"/>
      <c r="H186" s="10"/>
      <c r="I186" s="11"/>
      <c r="J186" s="10"/>
      <c r="K186" s="10"/>
      <c r="L186" s="10"/>
      <c r="M186" s="11"/>
      <c r="N186" s="8"/>
      <c r="O186" s="7" t="str">
        <f aca="false">IF(L186="","",IFERROR(VLOOKUP(L186,Paramètres!$F$5:$G$8,2,FALSE()),""))</f>
        <v/>
      </c>
      <c r="P186" s="9" t="str">
        <f aca="false">IF(OR(B186="",O186=""),"",IF(N186="",B186,N186)+O186)</f>
        <v/>
      </c>
      <c r="Q186" s="10"/>
      <c r="R186" s="8"/>
      <c r="S186" s="7" t="str">
        <f aca="false">IF(OR(B186="",R186=""),"",R186-B186)</f>
        <v/>
      </c>
      <c r="T186" s="7" t="str">
        <f aca="true">IF(OR(B186="",P186=""),"",IF(R186&lt;&gt;"",IF(R186&gt;P186,"Traité hors délai","Non"),IF(Q186="Classé sans suite","Non",IF(TODAY()&gt;P186,"OUI","Non"))))</f>
        <v/>
      </c>
      <c r="U186" s="11"/>
    </row>
    <row r="187" customFormat="false" ht="15" hidden="false" customHeight="false" outlineLevel="0" collapsed="false">
      <c r="A187" s="7" t="str">
        <f aca="false">IF(B187="","",YEAR(B187)&amp;"/"&amp;TEXT(ROW()-4,"0000"))</f>
        <v/>
      </c>
      <c r="B187" s="8"/>
      <c r="C187" s="7" t="str">
        <f aca="false">IF(B187="","",INT((B187-DATE(YEAR(B187-WEEKDAY(B187-1)+4),1,3)+WEEKDAY(DATE(YEAR(B187-WEEKDAY(B187-1)+4),1,3))+5)/7))</f>
        <v/>
      </c>
      <c r="D187" s="9" t="str">
        <f aca="false">IF(B187="","",B187-WEEKDAY(B187,2)+1)</f>
        <v/>
      </c>
      <c r="E187" s="10"/>
      <c r="F187" s="8"/>
      <c r="G187" s="11"/>
      <c r="H187" s="10"/>
      <c r="I187" s="11"/>
      <c r="J187" s="10"/>
      <c r="K187" s="10"/>
      <c r="L187" s="10"/>
      <c r="M187" s="11"/>
      <c r="N187" s="8"/>
      <c r="O187" s="7" t="str">
        <f aca="false">IF(L187="","",IFERROR(VLOOKUP(L187,Paramètres!$F$5:$G$8,2,FALSE()),""))</f>
        <v/>
      </c>
      <c r="P187" s="9" t="str">
        <f aca="false">IF(OR(B187="",O187=""),"",IF(N187="",B187,N187)+O187)</f>
        <v/>
      </c>
      <c r="Q187" s="10"/>
      <c r="R187" s="8"/>
      <c r="S187" s="7" t="str">
        <f aca="false">IF(OR(B187="",R187=""),"",R187-B187)</f>
        <v/>
      </c>
      <c r="T187" s="7" t="str">
        <f aca="true">IF(OR(B187="",P187=""),"",IF(R187&lt;&gt;"",IF(R187&gt;P187,"Traité hors délai","Non"),IF(Q187="Classé sans suite","Non",IF(TODAY()&gt;P187,"OUI","Non"))))</f>
        <v/>
      </c>
      <c r="U187" s="11"/>
    </row>
    <row r="188" customFormat="false" ht="15" hidden="false" customHeight="false" outlineLevel="0" collapsed="false">
      <c r="A188" s="7" t="str">
        <f aca="false">IF(B188="","",YEAR(B188)&amp;"/"&amp;TEXT(ROW()-4,"0000"))</f>
        <v/>
      </c>
      <c r="B188" s="8"/>
      <c r="C188" s="7" t="str">
        <f aca="false">IF(B188="","",INT((B188-DATE(YEAR(B188-WEEKDAY(B188-1)+4),1,3)+WEEKDAY(DATE(YEAR(B188-WEEKDAY(B188-1)+4),1,3))+5)/7))</f>
        <v/>
      </c>
      <c r="D188" s="9" t="str">
        <f aca="false">IF(B188="","",B188-WEEKDAY(B188,2)+1)</f>
        <v/>
      </c>
      <c r="E188" s="10"/>
      <c r="F188" s="8"/>
      <c r="G188" s="11"/>
      <c r="H188" s="10"/>
      <c r="I188" s="11"/>
      <c r="J188" s="10"/>
      <c r="K188" s="10"/>
      <c r="L188" s="10"/>
      <c r="M188" s="11"/>
      <c r="N188" s="8"/>
      <c r="O188" s="7" t="str">
        <f aca="false">IF(L188="","",IFERROR(VLOOKUP(L188,Paramètres!$F$5:$G$8,2,FALSE()),""))</f>
        <v/>
      </c>
      <c r="P188" s="9" t="str">
        <f aca="false">IF(OR(B188="",O188=""),"",IF(N188="",B188,N188)+O188)</f>
        <v/>
      </c>
      <c r="Q188" s="10"/>
      <c r="R188" s="8"/>
      <c r="S188" s="7" t="str">
        <f aca="false">IF(OR(B188="",R188=""),"",R188-B188)</f>
        <v/>
      </c>
      <c r="T188" s="7" t="str">
        <f aca="true">IF(OR(B188="",P188=""),"",IF(R188&lt;&gt;"",IF(R188&gt;P188,"Traité hors délai","Non"),IF(Q188="Classé sans suite","Non",IF(TODAY()&gt;P188,"OUI","Non"))))</f>
        <v/>
      </c>
      <c r="U188" s="11"/>
    </row>
    <row r="189" customFormat="false" ht="15" hidden="false" customHeight="false" outlineLevel="0" collapsed="false">
      <c r="A189" s="7" t="str">
        <f aca="false">IF(B189="","",YEAR(B189)&amp;"/"&amp;TEXT(ROW()-4,"0000"))</f>
        <v/>
      </c>
      <c r="B189" s="8"/>
      <c r="C189" s="7" t="str">
        <f aca="false">IF(B189="","",INT((B189-DATE(YEAR(B189-WEEKDAY(B189-1)+4),1,3)+WEEKDAY(DATE(YEAR(B189-WEEKDAY(B189-1)+4),1,3))+5)/7))</f>
        <v/>
      </c>
      <c r="D189" s="9" t="str">
        <f aca="false">IF(B189="","",B189-WEEKDAY(B189,2)+1)</f>
        <v/>
      </c>
      <c r="E189" s="10"/>
      <c r="F189" s="8"/>
      <c r="G189" s="11"/>
      <c r="H189" s="10"/>
      <c r="I189" s="11"/>
      <c r="J189" s="10"/>
      <c r="K189" s="10"/>
      <c r="L189" s="10"/>
      <c r="M189" s="11"/>
      <c r="N189" s="8"/>
      <c r="O189" s="7" t="str">
        <f aca="false">IF(L189="","",IFERROR(VLOOKUP(L189,Paramètres!$F$5:$G$8,2,FALSE()),""))</f>
        <v/>
      </c>
      <c r="P189" s="9" t="str">
        <f aca="false">IF(OR(B189="",O189=""),"",IF(N189="",B189,N189)+O189)</f>
        <v/>
      </c>
      <c r="Q189" s="10"/>
      <c r="R189" s="8"/>
      <c r="S189" s="7" t="str">
        <f aca="false">IF(OR(B189="",R189=""),"",R189-B189)</f>
        <v/>
      </c>
      <c r="T189" s="7" t="str">
        <f aca="true">IF(OR(B189="",P189=""),"",IF(R189&lt;&gt;"",IF(R189&gt;P189,"Traité hors délai","Non"),IF(Q189="Classé sans suite","Non",IF(TODAY()&gt;P189,"OUI","Non"))))</f>
        <v/>
      </c>
      <c r="U189" s="11"/>
    </row>
    <row r="190" customFormat="false" ht="15" hidden="false" customHeight="false" outlineLevel="0" collapsed="false">
      <c r="A190" s="7" t="str">
        <f aca="false">IF(B190="","",YEAR(B190)&amp;"/"&amp;TEXT(ROW()-4,"0000"))</f>
        <v/>
      </c>
      <c r="B190" s="8"/>
      <c r="C190" s="7" t="str">
        <f aca="false">IF(B190="","",INT((B190-DATE(YEAR(B190-WEEKDAY(B190-1)+4),1,3)+WEEKDAY(DATE(YEAR(B190-WEEKDAY(B190-1)+4),1,3))+5)/7))</f>
        <v/>
      </c>
      <c r="D190" s="9" t="str">
        <f aca="false">IF(B190="","",B190-WEEKDAY(B190,2)+1)</f>
        <v/>
      </c>
      <c r="E190" s="10"/>
      <c r="F190" s="8"/>
      <c r="G190" s="11"/>
      <c r="H190" s="10"/>
      <c r="I190" s="11"/>
      <c r="J190" s="10"/>
      <c r="K190" s="10"/>
      <c r="L190" s="10"/>
      <c r="M190" s="11"/>
      <c r="N190" s="8"/>
      <c r="O190" s="7" t="str">
        <f aca="false">IF(L190="","",IFERROR(VLOOKUP(L190,Paramètres!$F$5:$G$8,2,FALSE()),""))</f>
        <v/>
      </c>
      <c r="P190" s="9" t="str">
        <f aca="false">IF(OR(B190="",O190=""),"",IF(N190="",B190,N190)+O190)</f>
        <v/>
      </c>
      <c r="Q190" s="10"/>
      <c r="R190" s="8"/>
      <c r="S190" s="7" t="str">
        <f aca="false">IF(OR(B190="",R190=""),"",R190-B190)</f>
        <v/>
      </c>
      <c r="T190" s="7" t="str">
        <f aca="true">IF(OR(B190="",P190=""),"",IF(R190&lt;&gt;"",IF(R190&gt;P190,"Traité hors délai","Non"),IF(Q190="Classé sans suite","Non",IF(TODAY()&gt;P190,"OUI","Non"))))</f>
        <v/>
      </c>
      <c r="U190" s="11"/>
    </row>
    <row r="191" customFormat="false" ht="15" hidden="false" customHeight="false" outlineLevel="0" collapsed="false">
      <c r="A191" s="7" t="str">
        <f aca="false">IF(B191="","",YEAR(B191)&amp;"/"&amp;TEXT(ROW()-4,"0000"))</f>
        <v/>
      </c>
      <c r="B191" s="8"/>
      <c r="C191" s="7" t="str">
        <f aca="false">IF(B191="","",INT((B191-DATE(YEAR(B191-WEEKDAY(B191-1)+4),1,3)+WEEKDAY(DATE(YEAR(B191-WEEKDAY(B191-1)+4),1,3))+5)/7))</f>
        <v/>
      </c>
      <c r="D191" s="9" t="str">
        <f aca="false">IF(B191="","",B191-WEEKDAY(B191,2)+1)</f>
        <v/>
      </c>
      <c r="E191" s="10"/>
      <c r="F191" s="8"/>
      <c r="G191" s="11"/>
      <c r="H191" s="10"/>
      <c r="I191" s="11"/>
      <c r="J191" s="10"/>
      <c r="K191" s="10"/>
      <c r="L191" s="10"/>
      <c r="M191" s="11"/>
      <c r="N191" s="8"/>
      <c r="O191" s="7" t="str">
        <f aca="false">IF(L191="","",IFERROR(VLOOKUP(L191,Paramètres!$F$5:$G$8,2,FALSE()),""))</f>
        <v/>
      </c>
      <c r="P191" s="9" t="str">
        <f aca="false">IF(OR(B191="",O191=""),"",IF(N191="",B191,N191)+O191)</f>
        <v/>
      </c>
      <c r="Q191" s="10"/>
      <c r="R191" s="8"/>
      <c r="S191" s="7" t="str">
        <f aca="false">IF(OR(B191="",R191=""),"",R191-B191)</f>
        <v/>
      </c>
      <c r="T191" s="7" t="str">
        <f aca="true">IF(OR(B191="",P191=""),"",IF(R191&lt;&gt;"",IF(R191&gt;P191,"Traité hors délai","Non"),IF(Q191="Classé sans suite","Non",IF(TODAY()&gt;P191,"OUI","Non"))))</f>
        <v/>
      </c>
      <c r="U191" s="11"/>
    </row>
    <row r="192" customFormat="false" ht="15" hidden="false" customHeight="false" outlineLevel="0" collapsed="false">
      <c r="A192" s="7" t="str">
        <f aca="false">IF(B192="","",YEAR(B192)&amp;"/"&amp;TEXT(ROW()-4,"0000"))</f>
        <v/>
      </c>
      <c r="B192" s="8"/>
      <c r="C192" s="7" t="str">
        <f aca="false">IF(B192="","",INT((B192-DATE(YEAR(B192-WEEKDAY(B192-1)+4),1,3)+WEEKDAY(DATE(YEAR(B192-WEEKDAY(B192-1)+4),1,3))+5)/7))</f>
        <v/>
      </c>
      <c r="D192" s="9" t="str">
        <f aca="false">IF(B192="","",B192-WEEKDAY(B192,2)+1)</f>
        <v/>
      </c>
      <c r="E192" s="10"/>
      <c r="F192" s="8"/>
      <c r="G192" s="11"/>
      <c r="H192" s="10"/>
      <c r="I192" s="11"/>
      <c r="J192" s="10"/>
      <c r="K192" s="10"/>
      <c r="L192" s="10"/>
      <c r="M192" s="11"/>
      <c r="N192" s="8"/>
      <c r="O192" s="7" t="str">
        <f aca="false">IF(L192="","",IFERROR(VLOOKUP(L192,Paramètres!$F$5:$G$8,2,FALSE()),""))</f>
        <v/>
      </c>
      <c r="P192" s="9" t="str">
        <f aca="false">IF(OR(B192="",O192=""),"",IF(N192="",B192,N192)+O192)</f>
        <v/>
      </c>
      <c r="Q192" s="10"/>
      <c r="R192" s="8"/>
      <c r="S192" s="7" t="str">
        <f aca="false">IF(OR(B192="",R192=""),"",R192-B192)</f>
        <v/>
      </c>
      <c r="T192" s="7" t="str">
        <f aca="true">IF(OR(B192="",P192=""),"",IF(R192&lt;&gt;"",IF(R192&gt;P192,"Traité hors délai","Non"),IF(Q192="Classé sans suite","Non",IF(TODAY()&gt;P192,"OUI","Non"))))</f>
        <v/>
      </c>
      <c r="U192" s="11"/>
    </row>
    <row r="193" customFormat="false" ht="15" hidden="false" customHeight="false" outlineLevel="0" collapsed="false">
      <c r="A193" s="7" t="str">
        <f aca="false">IF(B193="","",YEAR(B193)&amp;"/"&amp;TEXT(ROW()-4,"0000"))</f>
        <v/>
      </c>
      <c r="B193" s="8"/>
      <c r="C193" s="7" t="str">
        <f aca="false">IF(B193="","",INT((B193-DATE(YEAR(B193-WEEKDAY(B193-1)+4),1,3)+WEEKDAY(DATE(YEAR(B193-WEEKDAY(B193-1)+4),1,3))+5)/7))</f>
        <v/>
      </c>
      <c r="D193" s="9" t="str">
        <f aca="false">IF(B193="","",B193-WEEKDAY(B193,2)+1)</f>
        <v/>
      </c>
      <c r="E193" s="10"/>
      <c r="F193" s="8"/>
      <c r="G193" s="11"/>
      <c r="H193" s="10"/>
      <c r="I193" s="11"/>
      <c r="J193" s="10"/>
      <c r="K193" s="10"/>
      <c r="L193" s="10"/>
      <c r="M193" s="11"/>
      <c r="N193" s="8"/>
      <c r="O193" s="7" t="str">
        <f aca="false">IF(L193="","",IFERROR(VLOOKUP(L193,Paramètres!$F$5:$G$8,2,FALSE()),""))</f>
        <v/>
      </c>
      <c r="P193" s="9" t="str">
        <f aca="false">IF(OR(B193="",O193=""),"",IF(N193="",B193,N193)+O193)</f>
        <v/>
      </c>
      <c r="Q193" s="10"/>
      <c r="R193" s="8"/>
      <c r="S193" s="7" t="str">
        <f aca="false">IF(OR(B193="",R193=""),"",R193-B193)</f>
        <v/>
      </c>
      <c r="T193" s="7" t="str">
        <f aca="true">IF(OR(B193="",P193=""),"",IF(R193&lt;&gt;"",IF(R193&gt;P193,"Traité hors délai","Non"),IF(Q193="Classé sans suite","Non",IF(TODAY()&gt;P193,"OUI","Non"))))</f>
        <v/>
      </c>
      <c r="U193" s="11"/>
    </row>
    <row r="194" customFormat="false" ht="15" hidden="false" customHeight="false" outlineLevel="0" collapsed="false">
      <c r="A194" s="7" t="str">
        <f aca="false">IF(B194="","",YEAR(B194)&amp;"/"&amp;TEXT(ROW()-4,"0000"))</f>
        <v/>
      </c>
      <c r="B194" s="8"/>
      <c r="C194" s="7" t="str">
        <f aca="false">IF(B194="","",INT((B194-DATE(YEAR(B194-WEEKDAY(B194-1)+4),1,3)+WEEKDAY(DATE(YEAR(B194-WEEKDAY(B194-1)+4),1,3))+5)/7))</f>
        <v/>
      </c>
      <c r="D194" s="9" t="str">
        <f aca="false">IF(B194="","",B194-WEEKDAY(B194,2)+1)</f>
        <v/>
      </c>
      <c r="E194" s="10"/>
      <c r="F194" s="8"/>
      <c r="G194" s="11"/>
      <c r="H194" s="10"/>
      <c r="I194" s="11"/>
      <c r="J194" s="10"/>
      <c r="K194" s="10"/>
      <c r="L194" s="10"/>
      <c r="M194" s="11"/>
      <c r="N194" s="8"/>
      <c r="O194" s="7" t="str">
        <f aca="false">IF(L194="","",IFERROR(VLOOKUP(L194,Paramètres!$F$5:$G$8,2,FALSE()),""))</f>
        <v/>
      </c>
      <c r="P194" s="9" t="str">
        <f aca="false">IF(OR(B194="",O194=""),"",IF(N194="",B194,N194)+O194)</f>
        <v/>
      </c>
      <c r="Q194" s="10"/>
      <c r="R194" s="8"/>
      <c r="S194" s="7" t="str">
        <f aca="false">IF(OR(B194="",R194=""),"",R194-B194)</f>
        <v/>
      </c>
      <c r="T194" s="7" t="str">
        <f aca="true">IF(OR(B194="",P194=""),"",IF(R194&lt;&gt;"",IF(R194&gt;P194,"Traité hors délai","Non"),IF(Q194="Classé sans suite","Non",IF(TODAY()&gt;P194,"OUI","Non"))))</f>
        <v/>
      </c>
      <c r="U194" s="11"/>
    </row>
    <row r="195" customFormat="false" ht="15" hidden="false" customHeight="false" outlineLevel="0" collapsed="false">
      <c r="A195" s="7" t="str">
        <f aca="false">IF(B195="","",YEAR(B195)&amp;"/"&amp;TEXT(ROW()-4,"0000"))</f>
        <v/>
      </c>
      <c r="B195" s="8"/>
      <c r="C195" s="7" t="str">
        <f aca="false">IF(B195="","",INT((B195-DATE(YEAR(B195-WEEKDAY(B195-1)+4),1,3)+WEEKDAY(DATE(YEAR(B195-WEEKDAY(B195-1)+4),1,3))+5)/7))</f>
        <v/>
      </c>
      <c r="D195" s="9" t="str">
        <f aca="false">IF(B195="","",B195-WEEKDAY(B195,2)+1)</f>
        <v/>
      </c>
      <c r="E195" s="10"/>
      <c r="F195" s="8"/>
      <c r="G195" s="11"/>
      <c r="H195" s="10"/>
      <c r="I195" s="11"/>
      <c r="J195" s="10"/>
      <c r="K195" s="10"/>
      <c r="L195" s="10"/>
      <c r="M195" s="11"/>
      <c r="N195" s="8"/>
      <c r="O195" s="7" t="str">
        <f aca="false">IF(L195="","",IFERROR(VLOOKUP(L195,Paramètres!$F$5:$G$8,2,FALSE()),""))</f>
        <v/>
      </c>
      <c r="P195" s="9" t="str">
        <f aca="false">IF(OR(B195="",O195=""),"",IF(N195="",B195,N195)+O195)</f>
        <v/>
      </c>
      <c r="Q195" s="10"/>
      <c r="R195" s="8"/>
      <c r="S195" s="7" t="str">
        <f aca="false">IF(OR(B195="",R195=""),"",R195-B195)</f>
        <v/>
      </c>
      <c r="T195" s="7" t="str">
        <f aca="true">IF(OR(B195="",P195=""),"",IF(R195&lt;&gt;"",IF(R195&gt;P195,"Traité hors délai","Non"),IF(Q195="Classé sans suite","Non",IF(TODAY()&gt;P195,"OUI","Non"))))</f>
        <v/>
      </c>
      <c r="U195" s="11"/>
    </row>
    <row r="196" customFormat="false" ht="15" hidden="false" customHeight="false" outlineLevel="0" collapsed="false">
      <c r="A196" s="7" t="str">
        <f aca="false">IF(B196="","",YEAR(B196)&amp;"/"&amp;TEXT(ROW()-4,"0000"))</f>
        <v/>
      </c>
      <c r="B196" s="8"/>
      <c r="C196" s="7" t="str">
        <f aca="false">IF(B196="","",INT((B196-DATE(YEAR(B196-WEEKDAY(B196-1)+4),1,3)+WEEKDAY(DATE(YEAR(B196-WEEKDAY(B196-1)+4),1,3))+5)/7))</f>
        <v/>
      </c>
      <c r="D196" s="9" t="str">
        <f aca="false">IF(B196="","",B196-WEEKDAY(B196,2)+1)</f>
        <v/>
      </c>
      <c r="E196" s="10"/>
      <c r="F196" s="8"/>
      <c r="G196" s="11"/>
      <c r="H196" s="10"/>
      <c r="I196" s="11"/>
      <c r="J196" s="10"/>
      <c r="K196" s="10"/>
      <c r="L196" s="10"/>
      <c r="M196" s="11"/>
      <c r="N196" s="8"/>
      <c r="O196" s="7" t="str">
        <f aca="false">IF(L196="","",IFERROR(VLOOKUP(L196,Paramètres!$F$5:$G$8,2,FALSE()),""))</f>
        <v/>
      </c>
      <c r="P196" s="9" t="str">
        <f aca="false">IF(OR(B196="",O196=""),"",IF(N196="",B196,N196)+O196)</f>
        <v/>
      </c>
      <c r="Q196" s="10"/>
      <c r="R196" s="8"/>
      <c r="S196" s="7" t="str">
        <f aca="false">IF(OR(B196="",R196=""),"",R196-B196)</f>
        <v/>
      </c>
      <c r="T196" s="7" t="str">
        <f aca="true">IF(OR(B196="",P196=""),"",IF(R196&lt;&gt;"",IF(R196&gt;P196,"Traité hors délai","Non"),IF(Q196="Classé sans suite","Non",IF(TODAY()&gt;P196,"OUI","Non"))))</f>
        <v/>
      </c>
      <c r="U196" s="11"/>
    </row>
    <row r="197" customFormat="false" ht="15" hidden="false" customHeight="false" outlineLevel="0" collapsed="false">
      <c r="A197" s="7" t="str">
        <f aca="false">IF(B197="","",YEAR(B197)&amp;"/"&amp;TEXT(ROW()-4,"0000"))</f>
        <v/>
      </c>
      <c r="B197" s="8"/>
      <c r="C197" s="7" t="str">
        <f aca="false">IF(B197="","",INT((B197-DATE(YEAR(B197-WEEKDAY(B197-1)+4),1,3)+WEEKDAY(DATE(YEAR(B197-WEEKDAY(B197-1)+4),1,3))+5)/7))</f>
        <v/>
      </c>
      <c r="D197" s="9" t="str">
        <f aca="false">IF(B197="","",B197-WEEKDAY(B197,2)+1)</f>
        <v/>
      </c>
      <c r="E197" s="10"/>
      <c r="F197" s="8"/>
      <c r="G197" s="11"/>
      <c r="H197" s="10"/>
      <c r="I197" s="11"/>
      <c r="J197" s="10"/>
      <c r="K197" s="10"/>
      <c r="L197" s="10"/>
      <c r="M197" s="11"/>
      <c r="N197" s="8"/>
      <c r="O197" s="7" t="str">
        <f aca="false">IF(L197="","",IFERROR(VLOOKUP(L197,Paramètres!$F$5:$G$8,2,FALSE()),""))</f>
        <v/>
      </c>
      <c r="P197" s="9" t="str">
        <f aca="false">IF(OR(B197="",O197=""),"",IF(N197="",B197,N197)+O197)</f>
        <v/>
      </c>
      <c r="Q197" s="10"/>
      <c r="R197" s="8"/>
      <c r="S197" s="7" t="str">
        <f aca="false">IF(OR(B197="",R197=""),"",R197-B197)</f>
        <v/>
      </c>
      <c r="T197" s="7" t="str">
        <f aca="true">IF(OR(B197="",P197=""),"",IF(R197&lt;&gt;"",IF(R197&gt;P197,"Traité hors délai","Non"),IF(Q197="Classé sans suite","Non",IF(TODAY()&gt;P197,"OUI","Non"))))</f>
        <v/>
      </c>
      <c r="U197" s="11"/>
    </row>
    <row r="198" customFormat="false" ht="15" hidden="false" customHeight="false" outlineLevel="0" collapsed="false">
      <c r="A198" s="7" t="str">
        <f aca="false">IF(B198="","",YEAR(B198)&amp;"/"&amp;TEXT(ROW()-4,"0000"))</f>
        <v/>
      </c>
      <c r="B198" s="8"/>
      <c r="C198" s="7" t="str">
        <f aca="false">IF(B198="","",INT((B198-DATE(YEAR(B198-WEEKDAY(B198-1)+4),1,3)+WEEKDAY(DATE(YEAR(B198-WEEKDAY(B198-1)+4),1,3))+5)/7))</f>
        <v/>
      </c>
      <c r="D198" s="9" t="str">
        <f aca="false">IF(B198="","",B198-WEEKDAY(B198,2)+1)</f>
        <v/>
      </c>
      <c r="E198" s="10"/>
      <c r="F198" s="8"/>
      <c r="G198" s="11"/>
      <c r="H198" s="10"/>
      <c r="I198" s="11"/>
      <c r="J198" s="10"/>
      <c r="K198" s="10"/>
      <c r="L198" s="10"/>
      <c r="M198" s="11"/>
      <c r="N198" s="8"/>
      <c r="O198" s="7" t="str">
        <f aca="false">IF(L198="","",IFERROR(VLOOKUP(L198,Paramètres!$F$5:$G$8,2,FALSE()),""))</f>
        <v/>
      </c>
      <c r="P198" s="9" t="str">
        <f aca="false">IF(OR(B198="",O198=""),"",IF(N198="",B198,N198)+O198)</f>
        <v/>
      </c>
      <c r="Q198" s="10"/>
      <c r="R198" s="8"/>
      <c r="S198" s="7" t="str">
        <f aca="false">IF(OR(B198="",R198=""),"",R198-B198)</f>
        <v/>
      </c>
      <c r="T198" s="7" t="str">
        <f aca="true">IF(OR(B198="",P198=""),"",IF(R198&lt;&gt;"",IF(R198&gt;P198,"Traité hors délai","Non"),IF(Q198="Classé sans suite","Non",IF(TODAY()&gt;P198,"OUI","Non"))))</f>
        <v/>
      </c>
      <c r="U198" s="11"/>
    </row>
    <row r="199" customFormat="false" ht="15" hidden="false" customHeight="false" outlineLevel="0" collapsed="false">
      <c r="A199" s="7" t="str">
        <f aca="false">IF(B199="","",YEAR(B199)&amp;"/"&amp;TEXT(ROW()-4,"0000"))</f>
        <v/>
      </c>
      <c r="B199" s="8"/>
      <c r="C199" s="7" t="str">
        <f aca="false">IF(B199="","",INT((B199-DATE(YEAR(B199-WEEKDAY(B199-1)+4),1,3)+WEEKDAY(DATE(YEAR(B199-WEEKDAY(B199-1)+4),1,3))+5)/7))</f>
        <v/>
      </c>
      <c r="D199" s="9" t="str">
        <f aca="false">IF(B199="","",B199-WEEKDAY(B199,2)+1)</f>
        <v/>
      </c>
      <c r="E199" s="10"/>
      <c r="F199" s="8"/>
      <c r="G199" s="11"/>
      <c r="H199" s="10"/>
      <c r="I199" s="11"/>
      <c r="J199" s="10"/>
      <c r="K199" s="10"/>
      <c r="L199" s="10"/>
      <c r="M199" s="11"/>
      <c r="N199" s="8"/>
      <c r="O199" s="7" t="str">
        <f aca="false">IF(L199="","",IFERROR(VLOOKUP(L199,Paramètres!$F$5:$G$8,2,FALSE()),""))</f>
        <v/>
      </c>
      <c r="P199" s="9" t="str">
        <f aca="false">IF(OR(B199="",O199=""),"",IF(N199="",B199,N199)+O199)</f>
        <v/>
      </c>
      <c r="Q199" s="10"/>
      <c r="R199" s="8"/>
      <c r="S199" s="7" t="str">
        <f aca="false">IF(OR(B199="",R199=""),"",R199-B199)</f>
        <v/>
      </c>
      <c r="T199" s="7" t="str">
        <f aca="true">IF(OR(B199="",P199=""),"",IF(R199&lt;&gt;"",IF(R199&gt;P199,"Traité hors délai","Non"),IF(Q199="Classé sans suite","Non",IF(TODAY()&gt;P199,"OUI","Non"))))</f>
        <v/>
      </c>
      <c r="U199" s="11"/>
    </row>
    <row r="200" customFormat="false" ht="15" hidden="false" customHeight="false" outlineLevel="0" collapsed="false">
      <c r="A200" s="7" t="str">
        <f aca="false">IF(B200="","",YEAR(B200)&amp;"/"&amp;TEXT(ROW()-4,"0000"))</f>
        <v/>
      </c>
      <c r="B200" s="8"/>
      <c r="C200" s="7" t="str">
        <f aca="false">IF(B200="","",INT((B200-DATE(YEAR(B200-WEEKDAY(B200-1)+4),1,3)+WEEKDAY(DATE(YEAR(B200-WEEKDAY(B200-1)+4),1,3))+5)/7))</f>
        <v/>
      </c>
      <c r="D200" s="9" t="str">
        <f aca="false">IF(B200="","",B200-WEEKDAY(B200,2)+1)</f>
        <v/>
      </c>
      <c r="E200" s="10"/>
      <c r="F200" s="8"/>
      <c r="G200" s="11"/>
      <c r="H200" s="10"/>
      <c r="I200" s="11"/>
      <c r="J200" s="10"/>
      <c r="K200" s="10"/>
      <c r="L200" s="10"/>
      <c r="M200" s="11"/>
      <c r="N200" s="8"/>
      <c r="O200" s="7" t="str">
        <f aca="false">IF(L200="","",IFERROR(VLOOKUP(L200,Paramètres!$F$5:$G$8,2,FALSE()),""))</f>
        <v/>
      </c>
      <c r="P200" s="9" t="str">
        <f aca="false">IF(OR(B200="",O200=""),"",IF(N200="",B200,N200)+O200)</f>
        <v/>
      </c>
      <c r="Q200" s="10"/>
      <c r="R200" s="8"/>
      <c r="S200" s="7" t="str">
        <f aca="false">IF(OR(B200="",R200=""),"",R200-B200)</f>
        <v/>
      </c>
      <c r="T200" s="7" t="str">
        <f aca="true">IF(OR(B200="",P200=""),"",IF(R200&lt;&gt;"",IF(R200&gt;P200,"Traité hors délai","Non"),IF(Q200="Classé sans suite","Non",IF(TODAY()&gt;P200,"OUI","Non"))))</f>
        <v/>
      </c>
      <c r="U200" s="11"/>
    </row>
    <row r="201" customFormat="false" ht="15" hidden="false" customHeight="false" outlineLevel="0" collapsed="false">
      <c r="A201" s="7" t="str">
        <f aca="false">IF(B201="","",YEAR(B201)&amp;"/"&amp;TEXT(ROW()-4,"0000"))</f>
        <v/>
      </c>
      <c r="B201" s="8"/>
      <c r="C201" s="7" t="str">
        <f aca="false">IF(B201="","",INT((B201-DATE(YEAR(B201-WEEKDAY(B201-1)+4),1,3)+WEEKDAY(DATE(YEAR(B201-WEEKDAY(B201-1)+4),1,3))+5)/7))</f>
        <v/>
      </c>
      <c r="D201" s="9" t="str">
        <f aca="false">IF(B201="","",B201-WEEKDAY(B201,2)+1)</f>
        <v/>
      </c>
      <c r="E201" s="10"/>
      <c r="F201" s="8"/>
      <c r="G201" s="11"/>
      <c r="H201" s="10"/>
      <c r="I201" s="11"/>
      <c r="J201" s="10"/>
      <c r="K201" s="10"/>
      <c r="L201" s="10"/>
      <c r="M201" s="11"/>
      <c r="N201" s="8"/>
      <c r="O201" s="7" t="str">
        <f aca="false">IF(L201="","",IFERROR(VLOOKUP(L201,Paramètres!$F$5:$G$8,2,FALSE()),""))</f>
        <v/>
      </c>
      <c r="P201" s="9" t="str">
        <f aca="false">IF(OR(B201="",O201=""),"",IF(N201="",B201,N201)+O201)</f>
        <v/>
      </c>
      <c r="Q201" s="10"/>
      <c r="R201" s="8"/>
      <c r="S201" s="7" t="str">
        <f aca="false">IF(OR(B201="",R201=""),"",R201-B201)</f>
        <v/>
      </c>
      <c r="T201" s="7" t="str">
        <f aca="true">IF(OR(B201="",P201=""),"",IF(R201&lt;&gt;"",IF(R201&gt;P201,"Traité hors délai","Non"),IF(Q201="Classé sans suite","Non",IF(TODAY()&gt;P201,"OUI","Non"))))</f>
        <v/>
      </c>
      <c r="U201" s="11"/>
    </row>
    <row r="202" customFormat="false" ht="15" hidden="false" customHeight="false" outlineLevel="0" collapsed="false">
      <c r="A202" s="7" t="str">
        <f aca="false">IF(B202="","",YEAR(B202)&amp;"/"&amp;TEXT(ROW()-4,"0000"))</f>
        <v/>
      </c>
      <c r="B202" s="8"/>
      <c r="C202" s="7" t="str">
        <f aca="false">IF(B202="","",INT((B202-DATE(YEAR(B202-WEEKDAY(B202-1)+4),1,3)+WEEKDAY(DATE(YEAR(B202-WEEKDAY(B202-1)+4),1,3))+5)/7))</f>
        <v/>
      </c>
      <c r="D202" s="9" t="str">
        <f aca="false">IF(B202="","",B202-WEEKDAY(B202,2)+1)</f>
        <v/>
      </c>
      <c r="E202" s="10"/>
      <c r="F202" s="8"/>
      <c r="G202" s="11"/>
      <c r="H202" s="10"/>
      <c r="I202" s="11"/>
      <c r="J202" s="10"/>
      <c r="K202" s="10"/>
      <c r="L202" s="10"/>
      <c r="M202" s="11"/>
      <c r="N202" s="8"/>
      <c r="O202" s="7" t="str">
        <f aca="false">IF(L202="","",IFERROR(VLOOKUP(L202,Paramètres!$F$5:$G$8,2,FALSE()),""))</f>
        <v/>
      </c>
      <c r="P202" s="9" t="str">
        <f aca="false">IF(OR(B202="",O202=""),"",IF(N202="",B202,N202)+O202)</f>
        <v/>
      </c>
      <c r="Q202" s="10"/>
      <c r="R202" s="8"/>
      <c r="S202" s="7" t="str">
        <f aca="false">IF(OR(B202="",R202=""),"",R202-B202)</f>
        <v/>
      </c>
      <c r="T202" s="7" t="str">
        <f aca="true">IF(OR(B202="",P202=""),"",IF(R202&lt;&gt;"",IF(R202&gt;P202,"Traité hors délai","Non"),IF(Q202="Classé sans suite","Non",IF(TODAY()&gt;P202,"OUI","Non"))))</f>
        <v/>
      </c>
      <c r="U202" s="11"/>
    </row>
    <row r="203" customFormat="false" ht="15" hidden="false" customHeight="false" outlineLevel="0" collapsed="false">
      <c r="A203" s="7" t="str">
        <f aca="false">IF(B203="","",YEAR(B203)&amp;"/"&amp;TEXT(ROW()-4,"0000"))</f>
        <v/>
      </c>
      <c r="B203" s="8"/>
      <c r="C203" s="7" t="str">
        <f aca="false">IF(B203="","",INT((B203-DATE(YEAR(B203-WEEKDAY(B203-1)+4),1,3)+WEEKDAY(DATE(YEAR(B203-WEEKDAY(B203-1)+4),1,3))+5)/7))</f>
        <v/>
      </c>
      <c r="D203" s="9" t="str">
        <f aca="false">IF(B203="","",B203-WEEKDAY(B203,2)+1)</f>
        <v/>
      </c>
      <c r="E203" s="10"/>
      <c r="F203" s="8"/>
      <c r="G203" s="11"/>
      <c r="H203" s="10"/>
      <c r="I203" s="11"/>
      <c r="J203" s="10"/>
      <c r="K203" s="10"/>
      <c r="L203" s="10"/>
      <c r="M203" s="11"/>
      <c r="N203" s="8"/>
      <c r="O203" s="7" t="str">
        <f aca="false">IF(L203="","",IFERROR(VLOOKUP(L203,Paramètres!$F$5:$G$8,2,FALSE()),""))</f>
        <v/>
      </c>
      <c r="P203" s="9" t="str">
        <f aca="false">IF(OR(B203="",O203=""),"",IF(N203="",B203,N203)+O203)</f>
        <v/>
      </c>
      <c r="Q203" s="10"/>
      <c r="R203" s="8"/>
      <c r="S203" s="7" t="str">
        <f aca="false">IF(OR(B203="",R203=""),"",R203-B203)</f>
        <v/>
      </c>
      <c r="T203" s="7" t="str">
        <f aca="true">IF(OR(B203="",P203=""),"",IF(R203&lt;&gt;"",IF(R203&gt;P203,"Traité hors délai","Non"),IF(Q203="Classé sans suite","Non",IF(TODAY()&gt;P203,"OUI","Non"))))</f>
        <v/>
      </c>
      <c r="U203" s="11"/>
    </row>
    <row r="204" customFormat="false" ht="15" hidden="false" customHeight="false" outlineLevel="0" collapsed="false">
      <c r="A204" s="7" t="str">
        <f aca="false">IF(B204="","",YEAR(B204)&amp;"/"&amp;TEXT(ROW()-4,"0000"))</f>
        <v/>
      </c>
      <c r="B204" s="8"/>
      <c r="C204" s="7" t="str">
        <f aca="false">IF(B204="","",INT((B204-DATE(YEAR(B204-WEEKDAY(B204-1)+4),1,3)+WEEKDAY(DATE(YEAR(B204-WEEKDAY(B204-1)+4),1,3))+5)/7))</f>
        <v/>
      </c>
      <c r="D204" s="9" t="str">
        <f aca="false">IF(B204="","",B204-WEEKDAY(B204,2)+1)</f>
        <v/>
      </c>
      <c r="E204" s="10"/>
      <c r="F204" s="8"/>
      <c r="G204" s="11"/>
      <c r="H204" s="10"/>
      <c r="I204" s="11"/>
      <c r="J204" s="10"/>
      <c r="K204" s="10"/>
      <c r="L204" s="10"/>
      <c r="M204" s="11"/>
      <c r="N204" s="8"/>
      <c r="O204" s="7" t="str">
        <f aca="false">IF(L204="","",IFERROR(VLOOKUP(L204,Paramètres!$F$5:$G$8,2,FALSE()),""))</f>
        <v/>
      </c>
      <c r="P204" s="9" t="str">
        <f aca="false">IF(OR(B204="",O204=""),"",IF(N204="",B204,N204)+O204)</f>
        <v/>
      </c>
      <c r="Q204" s="10"/>
      <c r="R204" s="8"/>
      <c r="S204" s="7" t="str">
        <f aca="false">IF(OR(B204="",R204=""),"",R204-B204)</f>
        <v/>
      </c>
      <c r="T204" s="7" t="str">
        <f aca="true">IF(OR(B204="",P204=""),"",IF(R204&lt;&gt;"",IF(R204&gt;P204,"Traité hors délai","Non"),IF(Q204="Classé sans suite","Non",IF(TODAY()&gt;P204,"OUI","Non"))))</f>
        <v/>
      </c>
      <c r="U204" s="11"/>
    </row>
    <row r="205" customFormat="false" ht="15" hidden="false" customHeight="false" outlineLevel="0" collapsed="false">
      <c r="A205" s="7" t="str">
        <f aca="false">IF(B205="","",YEAR(B205)&amp;"/"&amp;TEXT(ROW()-4,"0000"))</f>
        <v/>
      </c>
      <c r="B205" s="8"/>
      <c r="C205" s="7" t="str">
        <f aca="false">IF(B205="","",INT((B205-DATE(YEAR(B205-WEEKDAY(B205-1)+4),1,3)+WEEKDAY(DATE(YEAR(B205-WEEKDAY(B205-1)+4),1,3))+5)/7))</f>
        <v/>
      </c>
      <c r="D205" s="9" t="str">
        <f aca="false">IF(B205="","",B205-WEEKDAY(B205,2)+1)</f>
        <v/>
      </c>
      <c r="E205" s="10"/>
      <c r="F205" s="8"/>
      <c r="G205" s="11"/>
      <c r="H205" s="10"/>
      <c r="I205" s="11"/>
      <c r="J205" s="10"/>
      <c r="K205" s="10"/>
      <c r="L205" s="10"/>
      <c r="M205" s="11"/>
      <c r="N205" s="8"/>
      <c r="O205" s="7" t="str">
        <f aca="false">IF(L205="","",IFERROR(VLOOKUP(L205,Paramètres!$F$5:$G$8,2,FALSE()),""))</f>
        <v/>
      </c>
      <c r="P205" s="9" t="str">
        <f aca="false">IF(OR(B205="",O205=""),"",IF(N205="",B205,N205)+O205)</f>
        <v/>
      </c>
      <c r="Q205" s="10"/>
      <c r="R205" s="8"/>
      <c r="S205" s="7" t="str">
        <f aca="false">IF(OR(B205="",R205=""),"",R205-B205)</f>
        <v/>
      </c>
      <c r="T205" s="7" t="str">
        <f aca="true">IF(OR(B205="",P205=""),"",IF(R205&lt;&gt;"",IF(R205&gt;P205,"Traité hors délai","Non"),IF(Q205="Classé sans suite","Non",IF(TODAY()&gt;P205,"OUI","Non"))))</f>
        <v/>
      </c>
      <c r="U205" s="11"/>
    </row>
    <row r="206" customFormat="false" ht="15" hidden="false" customHeight="false" outlineLevel="0" collapsed="false">
      <c r="A206" s="7" t="str">
        <f aca="false">IF(B206="","",YEAR(B206)&amp;"/"&amp;TEXT(ROW()-4,"0000"))</f>
        <v/>
      </c>
      <c r="B206" s="8"/>
      <c r="C206" s="7" t="str">
        <f aca="false">IF(B206="","",INT((B206-DATE(YEAR(B206-WEEKDAY(B206-1)+4),1,3)+WEEKDAY(DATE(YEAR(B206-WEEKDAY(B206-1)+4),1,3))+5)/7))</f>
        <v/>
      </c>
      <c r="D206" s="9" t="str">
        <f aca="false">IF(B206="","",B206-WEEKDAY(B206,2)+1)</f>
        <v/>
      </c>
      <c r="E206" s="10"/>
      <c r="F206" s="8"/>
      <c r="G206" s="11"/>
      <c r="H206" s="10"/>
      <c r="I206" s="11"/>
      <c r="J206" s="10"/>
      <c r="K206" s="10"/>
      <c r="L206" s="10"/>
      <c r="M206" s="11"/>
      <c r="N206" s="8"/>
      <c r="O206" s="7" t="str">
        <f aca="false">IF(L206="","",IFERROR(VLOOKUP(L206,Paramètres!$F$5:$G$8,2,FALSE()),""))</f>
        <v/>
      </c>
      <c r="P206" s="9" t="str">
        <f aca="false">IF(OR(B206="",O206=""),"",IF(N206="",B206,N206)+O206)</f>
        <v/>
      </c>
      <c r="Q206" s="10"/>
      <c r="R206" s="8"/>
      <c r="S206" s="7" t="str">
        <f aca="false">IF(OR(B206="",R206=""),"",R206-B206)</f>
        <v/>
      </c>
      <c r="T206" s="7" t="str">
        <f aca="true">IF(OR(B206="",P206=""),"",IF(R206&lt;&gt;"",IF(R206&gt;P206,"Traité hors délai","Non"),IF(Q206="Classé sans suite","Non",IF(TODAY()&gt;P206,"OUI","Non"))))</f>
        <v/>
      </c>
      <c r="U206" s="11"/>
    </row>
    <row r="207" customFormat="false" ht="15" hidden="false" customHeight="false" outlineLevel="0" collapsed="false">
      <c r="A207" s="7" t="str">
        <f aca="false">IF(B207="","",YEAR(B207)&amp;"/"&amp;TEXT(ROW()-4,"0000"))</f>
        <v/>
      </c>
      <c r="B207" s="8"/>
      <c r="C207" s="7" t="str">
        <f aca="false">IF(B207="","",INT((B207-DATE(YEAR(B207-WEEKDAY(B207-1)+4),1,3)+WEEKDAY(DATE(YEAR(B207-WEEKDAY(B207-1)+4),1,3))+5)/7))</f>
        <v/>
      </c>
      <c r="D207" s="9" t="str">
        <f aca="false">IF(B207="","",B207-WEEKDAY(B207,2)+1)</f>
        <v/>
      </c>
      <c r="E207" s="10"/>
      <c r="F207" s="8"/>
      <c r="G207" s="11"/>
      <c r="H207" s="10"/>
      <c r="I207" s="11"/>
      <c r="J207" s="10"/>
      <c r="K207" s="10"/>
      <c r="L207" s="10"/>
      <c r="M207" s="11"/>
      <c r="N207" s="8"/>
      <c r="O207" s="7" t="str">
        <f aca="false">IF(L207="","",IFERROR(VLOOKUP(L207,Paramètres!$F$5:$G$8,2,FALSE()),""))</f>
        <v/>
      </c>
      <c r="P207" s="9" t="str">
        <f aca="false">IF(OR(B207="",O207=""),"",IF(N207="",B207,N207)+O207)</f>
        <v/>
      </c>
      <c r="Q207" s="10"/>
      <c r="R207" s="8"/>
      <c r="S207" s="7" t="str">
        <f aca="false">IF(OR(B207="",R207=""),"",R207-B207)</f>
        <v/>
      </c>
      <c r="T207" s="7" t="str">
        <f aca="true">IF(OR(B207="",P207=""),"",IF(R207&lt;&gt;"",IF(R207&gt;P207,"Traité hors délai","Non"),IF(Q207="Classé sans suite","Non",IF(TODAY()&gt;P207,"OUI","Non"))))</f>
        <v/>
      </c>
      <c r="U207" s="11"/>
    </row>
    <row r="208" customFormat="false" ht="15" hidden="false" customHeight="false" outlineLevel="0" collapsed="false">
      <c r="A208" s="7" t="str">
        <f aca="false">IF(B208="","",YEAR(B208)&amp;"/"&amp;TEXT(ROW()-4,"0000"))</f>
        <v/>
      </c>
      <c r="B208" s="8"/>
      <c r="C208" s="7" t="str">
        <f aca="false">IF(B208="","",INT((B208-DATE(YEAR(B208-WEEKDAY(B208-1)+4),1,3)+WEEKDAY(DATE(YEAR(B208-WEEKDAY(B208-1)+4),1,3))+5)/7))</f>
        <v/>
      </c>
      <c r="D208" s="9" t="str">
        <f aca="false">IF(B208="","",B208-WEEKDAY(B208,2)+1)</f>
        <v/>
      </c>
      <c r="E208" s="10"/>
      <c r="F208" s="8"/>
      <c r="G208" s="11"/>
      <c r="H208" s="10"/>
      <c r="I208" s="11"/>
      <c r="J208" s="10"/>
      <c r="K208" s="10"/>
      <c r="L208" s="10"/>
      <c r="M208" s="11"/>
      <c r="N208" s="8"/>
      <c r="O208" s="7" t="str">
        <f aca="false">IF(L208="","",IFERROR(VLOOKUP(L208,Paramètres!$F$5:$G$8,2,FALSE()),""))</f>
        <v/>
      </c>
      <c r="P208" s="9" t="str">
        <f aca="false">IF(OR(B208="",O208=""),"",IF(N208="",B208,N208)+O208)</f>
        <v/>
      </c>
      <c r="Q208" s="10"/>
      <c r="R208" s="8"/>
      <c r="S208" s="7" t="str">
        <f aca="false">IF(OR(B208="",R208=""),"",R208-B208)</f>
        <v/>
      </c>
      <c r="T208" s="7" t="str">
        <f aca="true">IF(OR(B208="",P208=""),"",IF(R208&lt;&gt;"",IF(R208&gt;P208,"Traité hors délai","Non"),IF(Q208="Classé sans suite","Non",IF(TODAY()&gt;P208,"OUI","Non"))))</f>
        <v/>
      </c>
      <c r="U208" s="11"/>
    </row>
    <row r="209" customFormat="false" ht="15" hidden="false" customHeight="false" outlineLevel="0" collapsed="false">
      <c r="A209" s="7" t="str">
        <f aca="false">IF(B209="","",YEAR(B209)&amp;"/"&amp;TEXT(ROW()-4,"0000"))</f>
        <v/>
      </c>
      <c r="B209" s="8"/>
      <c r="C209" s="7" t="str">
        <f aca="false">IF(B209="","",INT((B209-DATE(YEAR(B209-WEEKDAY(B209-1)+4),1,3)+WEEKDAY(DATE(YEAR(B209-WEEKDAY(B209-1)+4),1,3))+5)/7))</f>
        <v/>
      </c>
      <c r="D209" s="9" t="str">
        <f aca="false">IF(B209="","",B209-WEEKDAY(B209,2)+1)</f>
        <v/>
      </c>
      <c r="E209" s="10"/>
      <c r="F209" s="8"/>
      <c r="G209" s="11"/>
      <c r="H209" s="10"/>
      <c r="I209" s="11"/>
      <c r="J209" s="10"/>
      <c r="K209" s="10"/>
      <c r="L209" s="10"/>
      <c r="M209" s="11"/>
      <c r="N209" s="8"/>
      <c r="O209" s="7" t="str">
        <f aca="false">IF(L209="","",IFERROR(VLOOKUP(L209,Paramètres!$F$5:$G$8,2,FALSE()),""))</f>
        <v/>
      </c>
      <c r="P209" s="9" t="str">
        <f aca="false">IF(OR(B209="",O209=""),"",IF(N209="",B209,N209)+O209)</f>
        <v/>
      </c>
      <c r="Q209" s="10"/>
      <c r="R209" s="8"/>
      <c r="S209" s="7" t="str">
        <f aca="false">IF(OR(B209="",R209=""),"",R209-B209)</f>
        <v/>
      </c>
      <c r="T209" s="7" t="str">
        <f aca="true">IF(OR(B209="",P209=""),"",IF(R209&lt;&gt;"",IF(R209&gt;P209,"Traité hors délai","Non"),IF(Q209="Classé sans suite","Non",IF(TODAY()&gt;P209,"OUI","Non"))))</f>
        <v/>
      </c>
      <c r="U209" s="11"/>
    </row>
    <row r="210" customFormat="false" ht="15" hidden="false" customHeight="false" outlineLevel="0" collapsed="false">
      <c r="A210" s="7" t="str">
        <f aca="false">IF(B210="","",YEAR(B210)&amp;"/"&amp;TEXT(ROW()-4,"0000"))</f>
        <v/>
      </c>
      <c r="B210" s="8"/>
      <c r="C210" s="7" t="str">
        <f aca="false">IF(B210="","",INT((B210-DATE(YEAR(B210-WEEKDAY(B210-1)+4),1,3)+WEEKDAY(DATE(YEAR(B210-WEEKDAY(B210-1)+4),1,3))+5)/7))</f>
        <v/>
      </c>
      <c r="D210" s="9" t="str">
        <f aca="false">IF(B210="","",B210-WEEKDAY(B210,2)+1)</f>
        <v/>
      </c>
      <c r="E210" s="10"/>
      <c r="F210" s="8"/>
      <c r="G210" s="11"/>
      <c r="H210" s="10"/>
      <c r="I210" s="11"/>
      <c r="J210" s="10"/>
      <c r="K210" s="10"/>
      <c r="L210" s="10"/>
      <c r="M210" s="11"/>
      <c r="N210" s="8"/>
      <c r="O210" s="7" t="str">
        <f aca="false">IF(L210="","",IFERROR(VLOOKUP(L210,Paramètres!$F$5:$G$8,2,FALSE()),""))</f>
        <v/>
      </c>
      <c r="P210" s="9" t="str">
        <f aca="false">IF(OR(B210="",O210=""),"",IF(N210="",B210,N210)+O210)</f>
        <v/>
      </c>
      <c r="Q210" s="10"/>
      <c r="R210" s="8"/>
      <c r="S210" s="7" t="str">
        <f aca="false">IF(OR(B210="",R210=""),"",R210-B210)</f>
        <v/>
      </c>
      <c r="T210" s="7" t="str">
        <f aca="true">IF(OR(B210="",P210=""),"",IF(R210&lt;&gt;"",IF(R210&gt;P210,"Traité hors délai","Non"),IF(Q210="Classé sans suite","Non",IF(TODAY()&gt;P210,"OUI","Non"))))</f>
        <v/>
      </c>
      <c r="U210" s="11"/>
    </row>
    <row r="211" customFormat="false" ht="15" hidden="false" customHeight="false" outlineLevel="0" collapsed="false">
      <c r="A211" s="7" t="str">
        <f aca="false">IF(B211="","",YEAR(B211)&amp;"/"&amp;TEXT(ROW()-4,"0000"))</f>
        <v/>
      </c>
      <c r="B211" s="8"/>
      <c r="C211" s="7" t="str">
        <f aca="false">IF(B211="","",INT((B211-DATE(YEAR(B211-WEEKDAY(B211-1)+4),1,3)+WEEKDAY(DATE(YEAR(B211-WEEKDAY(B211-1)+4),1,3))+5)/7))</f>
        <v/>
      </c>
      <c r="D211" s="9" t="str">
        <f aca="false">IF(B211="","",B211-WEEKDAY(B211,2)+1)</f>
        <v/>
      </c>
      <c r="E211" s="10"/>
      <c r="F211" s="8"/>
      <c r="G211" s="11"/>
      <c r="H211" s="10"/>
      <c r="I211" s="11"/>
      <c r="J211" s="10"/>
      <c r="K211" s="10"/>
      <c r="L211" s="10"/>
      <c r="M211" s="11"/>
      <c r="N211" s="8"/>
      <c r="O211" s="7" t="str">
        <f aca="false">IF(L211="","",IFERROR(VLOOKUP(L211,Paramètres!$F$5:$G$8,2,FALSE()),""))</f>
        <v/>
      </c>
      <c r="P211" s="9" t="str">
        <f aca="false">IF(OR(B211="",O211=""),"",IF(N211="",B211,N211)+O211)</f>
        <v/>
      </c>
      <c r="Q211" s="10"/>
      <c r="R211" s="8"/>
      <c r="S211" s="7" t="str">
        <f aca="false">IF(OR(B211="",R211=""),"",R211-B211)</f>
        <v/>
      </c>
      <c r="T211" s="7" t="str">
        <f aca="true">IF(OR(B211="",P211=""),"",IF(R211&lt;&gt;"",IF(R211&gt;P211,"Traité hors délai","Non"),IF(Q211="Classé sans suite","Non",IF(TODAY()&gt;P211,"OUI","Non"))))</f>
        <v/>
      </c>
      <c r="U211" s="11"/>
    </row>
    <row r="212" customFormat="false" ht="15" hidden="false" customHeight="false" outlineLevel="0" collapsed="false">
      <c r="A212" s="7" t="str">
        <f aca="false">IF(B212="","",YEAR(B212)&amp;"/"&amp;TEXT(ROW()-4,"0000"))</f>
        <v/>
      </c>
      <c r="B212" s="8"/>
      <c r="C212" s="7" t="str">
        <f aca="false">IF(B212="","",INT((B212-DATE(YEAR(B212-WEEKDAY(B212-1)+4),1,3)+WEEKDAY(DATE(YEAR(B212-WEEKDAY(B212-1)+4),1,3))+5)/7))</f>
        <v/>
      </c>
      <c r="D212" s="9" t="str">
        <f aca="false">IF(B212="","",B212-WEEKDAY(B212,2)+1)</f>
        <v/>
      </c>
      <c r="E212" s="10"/>
      <c r="F212" s="8"/>
      <c r="G212" s="11"/>
      <c r="H212" s="10"/>
      <c r="I212" s="11"/>
      <c r="J212" s="10"/>
      <c r="K212" s="10"/>
      <c r="L212" s="10"/>
      <c r="M212" s="11"/>
      <c r="N212" s="8"/>
      <c r="O212" s="7" t="str">
        <f aca="false">IF(L212="","",IFERROR(VLOOKUP(L212,Paramètres!$F$5:$G$8,2,FALSE()),""))</f>
        <v/>
      </c>
      <c r="P212" s="9" t="str">
        <f aca="false">IF(OR(B212="",O212=""),"",IF(N212="",B212,N212)+O212)</f>
        <v/>
      </c>
      <c r="Q212" s="10"/>
      <c r="R212" s="8"/>
      <c r="S212" s="7" t="str">
        <f aca="false">IF(OR(B212="",R212=""),"",R212-B212)</f>
        <v/>
      </c>
      <c r="T212" s="7" t="str">
        <f aca="true">IF(OR(B212="",P212=""),"",IF(R212&lt;&gt;"",IF(R212&gt;P212,"Traité hors délai","Non"),IF(Q212="Classé sans suite","Non",IF(TODAY()&gt;P212,"OUI","Non"))))</f>
        <v/>
      </c>
      <c r="U212" s="11"/>
    </row>
    <row r="213" customFormat="false" ht="15" hidden="false" customHeight="false" outlineLevel="0" collapsed="false">
      <c r="A213" s="7" t="str">
        <f aca="false">IF(B213="","",YEAR(B213)&amp;"/"&amp;TEXT(ROW()-4,"0000"))</f>
        <v/>
      </c>
      <c r="B213" s="8"/>
      <c r="C213" s="7" t="str">
        <f aca="false">IF(B213="","",INT((B213-DATE(YEAR(B213-WEEKDAY(B213-1)+4),1,3)+WEEKDAY(DATE(YEAR(B213-WEEKDAY(B213-1)+4),1,3))+5)/7))</f>
        <v/>
      </c>
      <c r="D213" s="9" t="str">
        <f aca="false">IF(B213="","",B213-WEEKDAY(B213,2)+1)</f>
        <v/>
      </c>
      <c r="E213" s="10"/>
      <c r="F213" s="8"/>
      <c r="G213" s="11"/>
      <c r="H213" s="10"/>
      <c r="I213" s="11"/>
      <c r="J213" s="10"/>
      <c r="K213" s="10"/>
      <c r="L213" s="10"/>
      <c r="M213" s="11"/>
      <c r="N213" s="8"/>
      <c r="O213" s="7" t="str">
        <f aca="false">IF(L213="","",IFERROR(VLOOKUP(L213,Paramètres!$F$5:$G$8,2,FALSE()),""))</f>
        <v/>
      </c>
      <c r="P213" s="9" t="str">
        <f aca="false">IF(OR(B213="",O213=""),"",IF(N213="",B213,N213)+O213)</f>
        <v/>
      </c>
      <c r="Q213" s="10"/>
      <c r="R213" s="8"/>
      <c r="S213" s="7" t="str">
        <f aca="false">IF(OR(B213="",R213=""),"",R213-B213)</f>
        <v/>
      </c>
      <c r="T213" s="7" t="str">
        <f aca="true">IF(OR(B213="",P213=""),"",IF(R213&lt;&gt;"",IF(R213&gt;P213,"Traité hors délai","Non"),IF(Q213="Classé sans suite","Non",IF(TODAY()&gt;P213,"OUI","Non"))))</f>
        <v/>
      </c>
      <c r="U213" s="11"/>
    </row>
    <row r="214" customFormat="false" ht="15" hidden="false" customHeight="false" outlineLevel="0" collapsed="false">
      <c r="A214" s="7" t="str">
        <f aca="false">IF(B214="","",YEAR(B214)&amp;"/"&amp;TEXT(ROW()-4,"0000"))</f>
        <v/>
      </c>
      <c r="B214" s="8"/>
      <c r="C214" s="7" t="str">
        <f aca="false">IF(B214="","",INT((B214-DATE(YEAR(B214-WEEKDAY(B214-1)+4),1,3)+WEEKDAY(DATE(YEAR(B214-WEEKDAY(B214-1)+4),1,3))+5)/7))</f>
        <v/>
      </c>
      <c r="D214" s="9" t="str">
        <f aca="false">IF(B214="","",B214-WEEKDAY(B214,2)+1)</f>
        <v/>
      </c>
      <c r="E214" s="10"/>
      <c r="F214" s="8"/>
      <c r="G214" s="11"/>
      <c r="H214" s="10"/>
      <c r="I214" s="11"/>
      <c r="J214" s="10"/>
      <c r="K214" s="10"/>
      <c r="L214" s="10"/>
      <c r="M214" s="11"/>
      <c r="N214" s="8"/>
      <c r="O214" s="7" t="str">
        <f aca="false">IF(L214="","",IFERROR(VLOOKUP(L214,Paramètres!$F$5:$G$8,2,FALSE()),""))</f>
        <v/>
      </c>
      <c r="P214" s="9" t="str">
        <f aca="false">IF(OR(B214="",O214=""),"",IF(N214="",B214,N214)+O214)</f>
        <v/>
      </c>
      <c r="Q214" s="10"/>
      <c r="R214" s="8"/>
      <c r="S214" s="7" t="str">
        <f aca="false">IF(OR(B214="",R214=""),"",R214-B214)</f>
        <v/>
      </c>
      <c r="T214" s="7" t="str">
        <f aca="true">IF(OR(B214="",P214=""),"",IF(R214&lt;&gt;"",IF(R214&gt;P214,"Traité hors délai","Non"),IF(Q214="Classé sans suite","Non",IF(TODAY()&gt;P214,"OUI","Non"))))</f>
        <v/>
      </c>
      <c r="U214" s="11"/>
    </row>
    <row r="215" customFormat="false" ht="15" hidden="false" customHeight="false" outlineLevel="0" collapsed="false">
      <c r="A215" s="7" t="str">
        <f aca="false">IF(B215="","",YEAR(B215)&amp;"/"&amp;TEXT(ROW()-4,"0000"))</f>
        <v/>
      </c>
      <c r="B215" s="8"/>
      <c r="C215" s="7" t="str">
        <f aca="false">IF(B215="","",INT((B215-DATE(YEAR(B215-WEEKDAY(B215-1)+4),1,3)+WEEKDAY(DATE(YEAR(B215-WEEKDAY(B215-1)+4),1,3))+5)/7))</f>
        <v/>
      </c>
      <c r="D215" s="9" t="str">
        <f aca="false">IF(B215="","",B215-WEEKDAY(B215,2)+1)</f>
        <v/>
      </c>
      <c r="E215" s="10"/>
      <c r="F215" s="8"/>
      <c r="G215" s="11"/>
      <c r="H215" s="10"/>
      <c r="I215" s="11"/>
      <c r="J215" s="10"/>
      <c r="K215" s="10"/>
      <c r="L215" s="10"/>
      <c r="M215" s="11"/>
      <c r="N215" s="8"/>
      <c r="O215" s="7" t="str">
        <f aca="false">IF(L215="","",IFERROR(VLOOKUP(L215,Paramètres!$F$5:$G$8,2,FALSE()),""))</f>
        <v/>
      </c>
      <c r="P215" s="9" t="str">
        <f aca="false">IF(OR(B215="",O215=""),"",IF(N215="",B215,N215)+O215)</f>
        <v/>
      </c>
      <c r="Q215" s="10"/>
      <c r="R215" s="8"/>
      <c r="S215" s="7" t="str">
        <f aca="false">IF(OR(B215="",R215=""),"",R215-B215)</f>
        <v/>
      </c>
      <c r="T215" s="7" t="str">
        <f aca="true">IF(OR(B215="",P215=""),"",IF(R215&lt;&gt;"",IF(R215&gt;P215,"Traité hors délai","Non"),IF(Q215="Classé sans suite","Non",IF(TODAY()&gt;P215,"OUI","Non"))))</f>
        <v/>
      </c>
      <c r="U215" s="11"/>
    </row>
    <row r="216" customFormat="false" ht="15" hidden="false" customHeight="false" outlineLevel="0" collapsed="false">
      <c r="A216" s="7" t="str">
        <f aca="false">IF(B216="","",YEAR(B216)&amp;"/"&amp;TEXT(ROW()-4,"0000"))</f>
        <v/>
      </c>
      <c r="B216" s="8"/>
      <c r="C216" s="7" t="str">
        <f aca="false">IF(B216="","",INT((B216-DATE(YEAR(B216-WEEKDAY(B216-1)+4),1,3)+WEEKDAY(DATE(YEAR(B216-WEEKDAY(B216-1)+4),1,3))+5)/7))</f>
        <v/>
      </c>
      <c r="D216" s="9" t="str">
        <f aca="false">IF(B216="","",B216-WEEKDAY(B216,2)+1)</f>
        <v/>
      </c>
      <c r="E216" s="10"/>
      <c r="F216" s="8"/>
      <c r="G216" s="11"/>
      <c r="H216" s="10"/>
      <c r="I216" s="11"/>
      <c r="J216" s="10"/>
      <c r="K216" s="10"/>
      <c r="L216" s="10"/>
      <c r="M216" s="11"/>
      <c r="N216" s="8"/>
      <c r="O216" s="7" t="str">
        <f aca="false">IF(L216="","",IFERROR(VLOOKUP(L216,Paramètres!$F$5:$G$8,2,FALSE()),""))</f>
        <v/>
      </c>
      <c r="P216" s="9" t="str">
        <f aca="false">IF(OR(B216="",O216=""),"",IF(N216="",B216,N216)+O216)</f>
        <v/>
      </c>
      <c r="Q216" s="10"/>
      <c r="R216" s="8"/>
      <c r="S216" s="7" t="str">
        <f aca="false">IF(OR(B216="",R216=""),"",R216-B216)</f>
        <v/>
      </c>
      <c r="T216" s="7" t="str">
        <f aca="true">IF(OR(B216="",P216=""),"",IF(R216&lt;&gt;"",IF(R216&gt;P216,"Traité hors délai","Non"),IF(Q216="Classé sans suite","Non",IF(TODAY()&gt;P216,"OUI","Non"))))</f>
        <v/>
      </c>
      <c r="U216" s="11"/>
    </row>
    <row r="217" customFormat="false" ht="15" hidden="false" customHeight="false" outlineLevel="0" collapsed="false">
      <c r="A217" s="7" t="str">
        <f aca="false">IF(B217="","",YEAR(B217)&amp;"/"&amp;TEXT(ROW()-4,"0000"))</f>
        <v/>
      </c>
      <c r="B217" s="8"/>
      <c r="C217" s="7" t="str">
        <f aca="false">IF(B217="","",INT((B217-DATE(YEAR(B217-WEEKDAY(B217-1)+4),1,3)+WEEKDAY(DATE(YEAR(B217-WEEKDAY(B217-1)+4),1,3))+5)/7))</f>
        <v/>
      </c>
      <c r="D217" s="9" t="str">
        <f aca="false">IF(B217="","",B217-WEEKDAY(B217,2)+1)</f>
        <v/>
      </c>
      <c r="E217" s="10"/>
      <c r="F217" s="8"/>
      <c r="G217" s="11"/>
      <c r="H217" s="10"/>
      <c r="I217" s="11"/>
      <c r="J217" s="10"/>
      <c r="K217" s="10"/>
      <c r="L217" s="10"/>
      <c r="M217" s="11"/>
      <c r="N217" s="8"/>
      <c r="O217" s="7" t="str">
        <f aca="false">IF(L217="","",IFERROR(VLOOKUP(L217,Paramètres!$F$5:$G$8,2,FALSE()),""))</f>
        <v/>
      </c>
      <c r="P217" s="9" t="str">
        <f aca="false">IF(OR(B217="",O217=""),"",IF(N217="",B217,N217)+O217)</f>
        <v/>
      </c>
      <c r="Q217" s="10"/>
      <c r="R217" s="8"/>
      <c r="S217" s="7" t="str">
        <f aca="false">IF(OR(B217="",R217=""),"",R217-B217)</f>
        <v/>
      </c>
      <c r="T217" s="7" t="str">
        <f aca="true">IF(OR(B217="",P217=""),"",IF(R217&lt;&gt;"",IF(R217&gt;P217,"Traité hors délai","Non"),IF(Q217="Classé sans suite","Non",IF(TODAY()&gt;P217,"OUI","Non"))))</f>
        <v/>
      </c>
      <c r="U217" s="11"/>
    </row>
    <row r="218" customFormat="false" ht="15" hidden="false" customHeight="false" outlineLevel="0" collapsed="false">
      <c r="A218" s="7" t="str">
        <f aca="false">IF(B218="","",YEAR(B218)&amp;"/"&amp;TEXT(ROW()-4,"0000"))</f>
        <v/>
      </c>
      <c r="B218" s="8"/>
      <c r="C218" s="7" t="str">
        <f aca="false">IF(B218="","",INT((B218-DATE(YEAR(B218-WEEKDAY(B218-1)+4),1,3)+WEEKDAY(DATE(YEAR(B218-WEEKDAY(B218-1)+4),1,3))+5)/7))</f>
        <v/>
      </c>
      <c r="D218" s="9" t="str">
        <f aca="false">IF(B218="","",B218-WEEKDAY(B218,2)+1)</f>
        <v/>
      </c>
      <c r="E218" s="10"/>
      <c r="F218" s="8"/>
      <c r="G218" s="11"/>
      <c r="H218" s="10"/>
      <c r="I218" s="11"/>
      <c r="J218" s="10"/>
      <c r="K218" s="10"/>
      <c r="L218" s="10"/>
      <c r="M218" s="11"/>
      <c r="N218" s="8"/>
      <c r="O218" s="7" t="str">
        <f aca="false">IF(L218="","",IFERROR(VLOOKUP(L218,Paramètres!$F$5:$G$8,2,FALSE()),""))</f>
        <v/>
      </c>
      <c r="P218" s="9" t="str">
        <f aca="false">IF(OR(B218="",O218=""),"",IF(N218="",B218,N218)+O218)</f>
        <v/>
      </c>
      <c r="Q218" s="10"/>
      <c r="R218" s="8"/>
      <c r="S218" s="7" t="str">
        <f aca="false">IF(OR(B218="",R218=""),"",R218-B218)</f>
        <v/>
      </c>
      <c r="T218" s="7" t="str">
        <f aca="true">IF(OR(B218="",P218=""),"",IF(R218&lt;&gt;"",IF(R218&gt;P218,"Traité hors délai","Non"),IF(Q218="Classé sans suite","Non",IF(TODAY()&gt;P218,"OUI","Non"))))</f>
        <v/>
      </c>
      <c r="U218" s="11"/>
    </row>
    <row r="219" customFormat="false" ht="15" hidden="false" customHeight="false" outlineLevel="0" collapsed="false">
      <c r="A219" s="7" t="str">
        <f aca="false">IF(B219="","",YEAR(B219)&amp;"/"&amp;TEXT(ROW()-4,"0000"))</f>
        <v/>
      </c>
      <c r="B219" s="8"/>
      <c r="C219" s="7" t="str">
        <f aca="false">IF(B219="","",INT((B219-DATE(YEAR(B219-WEEKDAY(B219-1)+4),1,3)+WEEKDAY(DATE(YEAR(B219-WEEKDAY(B219-1)+4),1,3))+5)/7))</f>
        <v/>
      </c>
      <c r="D219" s="9" t="str">
        <f aca="false">IF(B219="","",B219-WEEKDAY(B219,2)+1)</f>
        <v/>
      </c>
      <c r="E219" s="10"/>
      <c r="F219" s="8"/>
      <c r="G219" s="11"/>
      <c r="H219" s="10"/>
      <c r="I219" s="11"/>
      <c r="J219" s="10"/>
      <c r="K219" s="10"/>
      <c r="L219" s="10"/>
      <c r="M219" s="11"/>
      <c r="N219" s="8"/>
      <c r="O219" s="7" t="str">
        <f aca="false">IF(L219="","",IFERROR(VLOOKUP(L219,Paramètres!$F$5:$G$8,2,FALSE()),""))</f>
        <v/>
      </c>
      <c r="P219" s="9" t="str">
        <f aca="false">IF(OR(B219="",O219=""),"",IF(N219="",B219,N219)+O219)</f>
        <v/>
      </c>
      <c r="Q219" s="10"/>
      <c r="R219" s="8"/>
      <c r="S219" s="7" t="str">
        <f aca="false">IF(OR(B219="",R219=""),"",R219-B219)</f>
        <v/>
      </c>
      <c r="T219" s="7" t="str">
        <f aca="true">IF(OR(B219="",P219=""),"",IF(R219&lt;&gt;"",IF(R219&gt;P219,"Traité hors délai","Non"),IF(Q219="Classé sans suite","Non",IF(TODAY()&gt;P219,"OUI","Non"))))</f>
        <v/>
      </c>
      <c r="U219" s="11"/>
    </row>
    <row r="220" customFormat="false" ht="15" hidden="false" customHeight="false" outlineLevel="0" collapsed="false">
      <c r="A220" s="7" t="str">
        <f aca="false">IF(B220="","",YEAR(B220)&amp;"/"&amp;TEXT(ROW()-4,"0000"))</f>
        <v/>
      </c>
      <c r="B220" s="8"/>
      <c r="C220" s="7" t="str">
        <f aca="false">IF(B220="","",INT((B220-DATE(YEAR(B220-WEEKDAY(B220-1)+4),1,3)+WEEKDAY(DATE(YEAR(B220-WEEKDAY(B220-1)+4),1,3))+5)/7))</f>
        <v/>
      </c>
      <c r="D220" s="9" t="str">
        <f aca="false">IF(B220="","",B220-WEEKDAY(B220,2)+1)</f>
        <v/>
      </c>
      <c r="E220" s="10"/>
      <c r="F220" s="8"/>
      <c r="G220" s="11"/>
      <c r="H220" s="10"/>
      <c r="I220" s="11"/>
      <c r="J220" s="10"/>
      <c r="K220" s="10"/>
      <c r="L220" s="10"/>
      <c r="M220" s="11"/>
      <c r="N220" s="8"/>
      <c r="O220" s="7" t="str">
        <f aca="false">IF(L220="","",IFERROR(VLOOKUP(L220,Paramètres!$F$5:$G$8,2,FALSE()),""))</f>
        <v/>
      </c>
      <c r="P220" s="9" t="str">
        <f aca="false">IF(OR(B220="",O220=""),"",IF(N220="",B220,N220)+O220)</f>
        <v/>
      </c>
      <c r="Q220" s="10"/>
      <c r="R220" s="8"/>
      <c r="S220" s="7" t="str">
        <f aca="false">IF(OR(B220="",R220=""),"",R220-B220)</f>
        <v/>
      </c>
      <c r="T220" s="7" t="str">
        <f aca="true">IF(OR(B220="",P220=""),"",IF(R220&lt;&gt;"",IF(R220&gt;P220,"Traité hors délai","Non"),IF(Q220="Classé sans suite","Non",IF(TODAY()&gt;P220,"OUI","Non"))))</f>
        <v/>
      </c>
      <c r="U220" s="11"/>
    </row>
    <row r="221" customFormat="false" ht="15" hidden="false" customHeight="false" outlineLevel="0" collapsed="false">
      <c r="A221" s="7" t="str">
        <f aca="false">IF(B221="","",YEAR(B221)&amp;"/"&amp;TEXT(ROW()-4,"0000"))</f>
        <v/>
      </c>
      <c r="B221" s="8"/>
      <c r="C221" s="7" t="str">
        <f aca="false">IF(B221="","",INT((B221-DATE(YEAR(B221-WEEKDAY(B221-1)+4),1,3)+WEEKDAY(DATE(YEAR(B221-WEEKDAY(B221-1)+4),1,3))+5)/7))</f>
        <v/>
      </c>
      <c r="D221" s="9" t="str">
        <f aca="false">IF(B221="","",B221-WEEKDAY(B221,2)+1)</f>
        <v/>
      </c>
      <c r="E221" s="10"/>
      <c r="F221" s="8"/>
      <c r="G221" s="11"/>
      <c r="H221" s="10"/>
      <c r="I221" s="11"/>
      <c r="J221" s="10"/>
      <c r="K221" s="10"/>
      <c r="L221" s="10"/>
      <c r="M221" s="11"/>
      <c r="N221" s="8"/>
      <c r="O221" s="7" t="str">
        <f aca="false">IF(L221="","",IFERROR(VLOOKUP(L221,Paramètres!$F$5:$G$8,2,FALSE()),""))</f>
        <v/>
      </c>
      <c r="P221" s="9" t="str">
        <f aca="false">IF(OR(B221="",O221=""),"",IF(N221="",B221,N221)+O221)</f>
        <v/>
      </c>
      <c r="Q221" s="10"/>
      <c r="R221" s="8"/>
      <c r="S221" s="7" t="str">
        <f aca="false">IF(OR(B221="",R221=""),"",R221-B221)</f>
        <v/>
      </c>
      <c r="T221" s="7" t="str">
        <f aca="true">IF(OR(B221="",P221=""),"",IF(R221&lt;&gt;"",IF(R221&gt;P221,"Traité hors délai","Non"),IF(Q221="Classé sans suite","Non",IF(TODAY()&gt;P221,"OUI","Non"))))</f>
        <v/>
      </c>
      <c r="U221" s="11"/>
    </row>
    <row r="222" customFormat="false" ht="15" hidden="false" customHeight="false" outlineLevel="0" collapsed="false">
      <c r="A222" s="7" t="str">
        <f aca="false">IF(B222="","",YEAR(B222)&amp;"/"&amp;TEXT(ROW()-4,"0000"))</f>
        <v/>
      </c>
      <c r="B222" s="8"/>
      <c r="C222" s="7" t="str">
        <f aca="false">IF(B222="","",INT((B222-DATE(YEAR(B222-WEEKDAY(B222-1)+4),1,3)+WEEKDAY(DATE(YEAR(B222-WEEKDAY(B222-1)+4),1,3))+5)/7))</f>
        <v/>
      </c>
      <c r="D222" s="9" t="str">
        <f aca="false">IF(B222="","",B222-WEEKDAY(B222,2)+1)</f>
        <v/>
      </c>
      <c r="E222" s="10"/>
      <c r="F222" s="8"/>
      <c r="G222" s="11"/>
      <c r="H222" s="10"/>
      <c r="I222" s="11"/>
      <c r="J222" s="10"/>
      <c r="K222" s="10"/>
      <c r="L222" s="10"/>
      <c r="M222" s="11"/>
      <c r="N222" s="8"/>
      <c r="O222" s="7" t="str">
        <f aca="false">IF(L222="","",IFERROR(VLOOKUP(L222,Paramètres!$F$5:$G$8,2,FALSE()),""))</f>
        <v/>
      </c>
      <c r="P222" s="9" t="str">
        <f aca="false">IF(OR(B222="",O222=""),"",IF(N222="",B222,N222)+O222)</f>
        <v/>
      </c>
      <c r="Q222" s="10"/>
      <c r="R222" s="8"/>
      <c r="S222" s="7" t="str">
        <f aca="false">IF(OR(B222="",R222=""),"",R222-B222)</f>
        <v/>
      </c>
      <c r="T222" s="7" t="str">
        <f aca="true">IF(OR(B222="",P222=""),"",IF(R222&lt;&gt;"",IF(R222&gt;P222,"Traité hors délai","Non"),IF(Q222="Classé sans suite","Non",IF(TODAY()&gt;P222,"OUI","Non"))))</f>
        <v/>
      </c>
      <c r="U222" s="11"/>
    </row>
    <row r="223" customFormat="false" ht="15" hidden="false" customHeight="false" outlineLevel="0" collapsed="false">
      <c r="A223" s="7" t="str">
        <f aca="false">IF(B223="","",YEAR(B223)&amp;"/"&amp;TEXT(ROW()-4,"0000"))</f>
        <v/>
      </c>
      <c r="B223" s="8"/>
      <c r="C223" s="7" t="str">
        <f aca="false">IF(B223="","",INT((B223-DATE(YEAR(B223-WEEKDAY(B223-1)+4),1,3)+WEEKDAY(DATE(YEAR(B223-WEEKDAY(B223-1)+4),1,3))+5)/7))</f>
        <v/>
      </c>
      <c r="D223" s="9" t="str">
        <f aca="false">IF(B223="","",B223-WEEKDAY(B223,2)+1)</f>
        <v/>
      </c>
      <c r="E223" s="10"/>
      <c r="F223" s="8"/>
      <c r="G223" s="11"/>
      <c r="H223" s="10"/>
      <c r="I223" s="11"/>
      <c r="J223" s="10"/>
      <c r="K223" s="10"/>
      <c r="L223" s="10"/>
      <c r="M223" s="11"/>
      <c r="N223" s="8"/>
      <c r="O223" s="7" t="str">
        <f aca="false">IF(L223="","",IFERROR(VLOOKUP(L223,Paramètres!$F$5:$G$8,2,FALSE()),""))</f>
        <v/>
      </c>
      <c r="P223" s="9" t="str">
        <f aca="false">IF(OR(B223="",O223=""),"",IF(N223="",B223,N223)+O223)</f>
        <v/>
      </c>
      <c r="Q223" s="10"/>
      <c r="R223" s="8"/>
      <c r="S223" s="7" t="str">
        <f aca="false">IF(OR(B223="",R223=""),"",R223-B223)</f>
        <v/>
      </c>
      <c r="T223" s="7" t="str">
        <f aca="true">IF(OR(B223="",P223=""),"",IF(R223&lt;&gt;"",IF(R223&gt;P223,"Traité hors délai","Non"),IF(Q223="Classé sans suite","Non",IF(TODAY()&gt;P223,"OUI","Non"))))</f>
        <v/>
      </c>
      <c r="U223" s="11"/>
    </row>
    <row r="224" customFormat="false" ht="15" hidden="false" customHeight="false" outlineLevel="0" collapsed="false">
      <c r="A224" s="7" t="str">
        <f aca="false">IF(B224="","",YEAR(B224)&amp;"/"&amp;TEXT(ROW()-4,"0000"))</f>
        <v/>
      </c>
      <c r="B224" s="8"/>
      <c r="C224" s="7" t="str">
        <f aca="false">IF(B224="","",INT((B224-DATE(YEAR(B224-WEEKDAY(B224-1)+4),1,3)+WEEKDAY(DATE(YEAR(B224-WEEKDAY(B224-1)+4),1,3))+5)/7))</f>
        <v/>
      </c>
      <c r="D224" s="9" t="str">
        <f aca="false">IF(B224="","",B224-WEEKDAY(B224,2)+1)</f>
        <v/>
      </c>
      <c r="E224" s="10"/>
      <c r="F224" s="8"/>
      <c r="G224" s="11"/>
      <c r="H224" s="10"/>
      <c r="I224" s="11"/>
      <c r="J224" s="10"/>
      <c r="K224" s="10"/>
      <c r="L224" s="10"/>
      <c r="M224" s="11"/>
      <c r="N224" s="8"/>
      <c r="O224" s="7" t="str">
        <f aca="false">IF(L224="","",IFERROR(VLOOKUP(L224,Paramètres!$F$5:$G$8,2,FALSE()),""))</f>
        <v/>
      </c>
      <c r="P224" s="9" t="str">
        <f aca="false">IF(OR(B224="",O224=""),"",IF(N224="",B224,N224)+O224)</f>
        <v/>
      </c>
      <c r="Q224" s="10"/>
      <c r="R224" s="8"/>
      <c r="S224" s="7" t="str">
        <f aca="false">IF(OR(B224="",R224=""),"",R224-B224)</f>
        <v/>
      </c>
      <c r="T224" s="7" t="str">
        <f aca="true">IF(OR(B224="",P224=""),"",IF(R224&lt;&gt;"",IF(R224&gt;P224,"Traité hors délai","Non"),IF(Q224="Classé sans suite","Non",IF(TODAY()&gt;P224,"OUI","Non"))))</f>
        <v/>
      </c>
      <c r="U224" s="11"/>
    </row>
    <row r="225" customFormat="false" ht="15" hidden="false" customHeight="false" outlineLevel="0" collapsed="false">
      <c r="A225" s="7" t="str">
        <f aca="false">IF(B225="","",YEAR(B225)&amp;"/"&amp;TEXT(ROW()-4,"0000"))</f>
        <v/>
      </c>
      <c r="B225" s="8"/>
      <c r="C225" s="7" t="str">
        <f aca="false">IF(B225="","",INT((B225-DATE(YEAR(B225-WEEKDAY(B225-1)+4),1,3)+WEEKDAY(DATE(YEAR(B225-WEEKDAY(B225-1)+4),1,3))+5)/7))</f>
        <v/>
      </c>
      <c r="D225" s="9" t="str">
        <f aca="false">IF(B225="","",B225-WEEKDAY(B225,2)+1)</f>
        <v/>
      </c>
      <c r="E225" s="10"/>
      <c r="F225" s="8"/>
      <c r="G225" s="11"/>
      <c r="H225" s="10"/>
      <c r="I225" s="11"/>
      <c r="J225" s="10"/>
      <c r="K225" s="10"/>
      <c r="L225" s="10"/>
      <c r="M225" s="11"/>
      <c r="N225" s="8"/>
      <c r="O225" s="7" t="str">
        <f aca="false">IF(L225="","",IFERROR(VLOOKUP(L225,Paramètres!$F$5:$G$8,2,FALSE()),""))</f>
        <v/>
      </c>
      <c r="P225" s="9" t="str">
        <f aca="false">IF(OR(B225="",O225=""),"",IF(N225="",B225,N225)+O225)</f>
        <v/>
      </c>
      <c r="Q225" s="10"/>
      <c r="R225" s="8"/>
      <c r="S225" s="7" t="str">
        <f aca="false">IF(OR(B225="",R225=""),"",R225-B225)</f>
        <v/>
      </c>
      <c r="T225" s="7" t="str">
        <f aca="true">IF(OR(B225="",P225=""),"",IF(R225&lt;&gt;"",IF(R225&gt;P225,"Traité hors délai","Non"),IF(Q225="Classé sans suite","Non",IF(TODAY()&gt;P225,"OUI","Non"))))</f>
        <v/>
      </c>
      <c r="U225" s="11"/>
    </row>
    <row r="226" customFormat="false" ht="15" hidden="false" customHeight="false" outlineLevel="0" collapsed="false">
      <c r="A226" s="7" t="str">
        <f aca="false">IF(B226="","",YEAR(B226)&amp;"/"&amp;TEXT(ROW()-4,"0000"))</f>
        <v/>
      </c>
      <c r="B226" s="8"/>
      <c r="C226" s="7" t="str">
        <f aca="false">IF(B226="","",INT((B226-DATE(YEAR(B226-WEEKDAY(B226-1)+4),1,3)+WEEKDAY(DATE(YEAR(B226-WEEKDAY(B226-1)+4),1,3))+5)/7))</f>
        <v/>
      </c>
      <c r="D226" s="9" t="str">
        <f aca="false">IF(B226="","",B226-WEEKDAY(B226,2)+1)</f>
        <v/>
      </c>
      <c r="E226" s="10"/>
      <c r="F226" s="8"/>
      <c r="G226" s="11"/>
      <c r="H226" s="10"/>
      <c r="I226" s="11"/>
      <c r="J226" s="10"/>
      <c r="K226" s="10"/>
      <c r="L226" s="10"/>
      <c r="M226" s="11"/>
      <c r="N226" s="8"/>
      <c r="O226" s="7" t="str">
        <f aca="false">IF(L226="","",IFERROR(VLOOKUP(L226,Paramètres!$F$5:$G$8,2,FALSE()),""))</f>
        <v/>
      </c>
      <c r="P226" s="9" t="str">
        <f aca="false">IF(OR(B226="",O226=""),"",IF(N226="",B226,N226)+O226)</f>
        <v/>
      </c>
      <c r="Q226" s="10"/>
      <c r="R226" s="8"/>
      <c r="S226" s="7" t="str">
        <f aca="false">IF(OR(B226="",R226=""),"",R226-B226)</f>
        <v/>
      </c>
      <c r="T226" s="7" t="str">
        <f aca="true">IF(OR(B226="",P226=""),"",IF(R226&lt;&gt;"",IF(R226&gt;P226,"Traité hors délai","Non"),IF(Q226="Classé sans suite","Non",IF(TODAY()&gt;P226,"OUI","Non"))))</f>
        <v/>
      </c>
      <c r="U226" s="11"/>
    </row>
    <row r="227" customFormat="false" ht="15" hidden="false" customHeight="false" outlineLevel="0" collapsed="false">
      <c r="A227" s="7" t="str">
        <f aca="false">IF(B227="","",YEAR(B227)&amp;"/"&amp;TEXT(ROW()-4,"0000"))</f>
        <v/>
      </c>
      <c r="B227" s="8"/>
      <c r="C227" s="7" t="str">
        <f aca="false">IF(B227="","",INT((B227-DATE(YEAR(B227-WEEKDAY(B227-1)+4),1,3)+WEEKDAY(DATE(YEAR(B227-WEEKDAY(B227-1)+4),1,3))+5)/7))</f>
        <v/>
      </c>
      <c r="D227" s="9" t="str">
        <f aca="false">IF(B227="","",B227-WEEKDAY(B227,2)+1)</f>
        <v/>
      </c>
      <c r="E227" s="10"/>
      <c r="F227" s="8"/>
      <c r="G227" s="11"/>
      <c r="H227" s="10"/>
      <c r="I227" s="11"/>
      <c r="J227" s="10"/>
      <c r="K227" s="10"/>
      <c r="L227" s="10"/>
      <c r="M227" s="11"/>
      <c r="N227" s="8"/>
      <c r="O227" s="7" t="str">
        <f aca="false">IF(L227="","",IFERROR(VLOOKUP(L227,Paramètres!$F$5:$G$8,2,FALSE()),""))</f>
        <v/>
      </c>
      <c r="P227" s="9" t="str">
        <f aca="false">IF(OR(B227="",O227=""),"",IF(N227="",B227,N227)+O227)</f>
        <v/>
      </c>
      <c r="Q227" s="10"/>
      <c r="R227" s="8"/>
      <c r="S227" s="7" t="str">
        <f aca="false">IF(OR(B227="",R227=""),"",R227-B227)</f>
        <v/>
      </c>
      <c r="T227" s="7" t="str">
        <f aca="true">IF(OR(B227="",P227=""),"",IF(R227&lt;&gt;"",IF(R227&gt;P227,"Traité hors délai","Non"),IF(Q227="Classé sans suite","Non",IF(TODAY()&gt;P227,"OUI","Non"))))</f>
        <v/>
      </c>
      <c r="U227" s="11"/>
    </row>
    <row r="228" customFormat="false" ht="15" hidden="false" customHeight="false" outlineLevel="0" collapsed="false">
      <c r="A228" s="7" t="str">
        <f aca="false">IF(B228="","",YEAR(B228)&amp;"/"&amp;TEXT(ROW()-4,"0000"))</f>
        <v/>
      </c>
      <c r="B228" s="8"/>
      <c r="C228" s="7" t="str">
        <f aca="false">IF(B228="","",INT((B228-DATE(YEAR(B228-WEEKDAY(B228-1)+4),1,3)+WEEKDAY(DATE(YEAR(B228-WEEKDAY(B228-1)+4),1,3))+5)/7))</f>
        <v/>
      </c>
      <c r="D228" s="9" t="str">
        <f aca="false">IF(B228="","",B228-WEEKDAY(B228,2)+1)</f>
        <v/>
      </c>
      <c r="E228" s="10"/>
      <c r="F228" s="8"/>
      <c r="G228" s="11"/>
      <c r="H228" s="10"/>
      <c r="I228" s="11"/>
      <c r="J228" s="10"/>
      <c r="K228" s="10"/>
      <c r="L228" s="10"/>
      <c r="M228" s="11"/>
      <c r="N228" s="8"/>
      <c r="O228" s="7" t="str">
        <f aca="false">IF(L228="","",IFERROR(VLOOKUP(L228,Paramètres!$F$5:$G$8,2,FALSE()),""))</f>
        <v/>
      </c>
      <c r="P228" s="9" t="str">
        <f aca="false">IF(OR(B228="",O228=""),"",IF(N228="",B228,N228)+O228)</f>
        <v/>
      </c>
      <c r="Q228" s="10"/>
      <c r="R228" s="8"/>
      <c r="S228" s="7" t="str">
        <f aca="false">IF(OR(B228="",R228=""),"",R228-B228)</f>
        <v/>
      </c>
      <c r="T228" s="7" t="str">
        <f aca="true">IF(OR(B228="",P228=""),"",IF(R228&lt;&gt;"",IF(R228&gt;P228,"Traité hors délai","Non"),IF(Q228="Classé sans suite","Non",IF(TODAY()&gt;P228,"OUI","Non"))))</f>
        <v/>
      </c>
      <c r="U228" s="11"/>
    </row>
    <row r="229" customFormat="false" ht="15" hidden="false" customHeight="false" outlineLevel="0" collapsed="false">
      <c r="A229" s="7" t="str">
        <f aca="false">IF(B229="","",YEAR(B229)&amp;"/"&amp;TEXT(ROW()-4,"0000"))</f>
        <v/>
      </c>
      <c r="B229" s="8"/>
      <c r="C229" s="7" t="str">
        <f aca="false">IF(B229="","",INT((B229-DATE(YEAR(B229-WEEKDAY(B229-1)+4),1,3)+WEEKDAY(DATE(YEAR(B229-WEEKDAY(B229-1)+4),1,3))+5)/7))</f>
        <v/>
      </c>
      <c r="D229" s="9" t="str">
        <f aca="false">IF(B229="","",B229-WEEKDAY(B229,2)+1)</f>
        <v/>
      </c>
      <c r="E229" s="10"/>
      <c r="F229" s="8"/>
      <c r="G229" s="11"/>
      <c r="H229" s="10"/>
      <c r="I229" s="11"/>
      <c r="J229" s="10"/>
      <c r="K229" s="10"/>
      <c r="L229" s="10"/>
      <c r="M229" s="11"/>
      <c r="N229" s="8"/>
      <c r="O229" s="7" t="str">
        <f aca="false">IF(L229="","",IFERROR(VLOOKUP(L229,Paramètres!$F$5:$G$8,2,FALSE()),""))</f>
        <v/>
      </c>
      <c r="P229" s="9" t="str">
        <f aca="false">IF(OR(B229="",O229=""),"",IF(N229="",B229,N229)+O229)</f>
        <v/>
      </c>
      <c r="Q229" s="10"/>
      <c r="R229" s="8"/>
      <c r="S229" s="7" t="str">
        <f aca="false">IF(OR(B229="",R229=""),"",R229-B229)</f>
        <v/>
      </c>
      <c r="T229" s="7" t="str">
        <f aca="true">IF(OR(B229="",P229=""),"",IF(R229&lt;&gt;"",IF(R229&gt;P229,"Traité hors délai","Non"),IF(Q229="Classé sans suite","Non",IF(TODAY()&gt;P229,"OUI","Non"))))</f>
        <v/>
      </c>
      <c r="U229" s="11"/>
    </row>
    <row r="230" customFormat="false" ht="15" hidden="false" customHeight="false" outlineLevel="0" collapsed="false">
      <c r="A230" s="7" t="str">
        <f aca="false">IF(B230="","",YEAR(B230)&amp;"/"&amp;TEXT(ROW()-4,"0000"))</f>
        <v/>
      </c>
      <c r="B230" s="8"/>
      <c r="C230" s="7" t="str">
        <f aca="false">IF(B230="","",INT((B230-DATE(YEAR(B230-WEEKDAY(B230-1)+4),1,3)+WEEKDAY(DATE(YEAR(B230-WEEKDAY(B230-1)+4),1,3))+5)/7))</f>
        <v/>
      </c>
      <c r="D230" s="9" t="str">
        <f aca="false">IF(B230="","",B230-WEEKDAY(B230,2)+1)</f>
        <v/>
      </c>
      <c r="E230" s="10"/>
      <c r="F230" s="8"/>
      <c r="G230" s="11"/>
      <c r="H230" s="10"/>
      <c r="I230" s="11"/>
      <c r="J230" s="10"/>
      <c r="K230" s="10"/>
      <c r="L230" s="10"/>
      <c r="M230" s="11"/>
      <c r="N230" s="8"/>
      <c r="O230" s="7" t="str">
        <f aca="false">IF(L230="","",IFERROR(VLOOKUP(L230,Paramètres!$F$5:$G$8,2,FALSE()),""))</f>
        <v/>
      </c>
      <c r="P230" s="9" t="str">
        <f aca="false">IF(OR(B230="",O230=""),"",IF(N230="",B230,N230)+O230)</f>
        <v/>
      </c>
      <c r="Q230" s="10"/>
      <c r="R230" s="8"/>
      <c r="S230" s="7" t="str">
        <f aca="false">IF(OR(B230="",R230=""),"",R230-B230)</f>
        <v/>
      </c>
      <c r="T230" s="7" t="str">
        <f aca="true">IF(OR(B230="",P230=""),"",IF(R230&lt;&gt;"",IF(R230&gt;P230,"Traité hors délai","Non"),IF(Q230="Classé sans suite","Non",IF(TODAY()&gt;P230,"OUI","Non"))))</f>
        <v/>
      </c>
      <c r="U230" s="11"/>
    </row>
    <row r="231" customFormat="false" ht="15" hidden="false" customHeight="false" outlineLevel="0" collapsed="false">
      <c r="A231" s="7" t="str">
        <f aca="false">IF(B231="","",YEAR(B231)&amp;"/"&amp;TEXT(ROW()-4,"0000"))</f>
        <v/>
      </c>
      <c r="B231" s="8"/>
      <c r="C231" s="7" t="str">
        <f aca="false">IF(B231="","",INT((B231-DATE(YEAR(B231-WEEKDAY(B231-1)+4),1,3)+WEEKDAY(DATE(YEAR(B231-WEEKDAY(B231-1)+4),1,3))+5)/7))</f>
        <v/>
      </c>
      <c r="D231" s="9" t="str">
        <f aca="false">IF(B231="","",B231-WEEKDAY(B231,2)+1)</f>
        <v/>
      </c>
      <c r="E231" s="10"/>
      <c r="F231" s="8"/>
      <c r="G231" s="11"/>
      <c r="H231" s="10"/>
      <c r="I231" s="11"/>
      <c r="J231" s="10"/>
      <c r="K231" s="10"/>
      <c r="L231" s="10"/>
      <c r="M231" s="11"/>
      <c r="N231" s="8"/>
      <c r="O231" s="7" t="str">
        <f aca="false">IF(L231="","",IFERROR(VLOOKUP(L231,Paramètres!$F$5:$G$8,2,FALSE()),""))</f>
        <v/>
      </c>
      <c r="P231" s="9" t="str">
        <f aca="false">IF(OR(B231="",O231=""),"",IF(N231="",B231,N231)+O231)</f>
        <v/>
      </c>
      <c r="Q231" s="10"/>
      <c r="R231" s="8"/>
      <c r="S231" s="7" t="str">
        <f aca="false">IF(OR(B231="",R231=""),"",R231-B231)</f>
        <v/>
      </c>
      <c r="T231" s="7" t="str">
        <f aca="true">IF(OR(B231="",P231=""),"",IF(R231&lt;&gt;"",IF(R231&gt;P231,"Traité hors délai","Non"),IF(Q231="Classé sans suite","Non",IF(TODAY()&gt;P231,"OUI","Non"))))</f>
        <v/>
      </c>
      <c r="U231" s="11"/>
    </row>
    <row r="232" customFormat="false" ht="15" hidden="false" customHeight="false" outlineLevel="0" collapsed="false">
      <c r="A232" s="7" t="str">
        <f aca="false">IF(B232="","",YEAR(B232)&amp;"/"&amp;TEXT(ROW()-4,"0000"))</f>
        <v/>
      </c>
      <c r="B232" s="8"/>
      <c r="C232" s="7" t="str">
        <f aca="false">IF(B232="","",INT((B232-DATE(YEAR(B232-WEEKDAY(B232-1)+4),1,3)+WEEKDAY(DATE(YEAR(B232-WEEKDAY(B232-1)+4),1,3))+5)/7))</f>
        <v/>
      </c>
      <c r="D232" s="9" t="str">
        <f aca="false">IF(B232="","",B232-WEEKDAY(B232,2)+1)</f>
        <v/>
      </c>
      <c r="E232" s="10"/>
      <c r="F232" s="8"/>
      <c r="G232" s="11"/>
      <c r="H232" s="10"/>
      <c r="I232" s="11"/>
      <c r="J232" s="10"/>
      <c r="K232" s="10"/>
      <c r="L232" s="10"/>
      <c r="M232" s="11"/>
      <c r="N232" s="8"/>
      <c r="O232" s="7" t="str">
        <f aca="false">IF(L232="","",IFERROR(VLOOKUP(L232,Paramètres!$F$5:$G$8,2,FALSE()),""))</f>
        <v/>
      </c>
      <c r="P232" s="9" t="str">
        <f aca="false">IF(OR(B232="",O232=""),"",IF(N232="",B232,N232)+O232)</f>
        <v/>
      </c>
      <c r="Q232" s="10"/>
      <c r="R232" s="8"/>
      <c r="S232" s="7" t="str">
        <f aca="false">IF(OR(B232="",R232=""),"",R232-B232)</f>
        <v/>
      </c>
      <c r="T232" s="7" t="str">
        <f aca="true">IF(OR(B232="",P232=""),"",IF(R232&lt;&gt;"",IF(R232&gt;P232,"Traité hors délai","Non"),IF(Q232="Classé sans suite","Non",IF(TODAY()&gt;P232,"OUI","Non"))))</f>
        <v/>
      </c>
      <c r="U232" s="11"/>
    </row>
    <row r="233" customFormat="false" ht="15" hidden="false" customHeight="false" outlineLevel="0" collapsed="false">
      <c r="A233" s="7" t="str">
        <f aca="false">IF(B233="","",YEAR(B233)&amp;"/"&amp;TEXT(ROW()-4,"0000"))</f>
        <v/>
      </c>
      <c r="B233" s="8"/>
      <c r="C233" s="7" t="str">
        <f aca="false">IF(B233="","",INT((B233-DATE(YEAR(B233-WEEKDAY(B233-1)+4),1,3)+WEEKDAY(DATE(YEAR(B233-WEEKDAY(B233-1)+4),1,3))+5)/7))</f>
        <v/>
      </c>
      <c r="D233" s="9" t="str">
        <f aca="false">IF(B233="","",B233-WEEKDAY(B233,2)+1)</f>
        <v/>
      </c>
      <c r="E233" s="10"/>
      <c r="F233" s="8"/>
      <c r="G233" s="11"/>
      <c r="H233" s="10"/>
      <c r="I233" s="11"/>
      <c r="J233" s="10"/>
      <c r="K233" s="10"/>
      <c r="L233" s="10"/>
      <c r="M233" s="11"/>
      <c r="N233" s="8"/>
      <c r="O233" s="7" t="str">
        <f aca="false">IF(L233="","",IFERROR(VLOOKUP(L233,Paramètres!$F$5:$G$8,2,FALSE()),""))</f>
        <v/>
      </c>
      <c r="P233" s="9" t="str">
        <f aca="false">IF(OR(B233="",O233=""),"",IF(N233="",B233,N233)+O233)</f>
        <v/>
      </c>
      <c r="Q233" s="10"/>
      <c r="R233" s="8"/>
      <c r="S233" s="7" t="str">
        <f aca="false">IF(OR(B233="",R233=""),"",R233-B233)</f>
        <v/>
      </c>
      <c r="T233" s="7" t="str">
        <f aca="true">IF(OR(B233="",P233=""),"",IF(R233&lt;&gt;"",IF(R233&gt;P233,"Traité hors délai","Non"),IF(Q233="Classé sans suite","Non",IF(TODAY()&gt;P233,"OUI","Non"))))</f>
        <v/>
      </c>
      <c r="U233" s="11"/>
    </row>
    <row r="234" customFormat="false" ht="15" hidden="false" customHeight="false" outlineLevel="0" collapsed="false">
      <c r="A234" s="7" t="str">
        <f aca="false">IF(B234="","",YEAR(B234)&amp;"/"&amp;TEXT(ROW()-4,"0000"))</f>
        <v/>
      </c>
      <c r="B234" s="8"/>
      <c r="C234" s="7" t="str">
        <f aca="false">IF(B234="","",INT((B234-DATE(YEAR(B234-WEEKDAY(B234-1)+4),1,3)+WEEKDAY(DATE(YEAR(B234-WEEKDAY(B234-1)+4),1,3))+5)/7))</f>
        <v/>
      </c>
      <c r="D234" s="9" t="str">
        <f aca="false">IF(B234="","",B234-WEEKDAY(B234,2)+1)</f>
        <v/>
      </c>
      <c r="E234" s="10"/>
      <c r="F234" s="8"/>
      <c r="G234" s="11"/>
      <c r="H234" s="10"/>
      <c r="I234" s="11"/>
      <c r="J234" s="10"/>
      <c r="K234" s="10"/>
      <c r="L234" s="10"/>
      <c r="M234" s="11"/>
      <c r="N234" s="8"/>
      <c r="O234" s="7" t="str">
        <f aca="false">IF(L234="","",IFERROR(VLOOKUP(L234,Paramètres!$F$5:$G$8,2,FALSE()),""))</f>
        <v/>
      </c>
      <c r="P234" s="9" t="str">
        <f aca="false">IF(OR(B234="",O234=""),"",IF(N234="",B234,N234)+O234)</f>
        <v/>
      </c>
      <c r="Q234" s="10"/>
      <c r="R234" s="8"/>
      <c r="S234" s="7" t="str">
        <f aca="false">IF(OR(B234="",R234=""),"",R234-B234)</f>
        <v/>
      </c>
      <c r="T234" s="7" t="str">
        <f aca="true">IF(OR(B234="",P234=""),"",IF(R234&lt;&gt;"",IF(R234&gt;P234,"Traité hors délai","Non"),IF(Q234="Classé sans suite","Non",IF(TODAY()&gt;P234,"OUI","Non"))))</f>
        <v/>
      </c>
      <c r="U234" s="11"/>
    </row>
    <row r="235" customFormat="false" ht="15" hidden="false" customHeight="false" outlineLevel="0" collapsed="false">
      <c r="A235" s="7" t="str">
        <f aca="false">IF(B235="","",YEAR(B235)&amp;"/"&amp;TEXT(ROW()-4,"0000"))</f>
        <v/>
      </c>
      <c r="B235" s="8"/>
      <c r="C235" s="7" t="str">
        <f aca="false">IF(B235="","",INT((B235-DATE(YEAR(B235-WEEKDAY(B235-1)+4),1,3)+WEEKDAY(DATE(YEAR(B235-WEEKDAY(B235-1)+4),1,3))+5)/7))</f>
        <v/>
      </c>
      <c r="D235" s="9" t="str">
        <f aca="false">IF(B235="","",B235-WEEKDAY(B235,2)+1)</f>
        <v/>
      </c>
      <c r="E235" s="10"/>
      <c r="F235" s="8"/>
      <c r="G235" s="11"/>
      <c r="H235" s="10"/>
      <c r="I235" s="11"/>
      <c r="J235" s="10"/>
      <c r="K235" s="10"/>
      <c r="L235" s="10"/>
      <c r="M235" s="11"/>
      <c r="N235" s="8"/>
      <c r="O235" s="7" t="str">
        <f aca="false">IF(L235="","",IFERROR(VLOOKUP(L235,Paramètres!$F$5:$G$8,2,FALSE()),""))</f>
        <v/>
      </c>
      <c r="P235" s="9" t="str">
        <f aca="false">IF(OR(B235="",O235=""),"",IF(N235="",B235,N235)+O235)</f>
        <v/>
      </c>
      <c r="Q235" s="10"/>
      <c r="R235" s="8"/>
      <c r="S235" s="7" t="str">
        <f aca="false">IF(OR(B235="",R235=""),"",R235-B235)</f>
        <v/>
      </c>
      <c r="T235" s="7" t="str">
        <f aca="true">IF(OR(B235="",P235=""),"",IF(R235&lt;&gt;"",IF(R235&gt;P235,"Traité hors délai","Non"),IF(Q235="Classé sans suite","Non",IF(TODAY()&gt;P235,"OUI","Non"))))</f>
        <v/>
      </c>
      <c r="U235" s="11"/>
    </row>
    <row r="236" customFormat="false" ht="15" hidden="false" customHeight="false" outlineLevel="0" collapsed="false">
      <c r="A236" s="7" t="str">
        <f aca="false">IF(B236="","",YEAR(B236)&amp;"/"&amp;TEXT(ROW()-4,"0000"))</f>
        <v/>
      </c>
      <c r="B236" s="8"/>
      <c r="C236" s="7" t="str">
        <f aca="false">IF(B236="","",INT((B236-DATE(YEAR(B236-WEEKDAY(B236-1)+4),1,3)+WEEKDAY(DATE(YEAR(B236-WEEKDAY(B236-1)+4),1,3))+5)/7))</f>
        <v/>
      </c>
      <c r="D236" s="9" t="str">
        <f aca="false">IF(B236="","",B236-WEEKDAY(B236,2)+1)</f>
        <v/>
      </c>
      <c r="E236" s="10"/>
      <c r="F236" s="8"/>
      <c r="G236" s="11"/>
      <c r="H236" s="10"/>
      <c r="I236" s="11"/>
      <c r="J236" s="10"/>
      <c r="K236" s="10"/>
      <c r="L236" s="10"/>
      <c r="M236" s="11"/>
      <c r="N236" s="8"/>
      <c r="O236" s="7" t="str">
        <f aca="false">IF(L236="","",IFERROR(VLOOKUP(L236,Paramètres!$F$5:$G$8,2,FALSE()),""))</f>
        <v/>
      </c>
      <c r="P236" s="9" t="str">
        <f aca="false">IF(OR(B236="",O236=""),"",IF(N236="",B236,N236)+O236)</f>
        <v/>
      </c>
      <c r="Q236" s="10"/>
      <c r="R236" s="8"/>
      <c r="S236" s="7" t="str">
        <f aca="false">IF(OR(B236="",R236=""),"",R236-B236)</f>
        <v/>
      </c>
      <c r="T236" s="7" t="str">
        <f aca="true">IF(OR(B236="",P236=""),"",IF(R236&lt;&gt;"",IF(R236&gt;P236,"Traité hors délai","Non"),IF(Q236="Classé sans suite","Non",IF(TODAY()&gt;P236,"OUI","Non"))))</f>
        <v/>
      </c>
      <c r="U236" s="11"/>
    </row>
    <row r="237" customFormat="false" ht="15" hidden="false" customHeight="false" outlineLevel="0" collapsed="false">
      <c r="A237" s="7" t="str">
        <f aca="false">IF(B237="","",YEAR(B237)&amp;"/"&amp;TEXT(ROW()-4,"0000"))</f>
        <v/>
      </c>
      <c r="B237" s="8"/>
      <c r="C237" s="7" t="str">
        <f aca="false">IF(B237="","",INT((B237-DATE(YEAR(B237-WEEKDAY(B237-1)+4),1,3)+WEEKDAY(DATE(YEAR(B237-WEEKDAY(B237-1)+4),1,3))+5)/7))</f>
        <v/>
      </c>
      <c r="D237" s="9" t="str">
        <f aca="false">IF(B237="","",B237-WEEKDAY(B237,2)+1)</f>
        <v/>
      </c>
      <c r="E237" s="10"/>
      <c r="F237" s="8"/>
      <c r="G237" s="11"/>
      <c r="H237" s="10"/>
      <c r="I237" s="11"/>
      <c r="J237" s="10"/>
      <c r="K237" s="10"/>
      <c r="L237" s="10"/>
      <c r="M237" s="11"/>
      <c r="N237" s="8"/>
      <c r="O237" s="7" t="str">
        <f aca="false">IF(L237="","",IFERROR(VLOOKUP(L237,Paramètres!$F$5:$G$8,2,FALSE()),""))</f>
        <v/>
      </c>
      <c r="P237" s="9" t="str">
        <f aca="false">IF(OR(B237="",O237=""),"",IF(N237="",B237,N237)+O237)</f>
        <v/>
      </c>
      <c r="Q237" s="10"/>
      <c r="R237" s="8"/>
      <c r="S237" s="7" t="str">
        <f aca="false">IF(OR(B237="",R237=""),"",R237-B237)</f>
        <v/>
      </c>
      <c r="T237" s="7" t="str">
        <f aca="true">IF(OR(B237="",P237=""),"",IF(R237&lt;&gt;"",IF(R237&gt;P237,"Traité hors délai","Non"),IF(Q237="Classé sans suite","Non",IF(TODAY()&gt;P237,"OUI","Non"))))</f>
        <v/>
      </c>
      <c r="U237" s="11"/>
    </row>
    <row r="238" customFormat="false" ht="15" hidden="false" customHeight="false" outlineLevel="0" collapsed="false">
      <c r="A238" s="7" t="str">
        <f aca="false">IF(B238="","",YEAR(B238)&amp;"/"&amp;TEXT(ROW()-4,"0000"))</f>
        <v/>
      </c>
      <c r="B238" s="8"/>
      <c r="C238" s="7" t="str">
        <f aca="false">IF(B238="","",INT((B238-DATE(YEAR(B238-WEEKDAY(B238-1)+4),1,3)+WEEKDAY(DATE(YEAR(B238-WEEKDAY(B238-1)+4),1,3))+5)/7))</f>
        <v/>
      </c>
      <c r="D238" s="9" t="str">
        <f aca="false">IF(B238="","",B238-WEEKDAY(B238,2)+1)</f>
        <v/>
      </c>
      <c r="E238" s="10"/>
      <c r="F238" s="8"/>
      <c r="G238" s="11"/>
      <c r="H238" s="10"/>
      <c r="I238" s="11"/>
      <c r="J238" s="10"/>
      <c r="K238" s="10"/>
      <c r="L238" s="10"/>
      <c r="M238" s="11"/>
      <c r="N238" s="8"/>
      <c r="O238" s="7" t="str">
        <f aca="false">IF(L238="","",IFERROR(VLOOKUP(L238,Paramètres!$F$5:$G$8,2,FALSE()),""))</f>
        <v/>
      </c>
      <c r="P238" s="9" t="str">
        <f aca="false">IF(OR(B238="",O238=""),"",IF(N238="",B238,N238)+O238)</f>
        <v/>
      </c>
      <c r="Q238" s="10"/>
      <c r="R238" s="8"/>
      <c r="S238" s="7" t="str">
        <f aca="false">IF(OR(B238="",R238=""),"",R238-B238)</f>
        <v/>
      </c>
      <c r="T238" s="7" t="str">
        <f aca="true">IF(OR(B238="",P238=""),"",IF(R238&lt;&gt;"",IF(R238&gt;P238,"Traité hors délai","Non"),IF(Q238="Classé sans suite","Non",IF(TODAY()&gt;P238,"OUI","Non"))))</f>
        <v/>
      </c>
      <c r="U238" s="11"/>
    </row>
    <row r="239" customFormat="false" ht="15" hidden="false" customHeight="false" outlineLevel="0" collapsed="false">
      <c r="A239" s="7" t="str">
        <f aca="false">IF(B239="","",YEAR(B239)&amp;"/"&amp;TEXT(ROW()-4,"0000"))</f>
        <v/>
      </c>
      <c r="B239" s="8"/>
      <c r="C239" s="7" t="str">
        <f aca="false">IF(B239="","",INT((B239-DATE(YEAR(B239-WEEKDAY(B239-1)+4),1,3)+WEEKDAY(DATE(YEAR(B239-WEEKDAY(B239-1)+4),1,3))+5)/7))</f>
        <v/>
      </c>
      <c r="D239" s="9" t="str">
        <f aca="false">IF(B239="","",B239-WEEKDAY(B239,2)+1)</f>
        <v/>
      </c>
      <c r="E239" s="10"/>
      <c r="F239" s="8"/>
      <c r="G239" s="11"/>
      <c r="H239" s="10"/>
      <c r="I239" s="11"/>
      <c r="J239" s="10"/>
      <c r="K239" s="10"/>
      <c r="L239" s="10"/>
      <c r="M239" s="11"/>
      <c r="N239" s="8"/>
      <c r="O239" s="7" t="str">
        <f aca="false">IF(L239="","",IFERROR(VLOOKUP(L239,Paramètres!$F$5:$G$8,2,FALSE()),""))</f>
        <v/>
      </c>
      <c r="P239" s="9" t="str">
        <f aca="false">IF(OR(B239="",O239=""),"",IF(N239="",B239,N239)+O239)</f>
        <v/>
      </c>
      <c r="Q239" s="10"/>
      <c r="R239" s="8"/>
      <c r="S239" s="7" t="str">
        <f aca="false">IF(OR(B239="",R239=""),"",R239-B239)</f>
        <v/>
      </c>
      <c r="T239" s="7" t="str">
        <f aca="true">IF(OR(B239="",P239=""),"",IF(R239&lt;&gt;"",IF(R239&gt;P239,"Traité hors délai","Non"),IF(Q239="Classé sans suite","Non",IF(TODAY()&gt;P239,"OUI","Non"))))</f>
        <v/>
      </c>
      <c r="U239" s="11"/>
    </row>
    <row r="240" customFormat="false" ht="15" hidden="false" customHeight="false" outlineLevel="0" collapsed="false">
      <c r="A240" s="7" t="str">
        <f aca="false">IF(B240="","",YEAR(B240)&amp;"/"&amp;TEXT(ROW()-4,"0000"))</f>
        <v/>
      </c>
      <c r="B240" s="8"/>
      <c r="C240" s="7" t="str">
        <f aca="false">IF(B240="","",INT((B240-DATE(YEAR(B240-WEEKDAY(B240-1)+4),1,3)+WEEKDAY(DATE(YEAR(B240-WEEKDAY(B240-1)+4),1,3))+5)/7))</f>
        <v/>
      </c>
      <c r="D240" s="9" t="str">
        <f aca="false">IF(B240="","",B240-WEEKDAY(B240,2)+1)</f>
        <v/>
      </c>
      <c r="E240" s="10"/>
      <c r="F240" s="8"/>
      <c r="G240" s="11"/>
      <c r="H240" s="10"/>
      <c r="I240" s="11"/>
      <c r="J240" s="10"/>
      <c r="K240" s="10"/>
      <c r="L240" s="10"/>
      <c r="M240" s="11"/>
      <c r="N240" s="8"/>
      <c r="O240" s="7" t="str">
        <f aca="false">IF(L240="","",IFERROR(VLOOKUP(L240,Paramètres!$F$5:$G$8,2,FALSE()),""))</f>
        <v/>
      </c>
      <c r="P240" s="9" t="str">
        <f aca="false">IF(OR(B240="",O240=""),"",IF(N240="",B240,N240)+O240)</f>
        <v/>
      </c>
      <c r="Q240" s="10"/>
      <c r="R240" s="8"/>
      <c r="S240" s="7" t="str">
        <f aca="false">IF(OR(B240="",R240=""),"",R240-B240)</f>
        <v/>
      </c>
      <c r="T240" s="7" t="str">
        <f aca="true">IF(OR(B240="",P240=""),"",IF(R240&lt;&gt;"",IF(R240&gt;P240,"Traité hors délai","Non"),IF(Q240="Classé sans suite","Non",IF(TODAY()&gt;P240,"OUI","Non"))))</f>
        <v/>
      </c>
      <c r="U240" s="11"/>
    </row>
    <row r="241" customFormat="false" ht="15" hidden="false" customHeight="false" outlineLevel="0" collapsed="false">
      <c r="A241" s="7" t="str">
        <f aca="false">IF(B241="","",YEAR(B241)&amp;"/"&amp;TEXT(ROW()-4,"0000"))</f>
        <v/>
      </c>
      <c r="B241" s="8"/>
      <c r="C241" s="7" t="str">
        <f aca="false">IF(B241="","",INT((B241-DATE(YEAR(B241-WEEKDAY(B241-1)+4),1,3)+WEEKDAY(DATE(YEAR(B241-WEEKDAY(B241-1)+4),1,3))+5)/7))</f>
        <v/>
      </c>
      <c r="D241" s="9" t="str">
        <f aca="false">IF(B241="","",B241-WEEKDAY(B241,2)+1)</f>
        <v/>
      </c>
      <c r="E241" s="10"/>
      <c r="F241" s="8"/>
      <c r="G241" s="11"/>
      <c r="H241" s="10"/>
      <c r="I241" s="11"/>
      <c r="J241" s="10"/>
      <c r="K241" s="10"/>
      <c r="L241" s="10"/>
      <c r="M241" s="11"/>
      <c r="N241" s="8"/>
      <c r="O241" s="7" t="str">
        <f aca="false">IF(L241="","",IFERROR(VLOOKUP(L241,Paramètres!$F$5:$G$8,2,FALSE()),""))</f>
        <v/>
      </c>
      <c r="P241" s="9" t="str">
        <f aca="false">IF(OR(B241="",O241=""),"",IF(N241="",B241,N241)+O241)</f>
        <v/>
      </c>
      <c r="Q241" s="10"/>
      <c r="R241" s="8"/>
      <c r="S241" s="7" t="str">
        <f aca="false">IF(OR(B241="",R241=""),"",R241-B241)</f>
        <v/>
      </c>
      <c r="T241" s="7" t="str">
        <f aca="true">IF(OR(B241="",P241=""),"",IF(R241&lt;&gt;"",IF(R241&gt;P241,"Traité hors délai","Non"),IF(Q241="Classé sans suite","Non",IF(TODAY()&gt;P241,"OUI","Non"))))</f>
        <v/>
      </c>
      <c r="U241" s="11"/>
    </row>
    <row r="242" customFormat="false" ht="15" hidden="false" customHeight="false" outlineLevel="0" collapsed="false">
      <c r="A242" s="7" t="str">
        <f aca="false">IF(B242="","",YEAR(B242)&amp;"/"&amp;TEXT(ROW()-4,"0000"))</f>
        <v/>
      </c>
      <c r="B242" s="8"/>
      <c r="C242" s="7" t="str">
        <f aca="false">IF(B242="","",INT((B242-DATE(YEAR(B242-WEEKDAY(B242-1)+4),1,3)+WEEKDAY(DATE(YEAR(B242-WEEKDAY(B242-1)+4),1,3))+5)/7))</f>
        <v/>
      </c>
      <c r="D242" s="9" t="str">
        <f aca="false">IF(B242="","",B242-WEEKDAY(B242,2)+1)</f>
        <v/>
      </c>
      <c r="E242" s="10"/>
      <c r="F242" s="8"/>
      <c r="G242" s="11"/>
      <c r="H242" s="10"/>
      <c r="I242" s="11"/>
      <c r="J242" s="10"/>
      <c r="K242" s="10"/>
      <c r="L242" s="10"/>
      <c r="M242" s="11"/>
      <c r="N242" s="8"/>
      <c r="O242" s="7" t="str">
        <f aca="false">IF(L242="","",IFERROR(VLOOKUP(L242,Paramètres!$F$5:$G$8,2,FALSE()),""))</f>
        <v/>
      </c>
      <c r="P242" s="9" t="str">
        <f aca="false">IF(OR(B242="",O242=""),"",IF(N242="",B242,N242)+O242)</f>
        <v/>
      </c>
      <c r="Q242" s="10"/>
      <c r="R242" s="8"/>
      <c r="S242" s="7" t="str">
        <f aca="false">IF(OR(B242="",R242=""),"",R242-B242)</f>
        <v/>
      </c>
      <c r="T242" s="7" t="str">
        <f aca="true">IF(OR(B242="",P242=""),"",IF(R242&lt;&gt;"",IF(R242&gt;P242,"Traité hors délai","Non"),IF(Q242="Classé sans suite","Non",IF(TODAY()&gt;P242,"OUI","Non"))))</f>
        <v/>
      </c>
      <c r="U242" s="11"/>
    </row>
    <row r="243" customFormat="false" ht="15" hidden="false" customHeight="false" outlineLevel="0" collapsed="false">
      <c r="A243" s="7" t="str">
        <f aca="false">IF(B243="","",YEAR(B243)&amp;"/"&amp;TEXT(ROW()-4,"0000"))</f>
        <v/>
      </c>
      <c r="B243" s="8"/>
      <c r="C243" s="7" t="str">
        <f aca="false">IF(B243="","",INT((B243-DATE(YEAR(B243-WEEKDAY(B243-1)+4),1,3)+WEEKDAY(DATE(YEAR(B243-WEEKDAY(B243-1)+4),1,3))+5)/7))</f>
        <v/>
      </c>
      <c r="D243" s="9" t="str">
        <f aca="false">IF(B243="","",B243-WEEKDAY(B243,2)+1)</f>
        <v/>
      </c>
      <c r="E243" s="10"/>
      <c r="F243" s="8"/>
      <c r="G243" s="11"/>
      <c r="H243" s="10"/>
      <c r="I243" s="11"/>
      <c r="J243" s="10"/>
      <c r="K243" s="10"/>
      <c r="L243" s="10"/>
      <c r="M243" s="11"/>
      <c r="N243" s="8"/>
      <c r="O243" s="7" t="str">
        <f aca="false">IF(L243="","",IFERROR(VLOOKUP(L243,Paramètres!$F$5:$G$8,2,FALSE()),""))</f>
        <v/>
      </c>
      <c r="P243" s="9" t="str">
        <f aca="false">IF(OR(B243="",O243=""),"",IF(N243="",B243,N243)+O243)</f>
        <v/>
      </c>
      <c r="Q243" s="10"/>
      <c r="R243" s="8"/>
      <c r="S243" s="7" t="str">
        <f aca="false">IF(OR(B243="",R243=""),"",R243-B243)</f>
        <v/>
      </c>
      <c r="T243" s="7" t="str">
        <f aca="true">IF(OR(B243="",P243=""),"",IF(R243&lt;&gt;"",IF(R243&gt;P243,"Traité hors délai","Non"),IF(Q243="Classé sans suite","Non",IF(TODAY()&gt;P243,"OUI","Non"))))</f>
        <v/>
      </c>
      <c r="U243" s="11"/>
    </row>
    <row r="244" customFormat="false" ht="15" hidden="false" customHeight="false" outlineLevel="0" collapsed="false">
      <c r="A244" s="7" t="str">
        <f aca="false">IF(B244="","",YEAR(B244)&amp;"/"&amp;TEXT(ROW()-4,"0000"))</f>
        <v/>
      </c>
      <c r="B244" s="8"/>
      <c r="C244" s="7" t="str">
        <f aca="false">IF(B244="","",INT((B244-DATE(YEAR(B244-WEEKDAY(B244-1)+4),1,3)+WEEKDAY(DATE(YEAR(B244-WEEKDAY(B244-1)+4),1,3))+5)/7))</f>
        <v/>
      </c>
      <c r="D244" s="9" t="str">
        <f aca="false">IF(B244="","",B244-WEEKDAY(B244,2)+1)</f>
        <v/>
      </c>
      <c r="E244" s="10"/>
      <c r="F244" s="8"/>
      <c r="G244" s="11"/>
      <c r="H244" s="10"/>
      <c r="I244" s="11"/>
      <c r="J244" s="10"/>
      <c r="K244" s="10"/>
      <c r="L244" s="10"/>
      <c r="M244" s="11"/>
      <c r="N244" s="8"/>
      <c r="O244" s="7" t="str">
        <f aca="false">IF(L244="","",IFERROR(VLOOKUP(L244,Paramètres!$F$5:$G$8,2,FALSE()),""))</f>
        <v/>
      </c>
      <c r="P244" s="9" t="str">
        <f aca="false">IF(OR(B244="",O244=""),"",IF(N244="",B244,N244)+O244)</f>
        <v/>
      </c>
      <c r="Q244" s="10"/>
      <c r="R244" s="8"/>
      <c r="S244" s="7" t="str">
        <f aca="false">IF(OR(B244="",R244=""),"",R244-B244)</f>
        <v/>
      </c>
      <c r="T244" s="7" t="str">
        <f aca="true">IF(OR(B244="",P244=""),"",IF(R244&lt;&gt;"",IF(R244&gt;P244,"Traité hors délai","Non"),IF(Q244="Classé sans suite","Non",IF(TODAY()&gt;P244,"OUI","Non"))))</f>
        <v/>
      </c>
      <c r="U244" s="11"/>
    </row>
    <row r="245" customFormat="false" ht="15" hidden="false" customHeight="false" outlineLevel="0" collapsed="false">
      <c r="A245" s="7" t="str">
        <f aca="false">IF(B245="","",YEAR(B245)&amp;"/"&amp;TEXT(ROW()-4,"0000"))</f>
        <v/>
      </c>
      <c r="B245" s="8"/>
      <c r="C245" s="7" t="str">
        <f aca="false">IF(B245="","",INT((B245-DATE(YEAR(B245-WEEKDAY(B245-1)+4),1,3)+WEEKDAY(DATE(YEAR(B245-WEEKDAY(B245-1)+4),1,3))+5)/7))</f>
        <v/>
      </c>
      <c r="D245" s="9" t="str">
        <f aca="false">IF(B245="","",B245-WEEKDAY(B245,2)+1)</f>
        <v/>
      </c>
      <c r="E245" s="10"/>
      <c r="F245" s="8"/>
      <c r="G245" s="11"/>
      <c r="H245" s="10"/>
      <c r="I245" s="11"/>
      <c r="J245" s="10"/>
      <c r="K245" s="10"/>
      <c r="L245" s="10"/>
      <c r="M245" s="11"/>
      <c r="N245" s="8"/>
      <c r="O245" s="7" t="str">
        <f aca="false">IF(L245="","",IFERROR(VLOOKUP(L245,Paramètres!$F$5:$G$8,2,FALSE()),""))</f>
        <v/>
      </c>
      <c r="P245" s="9" t="str">
        <f aca="false">IF(OR(B245="",O245=""),"",IF(N245="",B245,N245)+O245)</f>
        <v/>
      </c>
      <c r="Q245" s="10"/>
      <c r="R245" s="8"/>
      <c r="S245" s="7" t="str">
        <f aca="false">IF(OR(B245="",R245=""),"",R245-B245)</f>
        <v/>
      </c>
      <c r="T245" s="7" t="str">
        <f aca="true">IF(OR(B245="",P245=""),"",IF(R245&lt;&gt;"",IF(R245&gt;P245,"Traité hors délai","Non"),IF(Q245="Classé sans suite","Non",IF(TODAY()&gt;P245,"OUI","Non"))))</f>
        <v/>
      </c>
      <c r="U245" s="11"/>
    </row>
    <row r="246" customFormat="false" ht="15" hidden="false" customHeight="false" outlineLevel="0" collapsed="false">
      <c r="A246" s="7" t="str">
        <f aca="false">IF(B246="","",YEAR(B246)&amp;"/"&amp;TEXT(ROW()-4,"0000"))</f>
        <v/>
      </c>
      <c r="B246" s="8"/>
      <c r="C246" s="7" t="str">
        <f aca="false">IF(B246="","",INT((B246-DATE(YEAR(B246-WEEKDAY(B246-1)+4),1,3)+WEEKDAY(DATE(YEAR(B246-WEEKDAY(B246-1)+4),1,3))+5)/7))</f>
        <v/>
      </c>
      <c r="D246" s="9" t="str">
        <f aca="false">IF(B246="","",B246-WEEKDAY(B246,2)+1)</f>
        <v/>
      </c>
      <c r="E246" s="10"/>
      <c r="F246" s="8"/>
      <c r="G246" s="11"/>
      <c r="H246" s="10"/>
      <c r="I246" s="11"/>
      <c r="J246" s="10"/>
      <c r="K246" s="10"/>
      <c r="L246" s="10"/>
      <c r="M246" s="11"/>
      <c r="N246" s="8"/>
      <c r="O246" s="7" t="str">
        <f aca="false">IF(L246="","",IFERROR(VLOOKUP(L246,Paramètres!$F$5:$G$8,2,FALSE()),""))</f>
        <v/>
      </c>
      <c r="P246" s="9" t="str">
        <f aca="false">IF(OR(B246="",O246=""),"",IF(N246="",B246,N246)+O246)</f>
        <v/>
      </c>
      <c r="Q246" s="10"/>
      <c r="R246" s="8"/>
      <c r="S246" s="7" t="str">
        <f aca="false">IF(OR(B246="",R246=""),"",R246-B246)</f>
        <v/>
      </c>
      <c r="T246" s="7" t="str">
        <f aca="true">IF(OR(B246="",P246=""),"",IF(R246&lt;&gt;"",IF(R246&gt;P246,"Traité hors délai","Non"),IF(Q246="Classé sans suite","Non",IF(TODAY()&gt;P246,"OUI","Non"))))</f>
        <v/>
      </c>
      <c r="U246" s="11"/>
    </row>
    <row r="247" customFormat="false" ht="15" hidden="false" customHeight="false" outlineLevel="0" collapsed="false">
      <c r="A247" s="7" t="str">
        <f aca="false">IF(B247="","",YEAR(B247)&amp;"/"&amp;TEXT(ROW()-4,"0000"))</f>
        <v/>
      </c>
      <c r="B247" s="8"/>
      <c r="C247" s="7" t="str">
        <f aca="false">IF(B247="","",INT((B247-DATE(YEAR(B247-WEEKDAY(B247-1)+4),1,3)+WEEKDAY(DATE(YEAR(B247-WEEKDAY(B247-1)+4),1,3))+5)/7))</f>
        <v/>
      </c>
      <c r="D247" s="9" t="str">
        <f aca="false">IF(B247="","",B247-WEEKDAY(B247,2)+1)</f>
        <v/>
      </c>
      <c r="E247" s="10"/>
      <c r="F247" s="8"/>
      <c r="G247" s="11"/>
      <c r="H247" s="10"/>
      <c r="I247" s="11"/>
      <c r="J247" s="10"/>
      <c r="K247" s="10"/>
      <c r="L247" s="10"/>
      <c r="M247" s="11"/>
      <c r="N247" s="8"/>
      <c r="O247" s="7" t="str">
        <f aca="false">IF(L247="","",IFERROR(VLOOKUP(L247,Paramètres!$F$5:$G$8,2,FALSE()),""))</f>
        <v/>
      </c>
      <c r="P247" s="9" t="str">
        <f aca="false">IF(OR(B247="",O247=""),"",IF(N247="",B247,N247)+O247)</f>
        <v/>
      </c>
      <c r="Q247" s="10"/>
      <c r="R247" s="8"/>
      <c r="S247" s="7" t="str">
        <f aca="false">IF(OR(B247="",R247=""),"",R247-B247)</f>
        <v/>
      </c>
      <c r="T247" s="7" t="str">
        <f aca="true">IF(OR(B247="",P247=""),"",IF(R247&lt;&gt;"",IF(R247&gt;P247,"Traité hors délai","Non"),IF(Q247="Classé sans suite","Non",IF(TODAY()&gt;P247,"OUI","Non"))))</f>
        <v/>
      </c>
      <c r="U247" s="11"/>
    </row>
    <row r="248" customFormat="false" ht="15" hidden="false" customHeight="false" outlineLevel="0" collapsed="false">
      <c r="A248" s="7" t="str">
        <f aca="false">IF(B248="","",YEAR(B248)&amp;"/"&amp;TEXT(ROW()-4,"0000"))</f>
        <v/>
      </c>
      <c r="B248" s="8"/>
      <c r="C248" s="7" t="str">
        <f aca="false">IF(B248="","",INT((B248-DATE(YEAR(B248-WEEKDAY(B248-1)+4),1,3)+WEEKDAY(DATE(YEAR(B248-WEEKDAY(B248-1)+4),1,3))+5)/7))</f>
        <v/>
      </c>
      <c r="D248" s="9" t="str">
        <f aca="false">IF(B248="","",B248-WEEKDAY(B248,2)+1)</f>
        <v/>
      </c>
      <c r="E248" s="10"/>
      <c r="F248" s="8"/>
      <c r="G248" s="11"/>
      <c r="H248" s="10"/>
      <c r="I248" s="11"/>
      <c r="J248" s="10"/>
      <c r="K248" s="10"/>
      <c r="L248" s="10"/>
      <c r="M248" s="11"/>
      <c r="N248" s="8"/>
      <c r="O248" s="7" t="str">
        <f aca="false">IF(L248="","",IFERROR(VLOOKUP(L248,Paramètres!$F$5:$G$8,2,FALSE()),""))</f>
        <v/>
      </c>
      <c r="P248" s="9" t="str">
        <f aca="false">IF(OR(B248="",O248=""),"",IF(N248="",B248,N248)+O248)</f>
        <v/>
      </c>
      <c r="Q248" s="10"/>
      <c r="R248" s="8"/>
      <c r="S248" s="7" t="str">
        <f aca="false">IF(OR(B248="",R248=""),"",R248-B248)</f>
        <v/>
      </c>
      <c r="T248" s="7" t="str">
        <f aca="true">IF(OR(B248="",P248=""),"",IF(R248&lt;&gt;"",IF(R248&gt;P248,"Traité hors délai","Non"),IF(Q248="Classé sans suite","Non",IF(TODAY()&gt;P248,"OUI","Non"))))</f>
        <v/>
      </c>
      <c r="U248" s="11"/>
    </row>
    <row r="249" customFormat="false" ht="15" hidden="false" customHeight="false" outlineLevel="0" collapsed="false">
      <c r="A249" s="7" t="str">
        <f aca="false">IF(B249="","",YEAR(B249)&amp;"/"&amp;TEXT(ROW()-4,"0000"))</f>
        <v/>
      </c>
      <c r="B249" s="8"/>
      <c r="C249" s="7" t="str">
        <f aca="false">IF(B249="","",INT((B249-DATE(YEAR(B249-WEEKDAY(B249-1)+4),1,3)+WEEKDAY(DATE(YEAR(B249-WEEKDAY(B249-1)+4),1,3))+5)/7))</f>
        <v/>
      </c>
      <c r="D249" s="9" t="str">
        <f aca="false">IF(B249="","",B249-WEEKDAY(B249,2)+1)</f>
        <v/>
      </c>
      <c r="E249" s="10"/>
      <c r="F249" s="8"/>
      <c r="G249" s="11"/>
      <c r="H249" s="10"/>
      <c r="I249" s="11"/>
      <c r="J249" s="10"/>
      <c r="K249" s="10"/>
      <c r="L249" s="10"/>
      <c r="M249" s="11"/>
      <c r="N249" s="8"/>
      <c r="O249" s="7" t="str">
        <f aca="false">IF(L249="","",IFERROR(VLOOKUP(L249,Paramètres!$F$5:$G$8,2,FALSE()),""))</f>
        <v/>
      </c>
      <c r="P249" s="9" t="str">
        <f aca="false">IF(OR(B249="",O249=""),"",IF(N249="",B249,N249)+O249)</f>
        <v/>
      </c>
      <c r="Q249" s="10"/>
      <c r="R249" s="8"/>
      <c r="S249" s="7" t="str">
        <f aca="false">IF(OR(B249="",R249=""),"",R249-B249)</f>
        <v/>
      </c>
      <c r="T249" s="7" t="str">
        <f aca="true">IF(OR(B249="",P249=""),"",IF(R249&lt;&gt;"",IF(R249&gt;P249,"Traité hors délai","Non"),IF(Q249="Classé sans suite","Non",IF(TODAY()&gt;P249,"OUI","Non"))))</f>
        <v/>
      </c>
      <c r="U249" s="11"/>
    </row>
    <row r="250" customFormat="false" ht="15" hidden="false" customHeight="false" outlineLevel="0" collapsed="false">
      <c r="A250" s="7" t="str">
        <f aca="false">IF(B250="","",YEAR(B250)&amp;"/"&amp;TEXT(ROW()-4,"0000"))</f>
        <v/>
      </c>
      <c r="B250" s="8"/>
      <c r="C250" s="7" t="str">
        <f aca="false">IF(B250="","",INT((B250-DATE(YEAR(B250-WEEKDAY(B250-1)+4),1,3)+WEEKDAY(DATE(YEAR(B250-WEEKDAY(B250-1)+4),1,3))+5)/7))</f>
        <v/>
      </c>
      <c r="D250" s="9" t="str">
        <f aca="false">IF(B250="","",B250-WEEKDAY(B250,2)+1)</f>
        <v/>
      </c>
      <c r="E250" s="10"/>
      <c r="F250" s="8"/>
      <c r="G250" s="11"/>
      <c r="H250" s="10"/>
      <c r="I250" s="11"/>
      <c r="J250" s="10"/>
      <c r="K250" s="10"/>
      <c r="L250" s="10"/>
      <c r="M250" s="11"/>
      <c r="N250" s="8"/>
      <c r="O250" s="7" t="str">
        <f aca="false">IF(L250="","",IFERROR(VLOOKUP(L250,Paramètres!$F$5:$G$8,2,FALSE()),""))</f>
        <v/>
      </c>
      <c r="P250" s="9" t="str">
        <f aca="false">IF(OR(B250="",O250=""),"",IF(N250="",B250,N250)+O250)</f>
        <v/>
      </c>
      <c r="Q250" s="10"/>
      <c r="R250" s="8"/>
      <c r="S250" s="7" t="str">
        <f aca="false">IF(OR(B250="",R250=""),"",R250-B250)</f>
        <v/>
      </c>
      <c r="T250" s="7" t="str">
        <f aca="true">IF(OR(B250="",P250=""),"",IF(R250&lt;&gt;"",IF(R250&gt;P250,"Traité hors délai","Non"),IF(Q250="Classé sans suite","Non",IF(TODAY()&gt;P250,"OUI","Non"))))</f>
        <v/>
      </c>
      <c r="U250" s="11"/>
    </row>
    <row r="251" customFormat="false" ht="15" hidden="false" customHeight="false" outlineLevel="0" collapsed="false">
      <c r="A251" s="7" t="str">
        <f aca="false">IF(B251="","",YEAR(B251)&amp;"/"&amp;TEXT(ROW()-4,"0000"))</f>
        <v/>
      </c>
      <c r="B251" s="8"/>
      <c r="C251" s="7" t="str">
        <f aca="false">IF(B251="","",INT((B251-DATE(YEAR(B251-WEEKDAY(B251-1)+4),1,3)+WEEKDAY(DATE(YEAR(B251-WEEKDAY(B251-1)+4),1,3))+5)/7))</f>
        <v/>
      </c>
      <c r="D251" s="9" t="str">
        <f aca="false">IF(B251="","",B251-WEEKDAY(B251,2)+1)</f>
        <v/>
      </c>
      <c r="E251" s="10"/>
      <c r="F251" s="8"/>
      <c r="G251" s="11"/>
      <c r="H251" s="10"/>
      <c r="I251" s="11"/>
      <c r="J251" s="10"/>
      <c r="K251" s="10"/>
      <c r="L251" s="10"/>
      <c r="M251" s="11"/>
      <c r="N251" s="8"/>
      <c r="O251" s="7" t="str">
        <f aca="false">IF(L251="","",IFERROR(VLOOKUP(L251,Paramètres!$F$5:$G$8,2,FALSE()),""))</f>
        <v/>
      </c>
      <c r="P251" s="9" t="str">
        <f aca="false">IF(OR(B251="",O251=""),"",IF(N251="",B251,N251)+O251)</f>
        <v/>
      </c>
      <c r="Q251" s="10"/>
      <c r="R251" s="8"/>
      <c r="S251" s="7" t="str">
        <f aca="false">IF(OR(B251="",R251=""),"",R251-B251)</f>
        <v/>
      </c>
      <c r="T251" s="7" t="str">
        <f aca="true">IF(OR(B251="",P251=""),"",IF(R251&lt;&gt;"",IF(R251&gt;P251,"Traité hors délai","Non"),IF(Q251="Classé sans suite","Non",IF(TODAY()&gt;P251,"OUI","Non"))))</f>
        <v/>
      </c>
      <c r="U251" s="11"/>
    </row>
    <row r="252" customFormat="false" ht="15" hidden="false" customHeight="false" outlineLevel="0" collapsed="false">
      <c r="A252" s="7" t="str">
        <f aca="false">IF(B252="","",YEAR(B252)&amp;"/"&amp;TEXT(ROW()-4,"0000"))</f>
        <v/>
      </c>
      <c r="B252" s="8"/>
      <c r="C252" s="7" t="str">
        <f aca="false">IF(B252="","",INT((B252-DATE(YEAR(B252-WEEKDAY(B252-1)+4),1,3)+WEEKDAY(DATE(YEAR(B252-WEEKDAY(B252-1)+4),1,3))+5)/7))</f>
        <v/>
      </c>
      <c r="D252" s="9" t="str">
        <f aca="false">IF(B252="","",B252-WEEKDAY(B252,2)+1)</f>
        <v/>
      </c>
      <c r="E252" s="10"/>
      <c r="F252" s="8"/>
      <c r="G252" s="11"/>
      <c r="H252" s="10"/>
      <c r="I252" s="11"/>
      <c r="J252" s="10"/>
      <c r="K252" s="10"/>
      <c r="L252" s="10"/>
      <c r="M252" s="11"/>
      <c r="N252" s="8"/>
      <c r="O252" s="7" t="str">
        <f aca="false">IF(L252="","",IFERROR(VLOOKUP(L252,Paramètres!$F$5:$G$8,2,FALSE()),""))</f>
        <v/>
      </c>
      <c r="P252" s="9" t="str">
        <f aca="false">IF(OR(B252="",O252=""),"",IF(N252="",B252,N252)+O252)</f>
        <v/>
      </c>
      <c r="Q252" s="10"/>
      <c r="R252" s="8"/>
      <c r="S252" s="7" t="str">
        <f aca="false">IF(OR(B252="",R252=""),"",R252-B252)</f>
        <v/>
      </c>
      <c r="T252" s="7" t="str">
        <f aca="true">IF(OR(B252="",P252=""),"",IF(R252&lt;&gt;"",IF(R252&gt;P252,"Traité hors délai","Non"),IF(Q252="Classé sans suite","Non",IF(TODAY()&gt;P252,"OUI","Non"))))</f>
        <v/>
      </c>
      <c r="U252" s="11"/>
    </row>
    <row r="253" customFormat="false" ht="15" hidden="false" customHeight="false" outlineLevel="0" collapsed="false">
      <c r="A253" s="7" t="str">
        <f aca="false">IF(B253="","",YEAR(B253)&amp;"/"&amp;TEXT(ROW()-4,"0000"))</f>
        <v/>
      </c>
      <c r="B253" s="8"/>
      <c r="C253" s="7" t="str">
        <f aca="false">IF(B253="","",INT((B253-DATE(YEAR(B253-WEEKDAY(B253-1)+4),1,3)+WEEKDAY(DATE(YEAR(B253-WEEKDAY(B253-1)+4),1,3))+5)/7))</f>
        <v/>
      </c>
      <c r="D253" s="9" t="str">
        <f aca="false">IF(B253="","",B253-WEEKDAY(B253,2)+1)</f>
        <v/>
      </c>
      <c r="E253" s="10"/>
      <c r="F253" s="8"/>
      <c r="G253" s="11"/>
      <c r="H253" s="10"/>
      <c r="I253" s="11"/>
      <c r="J253" s="10"/>
      <c r="K253" s="10"/>
      <c r="L253" s="10"/>
      <c r="M253" s="11"/>
      <c r="N253" s="8"/>
      <c r="O253" s="7" t="str">
        <f aca="false">IF(L253="","",IFERROR(VLOOKUP(L253,Paramètres!$F$5:$G$8,2,FALSE()),""))</f>
        <v/>
      </c>
      <c r="P253" s="9" t="str">
        <f aca="false">IF(OR(B253="",O253=""),"",IF(N253="",B253,N253)+O253)</f>
        <v/>
      </c>
      <c r="Q253" s="10"/>
      <c r="R253" s="8"/>
      <c r="S253" s="7" t="str">
        <f aca="false">IF(OR(B253="",R253=""),"",R253-B253)</f>
        <v/>
      </c>
      <c r="T253" s="7" t="str">
        <f aca="true">IF(OR(B253="",P253=""),"",IF(R253&lt;&gt;"",IF(R253&gt;P253,"Traité hors délai","Non"),IF(Q253="Classé sans suite","Non",IF(TODAY()&gt;P253,"OUI","Non"))))</f>
        <v/>
      </c>
      <c r="U253" s="11"/>
    </row>
    <row r="254" customFormat="false" ht="15" hidden="false" customHeight="false" outlineLevel="0" collapsed="false">
      <c r="A254" s="7" t="str">
        <f aca="false">IF(B254="","",YEAR(B254)&amp;"/"&amp;TEXT(ROW()-4,"0000"))</f>
        <v/>
      </c>
      <c r="B254" s="8"/>
      <c r="C254" s="7" t="str">
        <f aca="false">IF(B254="","",INT((B254-DATE(YEAR(B254-WEEKDAY(B254-1)+4),1,3)+WEEKDAY(DATE(YEAR(B254-WEEKDAY(B254-1)+4),1,3))+5)/7))</f>
        <v/>
      </c>
      <c r="D254" s="9" t="str">
        <f aca="false">IF(B254="","",B254-WEEKDAY(B254,2)+1)</f>
        <v/>
      </c>
      <c r="E254" s="10"/>
      <c r="F254" s="8"/>
      <c r="G254" s="11"/>
      <c r="H254" s="10"/>
      <c r="I254" s="11"/>
      <c r="J254" s="10"/>
      <c r="K254" s="10"/>
      <c r="L254" s="10"/>
      <c r="M254" s="11"/>
      <c r="N254" s="8"/>
      <c r="O254" s="7" t="str">
        <f aca="false">IF(L254="","",IFERROR(VLOOKUP(L254,Paramètres!$F$5:$G$8,2,FALSE()),""))</f>
        <v/>
      </c>
      <c r="P254" s="9" t="str">
        <f aca="false">IF(OR(B254="",O254=""),"",IF(N254="",B254,N254)+O254)</f>
        <v/>
      </c>
      <c r="Q254" s="10"/>
      <c r="R254" s="8"/>
      <c r="S254" s="7" t="str">
        <f aca="false">IF(OR(B254="",R254=""),"",R254-B254)</f>
        <v/>
      </c>
      <c r="T254" s="7" t="str">
        <f aca="true">IF(OR(B254="",P254=""),"",IF(R254&lt;&gt;"",IF(R254&gt;P254,"Traité hors délai","Non"),IF(Q254="Classé sans suite","Non",IF(TODAY()&gt;P254,"OUI","Non"))))</f>
        <v/>
      </c>
      <c r="U254" s="11"/>
    </row>
    <row r="255" customFormat="false" ht="15" hidden="false" customHeight="false" outlineLevel="0" collapsed="false">
      <c r="A255" s="7" t="str">
        <f aca="false">IF(B255="","",YEAR(B255)&amp;"/"&amp;TEXT(ROW()-4,"0000"))</f>
        <v/>
      </c>
      <c r="B255" s="8"/>
      <c r="C255" s="7" t="str">
        <f aca="false">IF(B255="","",INT((B255-DATE(YEAR(B255-WEEKDAY(B255-1)+4),1,3)+WEEKDAY(DATE(YEAR(B255-WEEKDAY(B255-1)+4),1,3))+5)/7))</f>
        <v/>
      </c>
      <c r="D255" s="9" t="str">
        <f aca="false">IF(B255="","",B255-WEEKDAY(B255,2)+1)</f>
        <v/>
      </c>
      <c r="E255" s="10"/>
      <c r="F255" s="8"/>
      <c r="G255" s="11"/>
      <c r="H255" s="10"/>
      <c r="I255" s="11"/>
      <c r="J255" s="10"/>
      <c r="K255" s="10"/>
      <c r="L255" s="10"/>
      <c r="M255" s="11"/>
      <c r="N255" s="8"/>
      <c r="O255" s="7" t="str">
        <f aca="false">IF(L255="","",IFERROR(VLOOKUP(L255,Paramètres!$F$5:$G$8,2,FALSE()),""))</f>
        <v/>
      </c>
      <c r="P255" s="9" t="str">
        <f aca="false">IF(OR(B255="",O255=""),"",IF(N255="",B255,N255)+O255)</f>
        <v/>
      </c>
      <c r="Q255" s="10"/>
      <c r="R255" s="8"/>
      <c r="S255" s="7" t="str">
        <f aca="false">IF(OR(B255="",R255=""),"",R255-B255)</f>
        <v/>
      </c>
      <c r="T255" s="7" t="str">
        <f aca="true">IF(OR(B255="",P255=""),"",IF(R255&lt;&gt;"",IF(R255&gt;P255,"Traité hors délai","Non"),IF(Q255="Classé sans suite","Non",IF(TODAY()&gt;P255,"OUI","Non"))))</f>
        <v/>
      </c>
      <c r="U255" s="11"/>
    </row>
    <row r="256" customFormat="false" ht="15" hidden="false" customHeight="false" outlineLevel="0" collapsed="false">
      <c r="A256" s="7" t="str">
        <f aca="false">IF(B256="","",YEAR(B256)&amp;"/"&amp;TEXT(ROW()-4,"0000"))</f>
        <v/>
      </c>
      <c r="B256" s="8"/>
      <c r="C256" s="7" t="str">
        <f aca="false">IF(B256="","",INT((B256-DATE(YEAR(B256-WEEKDAY(B256-1)+4),1,3)+WEEKDAY(DATE(YEAR(B256-WEEKDAY(B256-1)+4),1,3))+5)/7))</f>
        <v/>
      </c>
      <c r="D256" s="9" t="str">
        <f aca="false">IF(B256="","",B256-WEEKDAY(B256,2)+1)</f>
        <v/>
      </c>
      <c r="E256" s="10"/>
      <c r="F256" s="8"/>
      <c r="G256" s="11"/>
      <c r="H256" s="10"/>
      <c r="I256" s="11"/>
      <c r="J256" s="10"/>
      <c r="K256" s="10"/>
      <c r="L256" s="10"/>
      <c r="M256" s="11"/>
      <c r="N256" s="8"/>
      <c r="O256" s="7" t="str">
        <f aca="false">IF(L256="","",IFERROR(VLOOKUP(L256,Paramètres!$F$5:$G$8,2,FALSE()),""))</f>
        <v/>
      </c>
      <c r="P256" s="9" t="str">
        <f aca="false">IF(OR(B256="",O256=""),"",IF(N256="",B256,N256)+O256)</f>
        <v/>
      </c>
      <c r="Q256" s="10"/>
      <c r="R256" s="8"/>
      <c r="S256" s="7" t="str">
        <f aca="false">IF(OR(B256="",R256=""),"",R256-B256)</f>
        <v/>
      </c>
      <c r="T256" s="7" t="str">
        <f aca="true">IF(OR(B256="",P256=""),"",IF(R256&lt;&gt;"",IF(R256&gt;P256,"Traité hors délai","Non"),IF(Q256="Classé sans suite","Non",IF(TODAY()&gt;P256,"OUI","Non"))))</f>
        <v/>
      </c>
      <c r="U256" s="11"/>
    </row>
    <row r="257" customFormat="false" ht="15" hidden="false" customHeight="false" outlineLevel="0" collapsed="false">
      <c r="A257" s="7" t="str">
        <f aca="false">IF(B257="","",YEAR(B257)&amp;"/"&amp;TEXT(ROW()-4,"0000"))</f>
        <v/>
      </c>
      <c r="B257" s="8"/>
      <c r="C257" s="7" t="str">
        <f aca="false">IF(B257="","",INT((B257-DATE(YEAR(B257-WEEKDAY(B257-1)+4),1,3)+WEEKDAY(DATE(YEAR(B257-WEEKDAY(B257-1)+4),1,3))+5)/7))</f>
        <v/>
      </c>
      <c r="D257" s="9" t="str">
        <f aca="false">IF(B257="","",B257-WEEKDAY(B257,2)+1)</f>
        <v/>
      </c>
      <c r="E257" s="10"/>
      <c r="F257" s="8"/>
      <c r="G257" s="11"/>
      <c r="H257" s="10"/>
      <c r="I257" s="11"/>
      <c r="J257" s="10"/>
      <c r="K257" s="10"/>
      <c r="L257" s="10"/>
      <c r="M257" s="11"/>
      <c r="N257" s="8"/>
      <c r="O257" s="7" t="str">
        <f aca="false">IF(L257="","",IFERROR(VLOOKUP(L257,Paramètres!$F$5:$G$8,2,FALSE()),""))</f>
        <v/>
      </c>
      <c r="P257" s="9" t="str">
        <f aca="false">IF(OR(B257="",O257=""),"",IF(N257="",B257,N257)+O257)</f>
        <v/>
      </c>
      <c r="Q257" s="10"/>
      <c r="R257" s="8"/>
      <c r="S257" s="7" t="str">
        <f aca="false">IF(OR(B257="",R257=""),"",R257-B257)</f>
        <v/>
      </c>
      <c r="T257" s="7" t="str">
        <f aca="true">IF(OR(B257="",P257=""),"",IF(R257&lt;&gt;"",IF(R257&gt;P257,"Traité hors délai","Non"),IF(Q257="Classé sans suite","Non",IF(TODAY()&gt;P257,"OUI","Non"))))</f>
        <v/>
      </c>
      <c r="U257" s="11"/>
    </row>
    <row r="258" customFormat="false" ht="15" hidden="false" customHeight="false" outlineLevel="0" collapsed="false">
      <c r="A258" s="7" t="str">
        <f aca="false">IF(B258="","",YEAR(B258)&amp;"/"&amp;TEXT(ROW()-4,"0000"))</f>
        <v/>
      </c>
      <c r="B258" s="8"/>
      <c r="C258" s="7" t="str">
        <f aca="false">IF(B258="","",INT((B258-DATE(YEAR(B258-WEEKDAY(B258-1)+4),1,3)+WEEKDAY(DATE(YEAR(B258-WEEKDAY(B258-1)+4),1,3))+5)/7))</f>
        <v/>
      </c>
      <c r="D258" s="9" t="str">
        <f aca="false">IF(B258="","",B258-WEEKDAY(B258,2)+1)</f>
        <v/>
      </c>
      <c r="E258" s="10"/>
      <c r="F258" s="8"/>
      <c r="G258" s="11"/>
      <c r="H258" s="10"/>
      <c r="I258" s="11"/>
      <c r="J258" s="10"/>
      <c r="K258" s="10"/>
      <c r="L258" s="10"/>
      <c r="M258" s="11"/>
      <c r="N258" s="8"/>
      <c r="O258" s="7" t="str">
        <f aca="false">IF(L258="","",IFERROR(VLOOKUP(L258,Paramètres!$F$5:$G$8,2,FALSE()),""))</f>
        <v/>
      </c>
      <c r="P258" s="9" t="str">
        <f aca="false">IF(OR(B258="",O258=""),"",IF(N258="",B258,N258)+O258)</f>
        <v/>
      </c>
      <c r="Q258" s="10"/>
      <c r="R258" s="8"/>
      <c r="S258" s="7" t="str">
        <f aca="false">IF(OR(B258="",R258=""),"",R258-B258)</f>
        <v/>
      </c>
      <c r="T258" s="7" t="str">
        <f aca="true">IF(OR(B258="",P258=""),"",IF(R258&lt;&gt;"",IF(R258&gt;P258,"Traité hors délai","Non"),IF(Q258="Classé sans suite","Non",IF(TODAY()&gt;P258,"OUI","Non"))))</f>
        <v/>
      </c>
      <c r="U258" s="11"/>
    </row>
    <row r="259" customFormat="false" ht="15" hidden="false" customHeight="false" outlineLevel="0" collapsed="false">
      <c r="A259" s="7" t="str">
        <f aca="false">IF(B259="","",YEAR(B259)&amp;"/"&amp;TEXT(ROW()-4,"0000"))</f>
        <v/>
      </c>
      <c r="B259" s="8"/>
      <c r="C259" s="7" t="str">
        <f aca="false">IF(B259="","",INT((B259-DATE(YEAR(B259-WEEKDAY(B259-1)+4),1,3)+WEEKDAY(DATE(YEAR(B259-WEEKDAY(B259-1)+4),1,3))+5)/7))</f>
        <v/>
      </c>
      <c r="D259" s="9" t="str">
        <f aca="false">IF(B259="","",B259-WEEKDAY(B259,2)+1)</f>
        <v/>
      </c>
      <c r="E259" s="10"/>
      <c r="F259" s="8"/>
      <c r="G259" s="11"/>
      <c r="H259" s="10"/>
      <c r="I259" s="11"/>
      <c r="J259" s="10"/>
      <c r="K259" s="10"/>
      <c r="L259" s="10"/>
      <c r="M259" s="11"/>
      <c r="N259" s="8"/>
      <c r="O259" s="7" t="str">
        <f aca="false">IF(L259="","",IFERROR(VLOOKUP(L259,Paramètres!$F$5:$G$8,2,FALSE()),""))</f>
        <v/>
      </c>
      <c r="P259" s="9" t="str">
        <f aca="false">IF(OR(B259="",O259=""),"",IF(N259="",B259,N259)+O259)</f>
        <v/>
      </c>
      <c r="Q259" s="10"/>
      <c r="R259" s="8"/>
      <c r="S259" s="7" t="str">
        <f aca="false">IF(OR(B259="",R259=""),"",R259-B259)</f>
        <v/>
      </c>
      <c r="T259" s="7" t="str">
        <f aca="true">IF(OR(B259="",P259=""),"",IF(R259&lt;&gt;"",IF(R259&gt;P259,"Traité hors délai","Non"),IF(Q259="Classé sans suite","Non",IF(TODAY()&gt;P259,"OUI","Non"))))</f>
        <v/>
      </c>
      <c r="U259" s="11"/>
    </row>
    <row r="260" customFormat="false" ht="15" hidden="false" customHeight="false" outlineLevel="0" collapsed="false">
      <c r="A260" s="7" t="str">
        <f aca="false">IF(B260="","",YEAR(B260)&amp;"/"&amp;TEXT(ROW()-4,"0000"))</f>
        <v/>
      </c>
      <c r="B260" s="8"/>
      <c r="C260" s="7" t="str">
        <f aca="false">IF(B260="","",INT((B260-DATE(YEAR(B260-WEEKDAY(B260-1)+4),1,3)+WEEKDAY(DATE(YEAR(B260-WEEKDAY(B260-1)+4),1,3))+5)/7))</f>
        <v/>
      </c>
      <c r="D260" s="9" t="str">
        <f aca="false">IF(B260="","",B260-WEEKDAY(B260,2)+1)</f>
        <v/>
      </c>
      <c r="E260" s="10"/>
      <c r="F260" s="8"/>
      <c r="G260" s="11"/>
      <c r="H260" s="10"/>
      <c r="I260" s="11"/>
      <c r="J260" s="10"/>
      <c r="K260" s="10"/>
      <c r="L260" s="10"/>
      <c r="M260" s="11"/>
      <c r="N260" s="8"/>
      <c r="O260" s="7" t="str">
        <f aca="false">IF(L260="","",IFERROR(VLOOKUP(L260,Paramètres!$F$5:$G$8,2,FALSE()),""))</f>
        <v/>
      </c>
      <c r="P260" s="9" t="str">
        <f aca="false">IF(OR(B260="",O260=""),"",IF(N260="",B260,N260)+O260)</f>
        <v/>
      </c>
      <c r="Q260" s="10"/>
      <c r="R260" s="8"/>
      <c r="S260" s="7" t="str">
        <f aca="false">IF(OR(B260="",R260=""),"",R260-B260)</f>
        <v/>
      </c>
      <c r="T260" s="7" t="str">
        <f aca="true">IF(OR(B260="",P260=""),"",IF(R260&lt;&gt;"",IF(R260&gt;P260,"Traité hors délai","Non"),IF(Q260="Classé sans suite","Non",IF(TODAY()&gt;P260,"OUI","Non"))))</f>
        <v/>
      </c>
      <c r="U260" s="11"/>
    </row>
    <row r="261" customFormat="false" ht="15" hidden="false" customHeight="false" outlineLevel="0" collapsed="false">
      <c r="A261" s="7" t="str">
        <f aca="false">IF(B261="","",YEAR(B261)&amp;"/"&amp;TEXT(ROW()-4,"0000"))</f>
        <v/>
      </c>
      <c r="B261" s="8"/>
      <c r="C261" s="7" t="str">
        <f aca="false">IF(B261="","",INT((B261-DATE(YEAR(B261-WEEKDAY(B261-1)+4),1,3)+WEEKDAY(DATE(YEAR(B261-WEEKDAY(B261-1)+4),1,3))+5)/7))</f>
        <v/>
      </c>
      <c r="D261" s="9" t="str">
        <f aca="false">IF(B261="","",B261-WEEKDAY(B261,2)+1)</f>
        <v/>
      </c>
      <c r="E261" s="10"/>
      <c r="F261" s="8"/>
      <c r="G261" s="11"/>
      <c r="H261" s="10"/>
      <c r="I261" s="11"/>
      <c r="J261" s="10"/>
      <c r="K261" s="10"/>
      <c r="L261" s="10"/>
      <c r="M261" s="11"/>
      <c r="N261" s="8"/>
      <c r="O261" s="7" t="str">
        <f aca="false">IF(L261="","",IFERROR(VLOOKUP(L261,Paramètres!$F$5:$G$8,2,FALSE()),""))</f>
        <v/>
      </c>
      <c r="P261" s="9" t="str">
        <f aca="false">IF(OR(B261="",O261=""),"",IF(N261="",B261,N261)+O261)</f>
        <v/>
      </c>
      <c r="Q261" s="10"/>
      <c r="R261" s="8"/>
      <c r="S261" s="7" t="str">
        <f aca="false">IF(OR(B261="",R261=""),"",R261-B261)</f>
        <v/>
      </c>
      <c r="T261" s="7" t="str">
        <f aca="true">IF(OR(B261="",P261=""),"",IF(R261&lt;&gt;"",IF(R261&gt;P261,"Traité hors délai","Non"),IF(Q261="Classé sans suite","Non",IF(TODAY()&gt;P261,"OUI","Non"))))</f>
        <v/>
      </c>
      <c r="U261" s="11"/>
    </row>
    <row r="262" customFormat="false" ht="15" hidden="false" customHeight="false" outlineLevel="0" collapsed="false">
      <c r="A262" s="7" t="str">
        <f aca="false">IF(B262="","",YEAR(B262)&amp;"/"&amp;TEXT(ROW()-4,"0000"))</f>
        <v/>
      </c>
      <c r="B262" s="8"/>
      <c r="C262" s="7" t="str">
        <f aca="false">IF(B262="","",INT((B262-DATE(YEAR(B262-WEEKDAY(B262-1)+4),1,3)+WEEKDAY(DATE(YEAR(B262-WEEKDAY(B262-1)+4),1,3))+5)/7))</f>
        <v/>
      </c>
      <c r="D262" s="9" t="str">
        <f aca="false">IF(B262="","",B262-WEEKDAY(B262,2)+1)</f>
        <v/>
      </c>
      <c r="E262" s="10"/>
      <c r="F262" s="8"/>
      <c r="G262" s="11"/>
      <c r="H262" s="10"/>
      <c r="I262" s="11"/>
      <c r="J262" s="10"/>
      <c r="K262" s="10"/>
      <c r="L262" s="10"/>
      <c r="M262" s="11"/>
      <c r="N262" s="8"/>
      <c r="O262" s="7" t="str">
        <f aca="false">IF(L262="","",IFERROR(VLOOKUP(L262,Paramètres!$F$5:$G$8,2,FALSE()),""))</f>
        <v/>
      </c>
      <c r="P262" s="9" t="str">
        <f aca="false">IF(OR(B262="",O262=""),"",IF(N262="",B262,N262)+O262)</f>
        <v/>
      </c>
      <c r="Q262" s="10"/>
      <c r="R262" s="8"/>
      <c r="S262" s="7" t="str">
        <f aca="false">IF(OR(B262="",R262=""),"",R262-B262)</f>
        <v/>
      </c>
      <c r="T262" s="7" t="str">
        <f aca="true">IF(OR(B262="",P262=""),"",IF(R262&lt;&gt;"",IF(R262&gt;P262,"Traité hors délai","Non"),IF(Q262="Classé sans suite","Non",IF(TODAY()&gt;P262,"OUI","Non"))))</f>
        <v/>
      </c>
      <c r="U262" s="11"/>
    </row>
    <row r="263" customFormat="false" ht="15" hidden="false" customHeight="false" outlineLevel="0" collapsed="false">
      <c r="A263" s="7" t="str">
        <f aca="false">IF(B263="","",YEAR(B263)&amp;"/"&amp;TEXT(ROW()-4,"0000"))</f>
        <v/>
      </c>
      <c r="B263" s="8"/>
      <c r="C263" s="7" t="str">
        <f aca="false">IF(B263="","",INT((B263-DATE(YEAR(B263-WEEKDAY(B263-1)+4),1,3)+WEEKDAY(DATE(YEAR(B263-WEEKDAY(B263-1)+4),1,3))+5)/7))</f>
        <v/>
      </c>
      <c r="D263" s="9" t="str">
        <f aca="false">IF(B263="","",B263-WEEKDAY(B263,2)+1)</f>
        <v/>
      </c>
      <c r="E263" s="10"/>
      <c r="F263" s="8"/>
      <c r="G263" s="11"/>
      <c r="H263" s="10"/>
      <c r="I263" s="11"/>
      <c r="J263" s="10"/>
      <c r="K263" s="10"/>
      <c r="L263" s="10"/>
      <c r="M263" s="11"/>
      <c r="N263" s="8"/>
      <c r="O263" s="7" t="str">
        <f aca="false">IF(L263="","",IFERROR(VLOOKUP(L263,Paramètres!$F$5:$G$8,2,FALSE()),""))</f>
        <v/>
      </c>
      <c r="P263" s="9" t="str">
        <f aca="false">IF(OR(B263="",O263=""),"",IF(N263="",B263,N263)+O263)</f>
        <v/>
      </c>
      <c r="Q263" s="10"/>
      <c r="R263" s="8"/>
      <c r="S263" s="7" t="str">
        <f aca="false">IF(OR(B263="",R263=""),"",R263-B263)</f>
        <v/>
      </c>
      <c r="T263" s="7" t="str">
        <f aca="true">IF(OR(B263="",P263=""),"",IF(R263&lt;&gt;"",IF(R263&gt;P263,"Traité hors délai","Non"),IF(Q263="Classé sans suite","Non",IF(TODAY()&gt;P263,"OUI","Non"))))</f>
        <v/>
      </c>
      <c r="U263" s="11"/>
    </row>
    <row r="264" customFormat="false" ht="15" hidden="false" customHeight="false" outlineLevel="0" collapsed="false">
      <c r="A264" s="7" t="str">
        <f aca="false">IF(B264="","",YEAR(B264)&amp;"/"&amp;TEXT(ROW()-4,"0000"))</f>
        <v/>
      </c>
      <c r="B264" s="8"/>
      <c r="C264" s="7" t="str">
        <f aca="false">IF(B264="","",INT((B264-DATE(YEAR(B264-WEEKDAY(B264-1)+4),1,3)+WEEKDAY(DATE(YEAR(B264-WEEKDAY(B264-1)+4),1,3))+5)/7))</f>
        <v/>
      </c>
      <c r="D264" s="9" t="str">
        <f aca="false">IF(B264="","",B264-WEEKDAY(B264,2)+1)</f>
        <v/>
      </c>
      <c r="E264" s="10"/>
      <c r="F264" s="8"/>
      <c r="G264" s="11"/>
      <c r="H264" s="10"/>
      <c r="I264" s="11"/>
      <c r="J264" s="10"/>
      <c r="K264" s="10"/>
      <c r="L264" s="10"/>
      <c r="M264" s="11"/>
      <c r="N264" s="8"/>
      <c r="O264" s="7" t="str">
        <f aca="false">IF(L264="","",IFERROR(VLOOKUP(L264,Paramètres!$F$5:$G$8,2,FALSE()),""))</f>
        <v/>
      </c>
      <c r="P264" s="9" t="str">
        <f aca="false">IF(OR(B264="",O264=""),"",IF(N264="",B264,N264)+O264)</f>
        <v/>
      </c>
      <c r="Q264" s="10"/>
      <c r="R264" s="8"/>
      <c r="S264" s="7" t="str">
        <f aca="false">IF(OR(B264="",R264=""),"",R264-B264)</f>
        <v/>
      </c>
      <c r="T264" s="7" t="str">
        <f aca="true">IF(OR(B264="",P264=""),"",IF(R264&lt;&gt;"",IF(R264&gt;P264,"Traité hors délai","Non"),IF(Q264="Classé sans suite","Non",IF(TODAY()&gt;P264,"OUI","Non"))))</f>
        <v/>
      </c>
      <c r="U264" s="11"/>
    </row>
    <row r="265" customFormat="false" ht="15" hidden="false" customHeight="false" outlineLevel="0" collapsed="false">
      <c r="A265" s="7" t="str">
        <f aca="false">IF(B265="","",YEAR(B265)&amp;"/"&amp;TEXT(ROW()-4,"0000"))</f>
        <v/>
      </c>
      <c r="B265" s="8"/>
      <c r="C265" s="7" t="str">
        <f aca="false">IF(B265="","",INT((B265-DATE(YEAR(B265-WEEKDAY(B265-1)+4),1,3)+WEEKDAY(DATE(YEAR(B265-WEEKDAY(B265-1)+4),1,3))+5)/7))</f>
        <v/>
      </c>
      <c r="D265" s="9" t="str">
        <f aca="false">IF(B265="","",B265-WEEKDAY(B265,2)+1)</f>
        <v/>
      </c>
      <c r="E265" s="10"/>
      <c r="F265" s="8"/>
      <c r="G265" s="11"/>
      <c r="H265" s="10"/>
      <c r="I265" s="11"/>
      <c r="J265" s="10"/>
      <c r="K265" s="10"/>
      <c r="L265" s="10"/>
      <c r="M265" s="11"/>
      <c r="N265" s="8"/>
      <c r="O265" s="7" t="str">
        <f aca="false">IF(L265="","",IFERROR(VLOOKUP(L265,Paramètres!$F$5:$G$8,2,FALSE()),""))</f>
        <v/>
      </c>
      <c r="P265" s="9" t="str">
        <f aca="false">IF(OR(B265="",O265=""),"",IF(N265="",B265,N265)+O265)</f>
        <v/>
      </c>
      <c r="Q265" s="10"/>
      <c r="R265" s="8"/>
      <c r="S265" s="7" t="str">
        <f aca="false">IF(OR(B265="",R265=""),"",R265-B265)</f>
        <v/>
      </c>
      <c r="T265" s="7" t="str">
        <f aca="true">IF(OR(B265="",P265=""),"",IF(R265&lt;&gt;"",IF(R265&gt;P265,"Traité hors délai","Non"),IF(Q265="Classé sans suite","Non",IF(TODAY()&gt;P265,"OUI","Non"))))</f>
        <v/>
      </c>
      <c r="U265" s="11"/>
    </row>
    <row r="266" customFormat="false" ht="15" hidden="false" customHeight="false" outlineLevel="0" collapsed="false">
      <c r="A266" s="7" t="str">
        <f aca="false">IF(B266="","",YEAR(B266)&amp;"/"&amp;TEXT(ROW()-4,"0000"))</f>
        <v/>
      </c>
      <c r="B266" s="8"/>
      <c r="C266" s="7" t="str">
        <f aca="false">IF(B266="","",INT((B266-DATE(YEAR(B266-WEEKDAY(B266-1)+4),1,3)+WEEKDAY(DATE(YEAR(B266-WEEKDAY(B266-1)+4),1,3))+5)/7))</f>
        <v/>
      </c>
      <c r="D266" s="9" t="str">
        <f aca="false">IF(B266="","",B266-WEEKDAY(B266,2)+1)</f>
        <v/>
      </c>
      <c r="E266" s="10"/>
      <c r="F266" s="8"/>
      <c r="G266" s="11"/>
      <c r="H266" s="10"/>
      <c r="I266" s="11"/>
      <c r="J266" s="10"/>
      <c r="K266" s="10"/>
      <c r="L266" s="10"/>
      <c r="M266" s="11"/>
      <c r="N266" s="8"/>
      <c r="O266" s="7" t="str">
        <f aca="false">IF(L266="","",IFERROR(VLOOKUP(L266,Paramètres!$F$5:$G$8,2,FALSE()),""))</f>
        <v/>
      </c>
      <c r="P266" s="9" t="str">
        <f aca="false">IF(OR(B266="",O266=""),"",IF(N266="",B266,N266)+O266)</f>
        <v/>
      </c>
      <c r="Q266" s="10"/>
      <c r="R266" s="8"/>
      <c r="S266" s="7" t="str">
        <f aca="false">IF(OR(B266="",R266=""),"",R266-B266)</f>
        <v/>
      </c>
      <c r="T266" s="7" t="str">
        <f aca="true">IF(OR(B266="",P266=""),"",IF(R266&lt;&gt;"",IF(R266&gt;P266,"Traité hors délai","Non"),IF(Q266="Classé sans suite","Non",IF(TODAY()&gt;P266,"OUI","Non"))))</f>
        <v/>
      </c>
      <c r="U266" s="11"/>
    </row>
    <row r="267" customFormat="false" ht="15" hidden="false" customHeight="false" outlineLevel="0" collapsed="false">
      <c r="A267" s="7" t="str">
        <f aca="false">IF(B267="","",YEAR(B267)&amp;"/"&amp;TEXT(ROW()-4,"0000"))</f>
        <v/>
      </c>
      <c r="B267" s="8"/>
      <c r="C267" s="7" t="str">
        <f aca="false">IF(B267="","",INT((B267-DATE(YEAR(B267-WEEKDAY(B267-1)+4),1,3)+WEEKDAY(DATE(YEAR(B267-WEEKDAY(B267-1)+4),1,3))+5)/7))</f>
        <v/>
      </c>
      <c r="D267" s="9" t="str">
        <f aca="false">IF(B267="","",B267-WEEKDAY(B267,2)+1)</f>
        <v/>
      </c>
      <c r="E267" s="10"/>
      <c r="F267" s="8"/>
      <c r="G267" s="11"/>
      <c r="H267" s="10"/>
      <c r="I267" s="11"/>
      <c r="J267" s="10"/>
      <c r="K267" s="10"/>
      <c r="L267" s="10"/>
      <c r="M267" s="11"/>
      <c r="N267" s="8"/>
      <c r="O267" s="7" t="str">
        <f aca="false">IF(L267="","",IFERROR(VLOOKUP(L267,Paramètres!$F$5:$G$8,2,FALSE()),""))</f>
        <v/>
      </c>
      <c r="P267" s="9" t="str">
        <f aca="false">IF(OR(B267="",O267=""),"",IF(N267="",B267,N267)+O267)</f>
        <v/>
      </c>
      <c r="Q267" s="10"/>
      <c r="R267" s="8"/>
      <c r="S267" s="7" t="str">
        <f aca="false">IF(OR(B267="",R267=""),"",R267-B267)</f>
        <v/>
      </c>
      <c r="T267" s="7" t="str">
        <f aca="true">IF(OR(B267="",P267=""),"",IF(R267&lt;&gt;"",IF(R267&gt;P267,"Traité hors délai","Non"),IF(Q267="Classé sans suite","Non",IF(TODAY()&gt;P267,"OUI","Non"))))</f>
        <v/>
      </c>
      <c r="U267" s="11"/>
    </row>
    <row r="268" customFormat="false" ht="15" hidden="false" customHeight="false" outlineLevel="0" collapsed="false">
      <c r="A268" s="7" t="str">
        <f aca="false">IF(B268="","",YEAR(B268)&amp;"/"&amp;TEXT(ROW()-4,"0000"))</f>
        <v/>
      </c>
      <c r="B268" s="8"/>
      <c r="C268" s="7" t="str">
        <f aca="false">IF(B268="","",INT((B268-DATE(YEAR(B268-WEEKDAY(B268-1)+4),1,3)+WEEKDAY(DATE(YEAR(B268-WEEKDAY(B268-1)+4),1,3))+5)/7))</f>
        <v/>
      </c>
      <c r="D268" s="9" t="str">
        <f aca="false">IF(B268="","",B268-WEEKDAY(B268,2)+1)</f>
        <v/>
      </c>
      <c r="E268" s="10"/>
      <c r="F268" s="8"/>
      <c r="G268" s="11"/>
      <c r="H268" s="10"/>
      <c r="I268" s="11"/>
      <c r="J268" s="10"/>
      <c r="K268" s="10"/>
      <c r="L268" s="10"/>
      <c r="M268" s="11"/>
      <c r="N268" s="8"/>
      <c r="O268" s="7" t="str">
        <f aca="false">IF(L268="","",IFERROR(VLOOKUP(L268,Paramètres!$F$5:$G$8,2,FALSE()),""))</f>
        <v/>
      </c>
      <c r="P268" s="9" t="str">
        <f aca="false">IF(OR(B268="",O268=""),"",IF(N268="",B268,N268)+O268)</f>
        <v/>
      </c>
      <c r="Q268" s="10"/>
      <c r="R268" s="8"/>
      <c r="S268" s="7" t="str">
        <f aca="false">IF(OR(B268="",R268=""),"",R268-B268)</f>
        <v/>
      </c>
      <c r="T268" s="7" t="str">
        <f aca="true">IF(OR(B268="",P268=""),"",IF(R268&lt;&gt;"",IF(R268&gt;P268,"Traité hors délai","Non"),IF(Q268="Classé sans suite","Non",IF(TODAY()&gt;P268,"OUI","Non"))))</f>
        <v/>
      </c>
      <c r="U268" s="11"/>
    </row>
    <row r="269" customFormat="false" ht="15" hidden="false" customHeight="false" outlineLevel="0" collapsed="false">
      <c r="A269" s="7" t="str">
        <f aca="false">IF(B269="","",YEAR(B269)&amp;"/"&amp;TEXT(ROW()-4,"0000"))</f>
        <v/>
      </c>
      <c r="B269" s="8"/>
      <c r="C269" s="7" t="str">
        <f aca="false">IF(B269="","",INT((B269-DATE(YEAR(B269-WEEKDAY(B269-1)+4),1,3)+WEEKDAY(DATE(YEAR(B269-WEEKDAY(B269-1)+4),1,3))+5)/7))</f>
        <v/>
      </c>
      <c r="D269" s="9" t="str">
        <f aca="false">IF(B269="","",B269-WEEKDAY(B269,2)+1)</f>
        <v/>
      </c>
      <c r="E269" s="10"/>
      <c r="F269" s="8"/>
      <c r="G269" s="11"/>
      <c r="H269" s="10"/>
      <c r="I269" s="11"/>
      <c r="J269" s="10"/>
      <c r="K269" s="10"/>
      <c r="L269" s="10"/>
      <c r="M269" s="11"/>
      <c r="N269" s="8"/>
      <c r="O269" s="7" t="str">
        <f aca="false">IF(L269="","",IFERROR(VLOOKUP(L269,Paramètres!$F$5:$G$8,2,FALSE()),""))</f>
        <v/>
      </c>
      <c r="P269" s="9" t="str">
        <f aca="false">IF(OR(B269="",O269=""),"",IF(N269="",B269,N269)+O269)</f>
        <v/>
      </c>
      <c r="Q269" s="10"/>
      <c r="R269" s="8"/>
      <c r="S269" s="7" t="str">
        <f aca="false">IF(OR(B269="",R269=""),"",R269-B269)</f>
        <v/>
      </c>
      <c r="T269" s="7" t="str">
        <f aca="true">IF(OR(B269="",P269=""),"",IF(R269&lt;&gt;"",IF(R269&gt;P269,"Traité hors délai","Non"),IF(Q269="Classé sans suite","Non",IF(TODAY()&gt;P269,"OUI","Non"))))</f>
        <v/>
      </c>
      <c r="U269" s="11"/>
    </row>
    <row r="270" customFormat="false" ht="15" hidden="false" customHeight="false" outlineLevel="0" collapsed="false">
      <c r="A270" s="7" t="str">
        <f aca="false">IF(B270="","",YEAR(B270)&amp;"/"&amp;TEXT(ROW()-4,"0000"))</f>
        <v/>
      </c>
      <c r="B270" s="8"/>
      <c r="C270" s="7" t="str">
        <f aca="false">IF(B270="","",INT((B270-DATE(YEAR(B270-WEEKDAY(B270-1)+4),1,3)+WEEKDAY(DATE(YEAR(B270-WEEKDAY(B270-1)+4),1,3))+5)/7))</f>
        <v/>
      </c>
      <c r="D270" s="9" t="str">
        <f aca="false">IF(B270="","",B270-WEEKDAY(B270,2)+1)</f>
        <v/>
      </c>
      <c r="E270" s="10"/>
      <c r="F270" s="8"/>
      <c r="G270" s="11"/>
      <c r="H270" s="10"/>
      <c r="I270" s="11"/>
      <c r="J270" s="10"/>
      <c r="K270" s="10"/>
      <c r="L270" s="10"/>
      <c r="M270" s="11"/>
      <c r="N270" s="8"/>
      <c r="O270" s="7" t="str">
        <f aca="false">IF(L270="","",IFERROR(VLOOKUP(L270,Paramètres!$F$5:$G$8,2,FALSE()),""))</f>
        <v/>
      </c>
      <c r="P270" s="9" t="str">
        <f aca="false">IF(OR(B270="",O270=""),"",IF(N270="",B270,N270)+O270)</f>
        <v/>
      </c>
      <c r="Q270" s="10"/>
      <c r="R270" s="8"/>
      <c r="S270" s="7" t="str">
        <f aca="false">IF(OR(B270="",R270=""),"",R270-B270)</f>
        <v/>
      </c>
      <c r="T270" s="7" t="str">
        <f aca="true">IF(OR(B270="",P270=""),"",IF(R270&lt;&gt;"",IF(R270&gt;P270,"Traité hors délai","Non"),IF(Q270="Classé sans suite","Non",IF(TODAY()&gt;P270,"OUI","Non"))))</f>
        <v/>
      </c>
      <c r="U270" s="11"/>
    </row>
    <row r="271" customFormat="false" ht="15" hidden="false" customHeight="false" outlineLevel="0" collapsed="false">
      <c r="A271" s="7" t="str">
        <f aca="false">IF(B271="","",YEAR(B271)&amp;"/"&amp;TEXT(ROW()-4,"0000"))</f>
        <v/>
      </c>
      <c r="B271" s="8"/>
      <c r="C271" s="7" t="str">
        <f aca="false">IF(B271="","",INT((B271-DATE(YEAR(B271-WEEKDAY(B271-1)+4),1,3)+WEEKDAY(DATE(YEAR(B271-WEEKDAY(B271-1)+4),1,3))+5)/7))</f>
        <v/>
      </c>
      <c r="D271" s="9" t="str">
        <f aca="false">IF(B271="","",B271-WEEKDAY(B271,2)+1)</f>
        <v/>
      </c>
      <c r="E271" s="10"/>
      <c r="F271" s="8"/>
      <c r="G271" s="11"/>
      <c r="H271" s="10"/>
      <c r="I271" s="11"/>
      <c r="J271" s="10"/>
      <c r="K271" s="10"/>
      <c r="L271" s="10"/>
      <c r="M271" s="11"/>
      <c r="N271" s="8"/>
      <c r="O271" s="7" t="str">
        <f aca="false">IF(L271="","",IFERROR(VLOOKUP(L271,Paramètres!$F$5:$G$8,2,FALSE()),""))</f>
        <v/>
      </c>
      <c r="P271" s="9" t="str">
        <f aca="false">IF(OR(B271="",O271=""),"",IF(N271="",B271,N271)+O271)</f>
        <v/>
      </c>
      <c r="Q271" s="10"/>
      <c r="R271" s="8"/>
      <c r="S271" s="7" t="str">
        <f aca="false">IF(OR(B271="",R271=""),"",R271-B271)</f>
        <v/>
      </c>
      <c r="T271" s="7" t="str">
        <f aca="true">IF(OR(B271="",P271=""),"",IF(R271&lt;&gt;"",IF(R271&gt;P271,"Traité hors délai","Non"),IF(Q271="Classé sans suite","Non",IF(TODAY()&gt;P271,"OUI","Non"))))</f>
        <v/>
      </c>
      <c r="U271" s="11"/>
    </row>
    <row r="272" customFormat="false" ht="15" hidden="false" customHeight="false" outlineLevel="0" collapsed="false">
      <c r="A272" s="7" t="str">
        <f aca="false">IF(B272="","",YEAR(B272)&amp;"/"&amp;TEXT(ROW()-4,"0000"))</f>
        <v/>
      </c>
      <c r="B272" s="8"/>
      <c r="C272" s="7" t="str">
        <f aca="false">IF(B272="","",INT((B272-DATE(YEAR(B272-WEEKDAY(B272-1)+4),1,3)+WEEKDAY(DATE(YEAR(B272-WEEKDAY(B272-1)+4),1,3))+5)/7))</f>
        <v/>
      </c>
      <c r="D272" s="9" t="str">
        <f aca="false">IF(B272="","",B272-WEEKDAY(B272,2)+1)</f>
        <v/>
      </c>
      <c r="E272" s="10"/>
      <c r="F272" s="8"/>
      <c r="G272" s="11"/>
      <c r="H272" s="10"/>
      <c r="I272" s="11"/>
      <c r="J272" s="10"/>
      <c r="K272" s="10"/>
      <c r="L272" s="10"/>
      <c r="M272" s="11"/>
      <c r="N272" s="8"/>
      <c r="O272" s="7" t="str">
        <f aca="false">IF(L272="","",IFERROR(VLOOKUP(L272,Paramètres!$F$5:$G$8,2,FALSE()),""))</f>
        <v/>
      </c>
      <c r="P272" s="9" t="str">
        <f aca="false">IF(OR(B272="",O272=""),"",IF(N272="",B272,N272)+O272)</f>
        <v/>
      </c>
      <c r="Q272" s="10"/>
      <c r="R272" s="8"/>
      <c r="S272" s="7" t="str">
        <f aca="false">IF(OR(B272="",R272=""),"",R272-B272)</f>
        <v/>
      </c>
      <c r="T272" s="7" t="str">
        <f aca="true">IF(OR(B272="",P272=""),"",IF(R272&lt;&gt;"",IF(R272&gt;P272,"Traité hors délai","Non"),IF(Q272="Classé sans suite","Non",IF(TODAY()&gt;P272,"OUI","Non"))))</f>
        <v/>
      </c>
      <c r="U272" s="11"/>
    </row>
    <row r="273" customFormat="false" ht="15" hidden="false" customHeight="false" outlineLevel="0" collapsed="false">
      <c r="A273" s="7" t="str">
        <f aca="false">IF(B273="","",YEAR(B273)&amp;"/"&amp;TEXT(ROW()-4,"0000"))</f>
        <v/>
      </c>
      <c r="B273" s="8"/>
      <c r="C273" s="7" t="str">
        <f aca="false">IF(B273="","",INT((B273-DATE(YEAR(B273-WEEKDAY(B273-1)+4),1,3)+WEEKDAY(DATE(YEAR(B273-WEEKDAY(B273-1)+4),1,3))+5)/7))</f>
        <v/>
      </c>
      <c r="D273" s="9" t="str">
        <f aca="false">IF(B273="","",B273-WEEKDAY(B273,2)+1)</f>
        <v/>
      </c>
      <c r="E273" s="10"/>
      <c r="F273" s="8"/>
      <c r="G273" s="11"/>
      <c r="H273" s="10"/>
      <c r="I273" s="11"/>
      <c r="J273" s="10"/>
      <c r="K273" s="10"/>
      <c r="L273" s="10"/>
      <c r="M273" s="11"/>
      <c r="N273" s="8"/>
      <c r="O273" s="7" t="str">
        <f aca="false">IF(L273="","",IFERROR(VLOOKUP(L273,Paramètres!$F$5:$G$8,2,FALSE()),""))</f>
        <v/>
      </c>
      <c r="P273" s="9" t="str">
        <f aca="false">IF(OR(B273="",O273=""),"",IF(N273="",B273,N273)+O273)</f>
        <v/>
      </c>
      <c r="Q273" s="10"/>
      <c r="R273" s="8"/>
      <c r="S273" s="7" t="str">
        <f aca="false">IF(OR(B273="",R273=""),"",R273-B273)</f>
        <v/>
      </c>
      <c r="T273" s="7" t="str">
        <f aca="true">IF(OR(B273="",P273=""),"",IF(R273&lt;&gt;"",IF(R273&gt;P273,"Traité hors délai","Non"),IF(Q273="Classé sans suite","Non",IF(TODAY()&gt;P273,"OUI","Non"))))</f>
        <v/>
      </c>
      <c r="U273" s="11"/>
    </row>
    <row r="274" customFormat="false" ht="15" hidden="false" customHeight="false" outlineLevel="0" collapsed="false">
      <c r="A274" s="7" t="str">
        <f aca="false">IF(B274="","",YEAR(B274)&amp;"/"&amp;TEXT(ROW()-4,"0000"))</f>
        <v/>
      </c>
      <c r="B274" s="8"/>
      <c r="C274" s="7" t="str">
        <f aca="false">IF(B274="","",INT((B274-DATE(YEAR(B274-WEEKDAY(B274-1)+4),1,3)+WEEKDAY(DATE(YEAR(B274-WEEKDAY(B274-1)+4),1,3))+5)/7))</f>
        <v/>
      </c>
      <c r="D274" s="9" t="str">
        <f aca="false">IF(B274="","",B274-WEEKDAY(B274,2)+1)</f>
        <v/>
      </c>
      <c r="E274" s="10"/>
      <c r="F274" s="8"/>
      <c r="G274" s="11"/>
      <c r="H274" s="10"/>
      <c r="I274" s="11"/>
      <c r="J274" s="10"/>
      <c r="K274" s="10"/>
      <c r="L274" s="10"/>
      <c r="M274" s="11"/>
      <c r="N274" s="8"/>
      <c r="O274" s="7" t="str">
        <f aca="false">IF(L274="","",IFERROR(VLOOKUP(L274,Paramètres!$F$5:$G$8,2,FALSE()),""))</f>
        <v/>
      </c>
      <c r="P274" s="9" t="str">
        <f aca="false">IF(OR(B274="",O274=""),"",IF(N274="",B274,N274)+O274)</f>
        <v/>
      </c>
      <c r="Q274" s="10"/>
      <c r="R274" s="8"/>
      <c r="S274" s="7" t="str">
        <f aca="false">IF(OR(B274="",R274=""),"",R274-B274)</f>
        <v/>
      </c>
      <c r="T274" s="7" t="str">
        <f aca="true">IF(OR(B274="",P274=""),"",IF(R274&lt;&gt;"",IF(R274&gt;P274,"Traité hors délai","Non"),IF(Q274="Classé sans suite","Non",IF(TODAY()&gt;P274,"OUI","Non"))))</f>
        <v/>
      </c>
      <c r="U274" s="11"/>
    </row>
    <row r="275" customFormat="false" ht="15" hidden="false" customHeight="false" outlineLevel="0" collapsed="false">
      <c r="A275" s="7" t="str">
        <f aca="false">IF(B275="","",YEAR(B275)&amp;"/"&amp;TEXT(ROW()-4,"0000"))</f>
        <v/>
      </c>
      <c r="B275" s="8"/>
      <c r="C275" s="7" t="str">
        <f aca="false">IF(B275="","",INT((B275-DATE(YEAR(B275-WEEKDAY(B275-1)+4),1,3)+WEEKDAY(DATE(YEAR(B275-WEEKDAY(B275-1)+4),1,3))+5)/7))</f>
        <v/>
      </c>
      <c r="D275" s="9" t="str">
        <f aca="false">IF(B275="","",B275-WEEKDAY(B275,2)+1)</f>
        <v/>
      </c>
      <c r="E275" s="10"/>
      <c r="F275" s="8"/>
      <c r="G275" s="11"/>
      <c r="H275" s="10"/>
      <c r="I275" s="11"/>
      <c r="J275" s="10"/>
      <c r="K275" s="10"/>
      <c r="L275" s="10"/>
      <c r="M275" s="11"/>
      <c r="N275" s="8"/>
      <c r="O275" s="7" t="str">
        <f aca="false">IF(L275="","",IFERROR(VLOOKUP(L275,Paramètres!$F$5:$G$8,2,FALSE()),""))</f>
        <v/>
      </c>
      <c r="P275" s="9" t="str">
        <f aca="false">IF(OR(B275="",O275=""),"",IF(N275="",B275,N275)+O275)</f>
        <v/>
      </c>
      <c r="Q275" s="10"/>
      <c r="R275" s="8"/>
      <c r="S275" s="7" t="str">
        <f aca="false">IF(OR(B275="",R275=""),"",R275-B275)</f>
        <v/>
      </c>
      <c r="T275" s="7" t="str">
        <f aca="true">IF(OR(B275="",P275=""),"",IF(R275&lt;&gt;"",IF(R275&gt;P275,"Traité hors délai","Non"),IF(Q275="Classé sans suite","Non",IF(TODAY()&gt;P275,"OUI","Non"))))</f>
        <v/>
      </c>
      <c r="U275" s="11"/>
    </row>
    <row r="276" customFormat="false" ht="15" hidden="false" customHeight="false" outlineLevel="0" collapsed="false">
      <c r="A276" s="7" t="str">
        <f aca="false">IF(B276="","",YEAR(B276)&amp;"/"&amp;TEXT(ROW()-4,"0000"))</f>
        <v/>
      </c>
      <c r="B276" s="8"/>
      <c r="C276" s="7" t="str">
        <f aca="false">IF(B276="","",INT((B276-DATE(YEAR(B276-WEEKDAY(B276-1)+4),1,3)+WEEKDAY(DATE(YEAR(B276-WEEKDAY(B276-1)+4),1,3))+5)/7))</f>
        <v/>
      </c>
      <c r="D276" s="9" t="str">
        <f aca="false">IF(B276="","",B276-WEEKDAY(B276,2)+1)</f>
        <v/>
      </c>
      <c r="E276" s="10"/>
      <c r="F276" s="8"/>
      <c r="G276" s="11"/>
      <c r="H276" s="10"/>
      <c r="I276" s="11"/>
      <c r="J276" s="10"/>
      <c r="K276" s="10"/>
      <c r="L276" s="10"/>
      <c r="M276" s="11"/>
      <c r="N276" s="8"/>
      <c r="O276" s="7" t="str">
        <f aca="false">IF(L276="","",IFERROR(VLOOKUP(L276,Paramètres!$F$5:$G$8,2,FALSE()),""))</f>
        <v/>
      </c>
      <c r="P276" s="9" t="str">
        <f aca="false">IF(OR(B276="",O276=""),"",IF(N276="",B276,N276)+O276)</f>
        <v/>
      </c>
      <c r="Q276" s="10"/>
      <c r="R276" s="8"/>
      <c r="S276" s="7" t="str">
        <f aca="false">IF(OR(B276="",R276=""),"",R276-B276)</f>
        <v/>
      </c>
      <c r="T276" s="7" t="str">
        <f aca="true">IF(OR(B276="",P276=""),"",IF(R276&lt;&gt;"",IF(R276&gt;P276,"Traité hors délai","Non"),IF(Q276="Classé sans suite","Non",IF(TODAY()&gt;P276,"OUI","Non"))))</f>
        <v/>
      </c>
      <c r="U276" s="11"/>
    </row>
    <row r="277" customFormat="false" ht="15" hidden="false" customHeight="false" outlineLevel="0" collapsed="false">
      <c r="A277" s="7" t="str">
        <f aca="false">IF(B277="","",YEAR(B277)&amp;"/"&amp;TEXT(ROW()-4,"0000"))</f>
        <v/>
      </c>
      <c r="B277" s="8"/>
      <c r="C277" s="7" t="str">
        <f aca="false">IF(B277="","",INT((B277-DATE(YEAR(B277-WEEKDAY(B277-1)+4),1,3)+WEEKDAY(DATE(YEAR(B277-WEEKDAY(B277-1)+4),1,3))+5)/7))</f>
        <v/>
      </c>
      <c r="D277" s="9" t="str">
        <f aca="false">IF(B277="","",B277-WEEKDAY(B277,2)+1)</f>
        <v/>
      </c>
      <c r="E277" s="10"/>
      <c r="F277" s="8"/>
      <c r="G277" s="11"/>
      <c r="H277" s="10"/>
      <c r="I277" s="11"/>
      <c r="J277" s="10"/>
      <c r="K277" s="10"/>
      <c r="L277" s="10"/>
      <c r="M277" s="11"/>
      <c r="N277" s="8"/>
      <c r="O277" s="7" t="str">
        <f aca="false">IF(L277="","",IFERROR(VLOOKUP(L277,Paramètres!$F$5:$G$8,2,FALSE()),""))</f>
        <v/>
      </c>
      <c r="P277" s="9" t="str">
        <f aca="false">IF(OR(B277="",O277=""),"",IF(N277="",B277,N277)+O277)</f>
        <v/>
      </c>
      <c r="Q277" s="10"/>
      <c r="R277" s="8"/>
      <c r="S277" s="7" t="str">
        <f aca="false">IF(OR(B277="",R277=""),"",R277-B277)</f>
        <v/>
      </c>
      <c r="T277" s="7" t="str">
        <f aca="true">IF(OR(B277="",P277=""),"",IF(R277&lt;&gt;"",IF(R277&gt;P277,"Traité hors délai","Non"),IF(Q277="Classé sans suite","Non",IF(TODAY()&gt;P277,"OUI","Non"))))</f>
        <v/>
      </c>
      <c r="U277" s="11"/>
    </row>
    <row r="278" customFormat="false" ht="15" hidden="false" customHeight="false" outlineLevel="0" collapsed="false">
      <c r="A278" s="7" t="str">
        <f aca="false">IF(B278="","",YEAR(B278)&amp;"/"&amp;TEXT(ROW()-4,"0000"))</f>
        <v/>
      </c>
      <c r="B278" s="8"/>
      <c r="C278" s="7" t="str">
        <f aca="false">IF(B278="","",INT((B278-DATE(YEAR(B278-WEEKDAY(B278-1)+4),1,3)+WEEKDAY(DATE(YEAR(B278-WEEKDAY(B278-1)+4),1,3))+5)/7))</f>
        <v/>
      </c>
      <c r="D278" s="9" t="str">
        <f aca="false">IF(B278="","",B278-WEEKDAY(B278,2)+1)</f>
        <v/>
      </c>
      <c r="E278" s="10"/>
      <c r="F278" s="8"/>
      <c r="G278" s="11"/>
      <c r="H278" s="10"/>
      <c r="I278" s="11"/>
      <c r="J278" s="10"/>
      <c r="K278" s="10"/>
      <c r="L278" s="10"/>
      <c r="M278" s="11"/>
      <c r="N278" s="8"/>
      <c r="O278" s="7" t="str">
        <f aca="false">IF(L278="","",IFERROR(VLOOKUP(L278,Paramètres!$F$5:$G$8,2,FALSE()),""))</f>
        <v/>
      </c>
      <c r="P278" s="9" t="str">
        <f aca="false">IF(OR(B278="",O278=""),"",IF(N278="",B278,N278)+O278)</f>
        <v/>
      </c>
      <c r="Q278" s="10"/>
      <c r="R278" s="8"/>
      <c r="S278" s="7" t="str">
        <f aca="false">IF(OR(B278="",R278=""),"",R278-B278)</f>
        <v/>
      </c>
      <c r="T278" s="7" t="str">
        <f aca="true">IF(OR(B278="",P278=""),"",IF(R278&lt;&gt;"",IF(R278&gt;P278,"Traité hors délai","Non"),IF(Q278="Classé sans suite","Non",IF(TODAY()&gt;P278,"OUI","Non"))))</f>
        <v/>
      </c>
      <c r="U278" s="11"/>
    </row>
    <row r="279" customFormat="false" ht="15" hidden="false" customHeight="false" outlineLevel="0" collapsed="false">
      <c r="A279" s="7" t="str">
        <f aca="false">IF(B279="","",YEAR(B279)&amp;"/"&amp;TEXT(ROW()-4,"0000"))</f>
        <v/>
      </c>
      <c r="B279" s="8"/>
      <c r="C279" s="7" t="str">
        <f aca="false">IF(B279="","",INT((B279-DATE(YEAR(B279-WEEKDAY(B279-1)+4),1,3)+WEEKDAY(DATE(YEAR(B279-WEEKDAY(B279-1)+4),1,3))+5)/7))</f>
        <v/>
      </c>
      <c r="D279" s="9" t="str">
        <f aca="false">IF(B279="","",B279-WEEKDAY(B279,2)+1)</f>
        <v/>
      </c>
      <c r="E279" s="10"/>
      <c r="F279" s="8"/>
      <c r="G279" s="11"/>
      <c r="H279" s="10"/>
      <c r="I279" s="11"/>
      <c r="J279" s="10"/>
      <c r="K279" s="10"/>
      <c r="L279" s="10"/>
      <c r="M279" s="11"/>
      <c r="N279" s="8"/>
      <c r="O279" s="7" t="str">
        <f aca="false">IF(L279="","",IFERROR(VLOOKUP(L279,Paramètres!$F$5:$G$8,2,FALSE()),""))</f>
        <v/>
      </c>
      <c r="P279" s="9" t="str">
        <f aca="false">IF(OR(B279="",O279=""),"",IF(N279="",B279,N279)+O279)</f>
        <v/>
      </c>
      <c r="Q279" s="10"/>
      <c r="R279" s="8"/>
      <c r="S279" s="7" t="str">
        <f aca="false">IF(OR(B279="",R279=""),"",R279-B279)</f>
        <v/>
      </c>
      <c r="T279" s="7" t="str">
        <f aca="true">IF(OR(B279="",P279=""),"",IF(R279&lt;&gt;"",IF(R279&gt;P279,"Traité hors délai","Non"),IF(Q279="Classé sans suite","Non",IF(TODAY()&gt;P279,"OUI","Non"))))</f>
        <v/>
      </c>
      <c r="U279" s="11"/>
    </row>
    <row r="280" customFormat="false" ht="15" hidden="false" customHeight="false" outlineLevel="0" collapsed="false">
      <c r="A280" s="7" t="str">
        <f aca="false">IF(B280="","",YEAR(B280)&amp;"/"&amp;TEXT(ROW()-4,"0000"))</f>
        <v/>
      </c>
      <c r="B280" s="8"/>
      <c r="C280" s="7" t="str">
        <f aca="false">IF(B280="","",INT((B280-DATE(YEAR(B280-WEEKDAY(B280-1)+4),1,3)+WEEKDAY(DATE(YEAR(B280-WEEKDAY(B280-1)+4),1,3))+5)/7))</f>
        <v/>
      </c>
      <c r="D280" s="9" t="str">
        <f aca="false">IF(B280="","",B280-WEEKDAY(B280,2)+1)</f>
        <v/>
      </c>
      <c r="E280" s="10"/>
      <c r="F280" s="8"/>
      <c r="G280" s="11"/>
      <c r="H280" s="10"/>
      <c r="I280" s="11"/>
      <c r="J280" s="10"/>
      <c r="K280" s="10"/>
      <c r="L280" s="10"/>
      <c r="M280" s="11"/>
      <c r="N280" s="8"/>
      <c r="O280" s="7" t="str">
        <f aca="false">IF(L280="","",IFERROR(VLOOKUP(L280,Paramètres!$F$5:$G$8,2,FALSE()),""))</f>
        <v/>
      </c>
      <c r="P280" s="9" t="str">
        <f aca="false">IF(OR(B280="",O280=""),"",IF(N280="",B280,N280)+O280)</f>
        <v/>
      </c>
      <c r="Q280" s="10"/>
      <c r="R280" s="8"/>
      <c r="S280" s="7" t="str">
        <f aca="false">IF(OR(B280="",R280=""),"",R280-B280)</f>
        <v/>
      </c>
      <c r="T280" s="7" t="str">
        <f aca="true">IF(OR(B280="",P280=""),"",IF(R280&lt;&gt;"",IF(R280&gt;P280,"Traité hors délai","Non"),IF(Q280="Classé sans suite","Non",IF(TODAY()&gt;P280,"OUI","Non"))))</f>
        <v/>
      </c>
      <c r="U280" s="11"/>
    </row>
    <row r="281" customFormat="false" ht="15" hidden="false" customHeight="false" outlineLevel="0" collapsed="false">
      <c r="A281" s="7" t="str">
        <f aca="false">IF(B281="","",YEAR(B281)&amp;"/"&amp;TEXT(ROW()-4,"0000"))</f>
        <v/>
      </c>
      <c r="B281" s="8"/>
      <c r="C281" s="7" t="str">
        <f aca="false">IF(B281="","",INT((B281-DATE(YEAR(B281-WEEKDAY(B281-1)+4),1,3)+WEEKDAY(DATE(YEAR(B281-WEEKDAY(B281-1)+4),1,3))+5)/7))</f>
        <v/>
      </c>
      <c r="D281" s="9" t="str">
        <f aca="false">IF(B281="","",B281-WEEKDAY(B281,2)+1)</f>
        <v/>
      </c>
      <c r="E281" s="10"/>
      <c r="F281" s="8"/>
      <c r="G281" s="11"/>
      <c r="H281" s="10"/>
      <c r="I281" s="11"/>
      <c r="J281" s="10"/>
      <c r="K281" s="10"/>
      <c r="L281" s="10"/>
      <c r="M281" s="11"/>
      <c r="N281" s="8"/>
      <c r="O281" s="7" t="str">
        <f aca="false">IF(L281="","",IFERROR(VLOOKUP(L281,Paramètres!$F$5:$G$8,2,FALSE()),""))</f>
        <v/>
      </c>
      <c r="P281" s="9" t="str">
        <f aca="false">IF(OR(B281="",O281=""),"",IF(N281="",B281,N281)+O281)</f>
        <v/>
      </c>
      <c r="Q281" s="10"/>
      <c r="R281" s="8"/>
      <c r="S281" s="7" t="str">
        <f aca="false">IF(OR(B281="",R281=""),"",R281-B281)</f>
        <v/>
      </c>
      <c r="T281" s="7" t="str">
        <f aca="true">IF(OR(B281="",P281=""),"",IF(R281&lt;&gt;"",IF(R281&gt;P281,"Traité hors délai","Non"),IF(Q281="Classé sans suite","Non",IF(TODAY()&gt;P281,"OUI","Non"))))</f>
        <v/>
      </c>
      <c r="U281" s="11"/>
    </row>
    <row r="282" customFormat="false" ht="15" hidden="false" customHeight="false" outlineLevel="0" collapsed="false">
      <c r="A282" s="7" t="str">
        <f aca="false">IF(B282="","",YEAR(B282)&amp;"/"&amp;TEXT(ROW()-4,"0000"))</f>
        <v/>
      </c>
      <c r="B282" s="8"/>
      <c r="C282" s="7" t="str">
        <f aca="false">IF(B282="","",INT((B282-DATE(YEAR(B282-WEEKDAY(B282-1)+4),1,3)+WEEKDAY(DATE(YEAR(B282-WEEKDAY(B282-1)+4),1,3))+5)/7))</f>
        <v/>
      </c>
      <c r="D282" s="9" t="str">
        <f aca="false">IF(B282="","",B282-WEEKDAY(B282,2)+1)</f>
        <v/>
      </c>
      <c r="E282" s="10"/>
      <c r="F282" s="8"/>
      <c r="G282" s="11"/>
      <c r="H282" s="10"/>
      <c r="I282" s="11"/>
      <c r="J282" s="10"/>
      <c r="K282" s="10"/>
      <c r="L282" s="10"/>
      <c r="M282" s="11"/>
      <c r="N282" s="8"/>
      <c r="O282" s="7" t="str">
        <f aca="false">IF(L282="","",IFERROR(VLOOKUP(L282,Paramètres!$F$5:$G$8,2,FALSE()),""))</f>
        <v/>
      </c>
      <c r="P282" s="9" t="str">
        <f aca="false">IF(OR(B282="",O282=""),"",IF(N282="",B282,N282)+O282)</f>
        <v/>
      </c>
      <c r="Q282" s="10"/>
      <c r="R282" s="8"/>
      <c r="S282" s="7" t="str">
        <f aca="false">IF(OR(B282="",R282=""),"",R282-B282)</f>
        <v/>
      </c>
      <c r="T282" s="7" t="str">
        <f aca="true">IF(OR(B282="",P282=""),"",IF(R282&lt;&gt;"",IF(R282&gt;P282,"Traité hors délai","Non"),IF(Q282="Classé sans suite","Non",IF(TODAY()&gt;P282,"OUI","Non"))))</f>
        <v/>
      </c>
      <c r="U282" s="11"/>
    </row>
    <row r="283" customFormat="false" ht="15" hidden="false" customHeight="false" outlineLevel="0" collapsed="false">
      <c r="A283" s="7" t="str">
        <f aca="false">IF(B283="","",YEAR(B283)&amp;"/"&amp;TEXT(ROW()-4,"0000"))</f>
        <v/>
      </c>
      <c r="B283" s="8"/>
      <c r="C283" s="7" t="str">
        <f aca="false">IF(B283="","",INT((B283-DATE(YEAR(B283-WEEKDAY(B283-1)+4),1,3)+WEEKDAY(DATE(YEAR(B283-WEEKDAY(B283-1)+4),1,3))+5)/7))</f>
        <v/>
      </c>
      <c r="D283" s="9" t="str">
        <f aca="false">IF(B283="","",B283-WEEKDAY(B283,2)+1)</f>
        <v/>
      </c>
      <c r="E283" s="10"/>
      <c r="F283" s="8"/>
      <c r="G283" s="11"/>
      <c r="H283" s="10"/>
      <c r="I283" s="11"/>
      <c r="J283" s="10"/>
      <c r="K283" s="10"/>
      <c r="L283" s="10"/>
      <c r="M283" s="11"/>
      <c r="N283" s="8"/>
      <c r="O283" s="7" t="str">
        <f aca="false">IF(L283="","",IFERROR(VLOOKUP(L283,Paramètres!$F$5:$G$8,2,FALSE()),""))</f>
        <v/>
      </c>
      <c r="P283" s="9" t="str">
        <f aca="false">IF(OR(B283="",O283=""),"",IF(N283="",B283,N283)+O283)</f>
        <v/>
      </c>
      <c r="Q283" s="10"/>
      <c r="R283" s="8"/>
      <c r="S283" s="7" t="str">
        <f aca="false">IF(OR(B283="",R283=""),"",R283-B283)</f>
        <v/>
      </c>
      <c r="T283" s="7" t="str">
        <f aca="true">IF(OR(B283="",P283=""),"",IF(R283&lt;&gt;"",IF(R283&gt;P283,"Traité hors délai","Non"),IF(Q283="Classé sans suite","Non",IF(TODAY()&gt;P283,"OUI","Non"))))</f>
        <v/>
      </c>
      <c r="U283" s="11"/>
    </row>
    <row r="284" customFormat="false" ht="15" hidden="false" customHeight="false" outlineLevel="0" collapsed="false">
      <c r="A284" s="7" t="str">
        <f aca="false">IF(B284="","",YEAR(B284)&amp;"/"&amp;TEXT(ROW()-4,"0000"))</f>
        <v/>
      </c>
      <c r="B284" s="8"/>
      <c r="C284" s="7" t="str">
        <f aca="false">IF(B284="","",INT((B284-DATE(YEAR(B284-WEEKDAY(B284-1)+4),1,3)+WEEKDAY(DATE(YEAR(B284-WEEKDAY(B284-1)+4),1,3))+5)/7))</f>
        <v/>
      </c>
      <c r="D284" s="9" t="str">
        <f aca="false">IF(B284="","",B284-WEEKDAY(B284,2)+1)</f>
        <v/>
      </c>
      <c r="E284" s="10"/>
      <c r="F284" s="8"/>
      <c r="G284" s="11"/>
      <c r="H284" s="10"/>
      <c r="I284" s="11"/>
      <c r="J284" s="10"/>
      <c r="K284" s="10"/>
      <c r="L284" s="10"/>
      <c r="M284" s="11"/>
      <c r="N284" s="8"/>
      <c r="O284" s="7" t="str">
        <f aca="false">IF(L284="","",IFERROR(VLOOKUP(L284,Paramètres!$F$5:$G$8,2,FALSE()),""))</f>
        <v/>
      </c>
      <c r="P284" s="9" t="str">
        <f aca="false">IF(OR(B284="",O284=""),"",IF(N284="",B284,N284)+O284)</f>
        <v/>
      </c>
      <c r="Q284" s="10"/>
      <c r="R284" s="8"/>
      <c r="S284" s="7" t="str">
        <f aca="false">IF(OR(B284="",R284=""),"",R284-B284)</f>
        <v/>
      </c>
      <c r="T284" s="7" t="str">
        <f aca="true">IF(OR(B284="",P284=""),"",IF(R284&lt;&gt;"",IF(R284&gt;P284,"Traité hors délai","Non"),IF(Q284="Classé sans suite","Non",IF(TODAY()&gt;P284,"OUI","Non"))))</f>
        <v/>
      </c>
      <c r="U284" s="11"/>
    </row>
    <row r="285" customFormat="false" ht="15" hidden="false" customHeight="false" outlineLevel="0" collapsed="false">
      <c r="A285" s="7" t="str">
        <f aca="false">IF(B285="","",YEAR(B285)&amp;"/"&amp;TEXT(ROW()-4,"0000"))</f>
        <v/>
      </c>
      <c r="B285" s="8"/>
      <c r="C285" s="7" t="str">
        <f aca="false">IF(B285="","",INT((B285-DATE(YEAR(B285-WEEKDAY(B285-1)+4),1,3)+WEEKDAY(DATE(YEAR(B285-WEEKDAY(B285-1)+4),1,3))+5)/7))</f>
        <v/>
      </c>
      <c r="D285" s="9" t="str">
        <f aca="false">IF(B285="","",B285-WEEKDAY(B285,2)+1)</f>
        <v/>
      </c>
      <c r="E285" s="10"/>
      <c r="F285" s="8"/>
      <c r="G285" s="11"/>
      <c r="H285" s="10"/>
      <c r="I285" s="11"/>
      <c r="J285" s="10"/>
      <c r="K285" s="10"/>
      <c r="L285" s="10"/>
      <c r="M285" s="11"/>
      <c r="N285" s="8"/>
      <c r="O285" s="7" t="str">
        <f aca="false">IF(L285="","",IFERROR(VLOOKUP(L285,Paramètres!$F$5:$G$8,2,FALSE()),""))</f>
        <v/>
      </c>
      <c r="P285" s="9" t="str">
        <f aca="false">IF(OR(B285="",O285=""),"",IF(N285="",B285,N285)+O285)</f>
        <v/>
      </c>
      <c r="Q285" s="10"/>
      <c r="R285" s="8"/>
      <c r="S285" s="7" t="str">
        <f aca="false">IF(OR(B285="",R285=""),"",R285-B285)</f>
        <v/>
      </c>
      <c r="T285" s="7" t="str">
        <f aca="true">IF(OR(B285="",P285=""),"",IF(R285&lt;&gt;"",IF(R285&gt;P285,"Traité hors délai","Non"),IF(Q285="Classé sans suite","Non",IF(TODAY()&gt;P285,"OUI","Non"))))</f>
        <v/>
      </c>
      <c r="U285" s="11"/>
    </row>
    <row r="286" customFormat="false" ht="15" hidden="false" customHeight="false" outlineLevel="0" collapsed="false">
      <c r="A286" s="7" t="str">
        <f aca="false">IF(B286="","",YEAR(B286)&amp;"/"&amp;TEXT(ROW()-4,"0000"))</f>
        <v/>
      </c>
      <c r="B286" s="8"/>
      <c r="C286" s="7" t="str">
        <f aca="false">IF(B286="","",INT((B286-DATE(YEAR(B286-WEEKDAY(B286-1)+4),1,3)+WEEKDAY(DATE(YEAR(B286-WEEKDAY(B286-1)+4),1,3))+5)/7))</f>
        <v/>
      </c>
      <c r="D286" s="9" t="str">
        <f aca="false">IF(B286="","",B286-WEEKDAY(B286,2)+1)</f>
        <v/>
      </c>
      <c r="E286" s="10"/>
      <c r="F286" s="8"/>
      <c r="G286" s="11"/>
      <c r="H286" s="10"/>
      <c r="I286" s="11"/>
      <c r="J286" s="10"/>
      <c r="K286" s="10"/>
      <c r="L286" s="10"/>
      <c r="M286" s="11"/>
      <c r="N286" s="8"/>
      <c r="O286" s="7" t="str">
        <f aca="false">IF(L286="","",IFERROR(VLOOKUP(L286,Paramètres!$F$5:$G$8,2,FALSE()),""))</f>
        <v/>
      </c>
      <c r="P286" s="9" t="str">
        <f aca="false">IF(OR(B286="",O286=""),"",IF(N286="",B286,N286)+O286)</f>
        <v/>
      </c>
      <c r="Q286" s="10"/>
      <c r="R286" s="8"/>
      <c r="S286" s="7" t="str">
        <f aca="false">IF(OR(B286="",R286=""),"",R286-B286)</f>
        <v/>
      </c>
      <c r="T286" s="7" t="str">
        <f aca="true">IF(OR(B286="",P286=""),"",IF(R286&lt;&gt;"",IF(R286&gt;P286,"Traité hors délai","Non"),IF(Q286="Classé sans suite","Non",IF(TODAY()&gt;P286,"OUI","Non"))))</f>
        <v/>
      </c>
      <c r="U286" s="11"/>
    </row>
    <row r="287" customFormat="false" ht="15" hidden="false" customHeight="false" outlineLevel="0" collapsed="false">
      <c r="A287" s="7" t="str">
        <f aca="false">IF(B287="","",YEAR(B287)&amp;"/"&amp;TEXT(ROW()-4,"0000"))</f>
        <v/>
      </c>
      <c r="B287" s="8"/>
      <c r="C287" s="7" t="str">
        <f aca="false">IF(B287="","",INT((B287-DATE(YEAR(B287-WEEKDAY(B287-1)+4),1,3)+WEEKDAY(DATE(YEAR(B287-WEEKDAY(B287-1)+4),1,3))+5)/7))</f>
        <v/>
      </c>
      <c r="D287" s="9" t="str">
        <f aca="false">IF(B287="","",B287-WEEKDAY(B287,2)+1)</f>
        <v/>
      </c>
      <c r="E287" s="10"/>
      <c r="F287" s="8"/>
      <c r="G287" s="11"/>
      <c r="H287" s="10"/>
      <c r="I287" s="11"/>
      <c r="J287" s="10"/>
      <c r="K287" s="10"/>
      <c r="L287" s="10"/>
      <c r="M287" s="11"/>
      <c r="N287" s="8"/>
      <c r="O287" s="7" t="str">
        <f aca="false">IF(L287="","",IFERROR(VLOOKUP(L287,Paramètres!$F$5:$G$8,2,FALSE()),""))</f>
        <v/>
      </c>
      <c r="P287" s="9" t="str">
        <f aca="false">IF(OR(B287="",O287=""),"",IF(N287="",B287,N287)+O287)</f>
        <v/>
      </c>
      <c r="Q287" s="10"/>
      <c r="R287" s="8"/>
      <c r="S287" s="7" t="str">
        <f aca="false">IF(OR(B287="",R287=""),"",R287-B287)</f>
        <v/>
      </c>
      <c r="T287" s="7" t="str">
        <f aca="true">IF(OR(B287="",P287=""),"",IF(R287&lt;&gt;"",IF(R287&gt;P287,"Traité hors délai","Non"),IF(Q287="Classé sans suite","Non",IF(TODAY()&gt;P287,"OUI","Non"))))</f>
        <v/>
      </c>
      <c r="U287" s="11"/>
    </row>
    <row r="288" customFormat="false" ht="15" hidden="false" customHeight="false" outlineLevel="0" collapsed="false">
      <c r="A288" s="7" t="str">
        <f aca="false">IF(B288="","",YEAR(B288)&amp;"/"&amp;TEXT(ROW()-4,"0000"))</f>
        <v/>
      </c>
      <c r="B288" s="8"/>
      <c r="C288" s="7" t="str">
        <f aca="false">IF(B288="","",INT((B288-DATE(YEAR(B288-WEEKDAY(B288-1)+4),1,3)+WEEKDAY(DATE(YEAR(B288-WEEKDAY(B288-1)+4),1,3))+5)/7))</f>
        <v/>
      </c>
      <c r="D288" s="9" t="str">
        <f aca="false">IF(B288="","",B288-WEEKDAY(B288,2)+1)</f>
        <v/>
      </c>
      <c r="E288" s="10"/>
      <c r="F288" s="8"/>
      <c r="G288" s="11"/>
      <c r="H288" s="10"/>
      <c r="I288" s="11"/>
      <c r="J288" s="10"/>
      <c r="K288" s="10"/>
      <c r="L288" s="10"/>
      <c r="M288" s="11"/>
      <c r="N288" s="8"/>
      <c r="O288" s="7" t="str">
        <f aca="false">IF(L288="","",IFERROR(VLOOKUP(L288,Paramètres!$F$5:$G$8,2,FALSE()),""))</f>
        <v/>
      </c>
      <c r="P288" s="9" t="str">
        <f aca="false">IF(OR(B288="",O288=""),"",IF(N288="",B288,N288)+O288)</f>
        <v/>
      </c>
      <c r="Q288" s="10"/>
      <c r="R288" s="8"/>
      <c r="S288" s="7" t="str">
        <f aca="false">IF(OR(B288="",R288=""),"",R288-B288)</f>
        <v/>
      </c>
      <c r="T288" s="7" t="str">
        <f aca="true">IF(OR(B288="",P288=""),"",IF(R288&lt;&gt;"",IF(R288&gt;P288,"Traité hors délai","Non"),IF(Q288="Classé sans suite","Non",IF(TODAY()&gt;P288,"OUI","Non"))))</f>
        <v/>
      </c>
      <c r="U288" s="11"/>
    </row>
    <row r="289" customFormat="false" ht="15" hidden="false" customHeight="false" outlineLevel="0" collapsed="false">
      <c r="A289" s="7" t="str">
        <f aca="false">IF(B289="","",YEAR(B289)&amp;"/"&amp;TEXT(ROW()-4,"0000"))</f>
        <v/>
      </c>
      <c r="B289" s="8"/>
      <c r="C289" s="7" t="str">
        <f aca="false">IF(B289="","",INT((B289-DATE(YEAR(B289-WEEKDAY(B289-1)+4),1,3)+WEEKDAY(DATE(YEAR(B289-WEEKDAY(B289-1)+4),1,3))+5)/7))</f>
        <v/>
      </c>
      <c r="D289" s="9" t="str">
        <f aca="false">IF(B289="","",B289-WEEKDAY(B289,2)+1)</f>
        <v/>
      </c>
      <c r="E289" s="10"/>
      <c r="F289" s="8"/>
      <c r="G289" s="11"/>
      <c r="H289" s="10"/>
      <c r="I289" s="11"/>
      <c r="J289" s="10"/>
      <c r="K289" s="10"/>
      <c r="L289" s="10"/>
      <c r="M289" s="11"/>
      <c r="N289" s="8"/>
      <c r="O289" s="7" t="str">
        <f aca="false">IF(L289="","",IFERROR(VLOOKUP(L289,Paramètres!$F$5:$G$8,2,FALSE()),""))</f>
        <v/>
      </c>
      <c r="P289" s="9" t="str">
        <f aca="false">IF(OR(B289="",O289=""),"",IF(N289="",B289,N289)+O289)</f>
        <v/>
      </c>
      <c r="Q289" s="10"/>
      <c r="R289" s="8"/>
      <c r="S289" s="7" t="str">
        <f aca="false">IF(OR(B289="",R289=""),"",R289-B289)</f>
        <v/>
      </c>
      <c r="T289" s="7" t="str">
        <f aca="true">IF(OR(B289="",P289=""),"",IF(R289&lt;&gt;"",IF(R289&gt;P289,"Traité hors délai","Non"),IF(Q289="Classé sans suite","Non",IF(TODAY()&gt;P289,"OUI","Non"))))</f>
        <v/>
      </c>
      <c r="U289" s="11"/>
    </row>
    <row r="290" customFormat="false" ht="15" hidden="false" customHeight="false" outlineLevel="0" collapsed="false">
      <c r="A290" s="7" t="str">
        <f aca="false">IF(B290="","",YEAR(B290)&amp;"/"&amp;TEXT(ROW()-4,"0000"))</f>
        <v/>
      </c>
      <c r="B290" s="8"/>
      <c r="C290" s="7" t="str">
        <f aca="false">IF(B290="","",INT((B290-DATE(YEAR(B290-WEEKDAY(B290-1)+4),1,3)+WEEKDAY(DATE(YEAR(B290-WEEKDAY(B290-1)+4),1,3))+5)/7))</f>
        <v/>
      </c>
      <c r="D290" s="9" t="str">
        <f aca="false">IF(B290="","",B290-WEEKDAY(B290,2)+1)</f>
        <v/>
      </c>
      <c r="E290" s="10"/>
      <c r="F290" s="8"/>
      <c r="G290" s="11"/>
      <c r="H290" s="10"/>
      <c r="I290" s="11"/>
      <c r="J290" s="10"/>
      <c r="K290" s="10"/>
      <c r="L290" s="10"/>
      <c r="M290" s="11"/>
      <c r="N290" s="8"/>
      <c r="O290" s="7" t="str">
        <f aca="false">IF(L290="","",IFERROR(VLOOKUP(L290,Paramètres!$F$5:$G$8,2,FALSE()),""))</f>
        <v/>
      </c>
      <c r="P290" s="9" t="str">
        <f aca="false">IF(OR(B290="",O290=""),"",IF(N290="",B290,N290)+O290)</f>
        <v/>
      </c>
      <c r="Q290" s="10"/>
      <c r="R290" s="8"/>
      <c r="S290" s="7" t="str">
        <f aca="false">IF(OR(B290="",R290=""),"",R290-B290)</f>
        <v/>
      </c>
      <c r="T290" s="7" t="str">
        <f aca="true">IF(OR(B290="",P290=""),"",IF(R290&lt;&gt;"",IF(R290&gt;P290,"Traité hors délai","Non"),IF(Q290="Classé sans suite","Non",IF(TODAY()&gt;P290,"OUI","Non"))))</f>
        <v/>
      </c>
      <c r="U290" s="11"/>
    </row>
    <row r="291" customFormat="false" ht="15" hidden="false" customHeight="false" outlineLevel="0" collapsed="false">
      <c r="A291" s="7" t="str">
        <f aca="false">IF(B291="","",YEAR(B291)&amp;"/"&amp;TEXT(ROW()-4,"0000"))</f>
        <v/>
      </c>
      <c r="B291" s="8"/>
      <c r="C291" s="7" t="str">
        <f aca="false">IF(B291="","",INT((B291-DATE(YEAR(B291-WEEKDAY(B291-1)+4),1,3)+WEEKDAY(DATE(YEAR(B291-WEEKDAY(B291-1)+4),1,3))+5)/7))</f>
        <v/>
      </c>
      <c r="D291" s="9" t="str">
        <f aca="false">IF(B291="","",B291-WEEKDAY(B291,2)+1)</f>
        <v/>
      </c>
      <c r="E291" s="10"/>
      <c r="F291" s="8"/>
      <c r="G291" s="11"/>
      <c r="H291" s="10"/>
      <c r="I291" s="11"/>
      <c r="J291" s="10"/>
      <c r="K291" s="10"/>
      <c r="L291" s="10"/>
      <c r="M291" s="11"/>
      <c r="N291" s="8"/>
      <c r="O291" s="7" t="str">
        <f aca="false">IF(L291="","",IFERROR(VLOOKUP(L291,Paramètres!$F$5:$G$8,2,FALSE()),""))</f>
        <v/>
      </c>
      <c r="P291" s="9" t="str">
        <f aca="false">IF(OR(B291="",O291=""),"",IF(N291="",B291,N291)+O291)</f>
        <v/>
      </c>
      <c r="Q291" s="10"/>
      <c r="R291" s="8"/>
      <c r="S291" s="7" t="str">
        <f aca="false">IF(OR(B291="",R291=""),"",R291-B291)</f>
        <v/>
      </c>
      <c r="T291" s="7" t="str">
        <f aca="true">IF(OR(B291="",P291=""),"",IF(R291&lt;&gt;"",IF(R291&gt;P291,"Traité hors délai","Non"),IF(Q291="Classé sans suite","Non",IF(TODAY()&gt;P291,"OUI","Non"))))</f>
        <v/>
      </c>
      <c r="U291" s="11"/>
    </row>
    <row r="292" customFormat="false" ht="15" hidden="false" customHeight="false" outlineLevel="0" collapsed="false">
      <c r="A292" s="7" t="str">
        <f aca="false">IF(B292="","",YEAR(B292)&amp;"/"&amp;TEXT(ROW()-4,"0000"))</f>
        <v/>
      </c>
      <c r="B292" s="8"/>
      <c r="C292" s="7" t="str">
        <f aca="false">IF(B292="","",INT((B292-DATE(YEAR(B292-WEEKDAY(B292-1)+4),1,3)+WEEKDAY(DATE(YEAR(B292-WEEKDAY(B292-1)+4),1,3))+5)/7))</f>
        <v/>
      </c>
      <c r="D292" s="9" t="str">
        <f aca="false">IF(B292="","",B292-WEEKDAY(B292,2)+1)</f>
        <v/>
      </c>
      <c r="E292" s="10"/>
      <c r="F292" s="8"/>
      <c r="G292" s="11"/>
      <c r="H292" s="10"/>
      <c r="I292" s="11"/>
      <c r="J292" s="10"/>
      <c r="K292" s="10"/>
      <c r="L292" s="10"/>
      <c r="M292" s="11"/>
      <c r="N292" s="8"/>
      <c r="O292" s="7" t="str">
        <f aca="false">IF(L292="","",IFERROR(VLOOKUP(L292,Paramètres!$F$5:$G$8,2,FALSE()),""))</f>
        <v/>
      </c>
      <c r="P292" s="9" t="str">
        <f aca="false">IF(OR(B292="",O292=""),"",IF(N292="",B292,N292)+O292)</f>
        <v/>
      </c>
      <c r="Q292" s="10"/>
      <c r="R292" s="8"/>
      <c r="S292" s="7" t="str">
        <f aca="false">IF(OR(B292="",R292=""),"",R292-B292)</f>
        <v/>
      </c>
      <c r="T292" s="7" t="str">
        <f aca="true">IF(OR(B292="",P292=""),"",IF(R292&lt;&gt;"",IF(R292&gt;P292,"Traité hors délai","Non"),IF(Q292="Classé sans suite","Non",IF(TODAY()&gt;P292,"OUI","Non"))))</f>
        <v/>
      </c>
      <c r="U292" s="11"/>
    </row>
    <row r="293" customFormat="false" ht="15" hidden="false" customHeight="false" outlineLevel="0" collapsed="false">
      <c r="A293" s="7" t="str">
        <f aca="false">IF(B293="","",YEAR(B293)&amp;"/"&amp;TEXT(ROW()-4,"0000"))</f>
        <v/>
      </c>
      <c r="B293" s="8"/>
      <c r="C293" s="7" t="str">
        <f aca="false">IF(B293="","",INT((B293-DATE(YEAR(B293-WEEKDAY(B293-1)+4),1,3)+WEEKDAY(DATE(YEAR(B293-WEEKDAY(B293-1)+4),1,3))+5)/7))</f>
        <v/>
      </c>
      <c r="D293" s="9" t="str">
        <f aca="false">IF(B293="","",B293-WEEKDAY(B293,2)+1)</f>
        <v/>
      </c>
      <c r="E293" s="10"/>
      <c r="F293" s="8"/>
      <c r="G293" s="11"/>
      <c r="H293" s="10"/>
      <c r="I293" s="11"/>
      <c r="J293" s="10"/>
      <c r="K293" s="10"/>
      <c r="L293" s="10"/>
      <c r="M293" s="11"/>
      <c r="N293" s="8"/>
      <c r="O293" s="7" t="str">
        <f aca="false">IF(L293="","",IFERROR(VLOOKUP(L293,Paramètres!$F$5:$G$8,2,FALSE()),""))</f>
        <v/>
      </c>
      <c r="P293" s="9" t="str">
        <f aca="false">IF(OR(B293="",O293=""),"",IF(N293="",B293,N293)+O293)</f>
        <v/>
      </c>
      <c r="Q293" s="10"/>
      <c r="R293" s="8"/>
      <c r="S293" s="7" t="str">
        <f aca="false">IF(OR(B293="",R293=""),"",R293-B293)</f>
        <v/>
      </c>
      <c r="T293" s="7" t="str">
        <f aca="true">IF(OR(B293="",P293=""),"",IF(R293&lt;&gt;"",IF(R293&gt;P293,"Traité hors délai","Non"),IF(Q293="Classé sans suite","Non",IF(TODAY()&gt;P293,"OUI","Non"))))</f>
        <v/>
      </c>
      <c r="U293" s="11"/>
    </row>
    <row r="294" customFormat="false" ht="15" hidden="false" customHeight="false" outlineLevel="0" collapsed="false">
      <c r="A294" s="7" t="str">
        <f aca="false">IF(B294="","",YEAR(B294)&amp;"/"&amp;TEXT(ROW()-4,"0000"))</f>
        <v/>
      </c>
      <c r="B294" s="8"/>
      <c r="C294" s="7" t="str">
        <f aca="false">IF(B294="","",INT((B294-DATE(YEAR(B294-WEEKDAY(B294-1)+4),1,3)+WEEKDAY(DATE(YEAR(B294-WEEKDAY(B294-1)+4),1,3))+5)/7))</f>
        <v/>
      </c>
      <c r="D294" s="9" t="str">
        <f aca="false">IF(B294="","",B294-WEEKDAY(B294,2)+1)</f>
        <v/>
      </c>
      <c r="E294" s="10"/>
      <c r="F294" s="8"/>
      <c r="G294" s="11"/>
      <c r="H294" s="10"/>
      <c r="I294" s="11"/>
      <c r="J294" s="10"/>
      <c r="K294" s="10"/>
      <c r="L294" s="10"/>
      <c r="M294" s="11"/>
      <c r="N294" s="8"/>
      <c r="O294" s="7" t="str">
        <f aca="false">IF(L294="","",IFERROR(VLOOKUP(L294,Paramètres!$F$5:$G$8,2,FALSE()),""))</f>
        <v/>
      </c>
      <c r="P294" s="9" t="str">
        <f aca="false">IF(OR(B294="",O294=""),"",IF(N294="",B294,N294)+O294)</f>
        <v/>
      </c>
      <c r="Q294" s="10"/>
      <c r="R294" s="8"/>
      <c r="S294" s="7" t="str">
        <f aca="false">IF(OR(B294="",R294=""),"",R294-B294)</f>
        <v/>
      </c>
      <c r="T294" s="7" t="str">
        <f aca="true">IF(OR(B294="",P294=""),"",IF(R294&lt;&gt;"",IF(R294&gt;P294,"Traité hors délai","Non"),IF(Q294="Classé sans suite","Non",IF(TODAY()&gt;P294,"OUI","Non"))))</f>
        <v/>
      </c>
      <c r="U294" s="11"/>
    </row>
    <row r="295" customFormat="false" ht="15" hidden="false" customHeight="false" outlineLevel="0" collapsed="false">
      <c r="A295" s="7" t="str">
        <f aca="false">IF(B295="","",YEAR(B295)&amp;"/"&amp;TEXT(ROW()-4,"0000"))</f>
        <v/>
      </c>
      <c r="B295" s="8"/>
      <c r="C295" s="7" t="str">
        <f aca="false">IF(B295="","",INT((B295-DATE(YEAR(B295-WEEKDAY(B295-1)+4),1,3)+WEEKDAY(DATE(YEAR(B295-WEEKDAY(B295-1)+4),1,3))+5)/7))</f>
        <v/>
      </c>
      <c r="D295" s="9" t="str">
        <f aca="false">IF(B295="","",B295-WEEKDAY(B295,2)+1)</f>
        <v/>
      </c>
      <c r="E295" s="10"/>
      <c r="F295" s="8"/>
      <c r="G295" s="11"/>
      <c r="H295" s="10"/>
      <c r="I295" s="11"/>
      <c r="J295" s="10"/>
      <c r="K295" s="10"/>
      <c r="L295" s="10"/>
      <c r="M295" s="11"/>
      <c r="N295" s="8"/>
      <c r="O295" s="7" t="str">
        <f aca="false">IF(L295="","",IFERROR(VLOOKUP(L295,Paramètres!$F$5:$G$8,2,FALSE()),""))</f>
        <v/>
      </c>
      <c r="P295" s="9" t="str">
        <f aca="false">IF(OR(B295="",O295=""),"",IF(N295="",B295,N295)+O295)</f>
        <v/>
      </c>
      <c r="Q295" s="10"/>
      <c r="R295" s="8"/>
      <c r="S295" s="7" t="str">
        <f aca="false">IF(OR(B295="",R295=""),"",R295-B295)</f>
        <v/>
      </c>
      <c r="T295" s="7" t="str">
        <f aca="true">IF(OR(B295="",P295=""),"",IF(R295&lt;&gt;"",IF(R295&gt;P295,"Traité hors délai","Non"),IF(Q295="Classé sans suite","Non",IF(TODAY()&gt;P295,"OUI","Non"))))</f>
        <v/>
      </c>
      <c r="U295" s="11"/>
    </row>
    <row r="296" customFormat="false" ht="15" hidden="false" customHeight="false" outlineLevel="0" collapsed="false">
      <c r="A296" s="7" t="str">
        <f aca="false">IF(B296="","",YEAR(B296)&amp;"/"&amp;TEXT(ROW()-4,"0000"))</f>
        <v/>
      </c>
      <c r="B296" s="8"/>
      <c r="C296" s="7" t="str">
        <f aca="false">IF(B296="","",INT((B296-DATE(YEAR(B296-WEEKDAY(B296-1)+4),1,3)+WEEKDAY(DATE(YEAR(B296-WEEKDAY(B296-1)+4),1,3))+5)/7))</f>
        <v/>
      </c>
      <c r="D296" s="9" t="str">
        <f aca="false">IF(B296="","",B296-WEEKDAY(B296,2)+1)</f>
        <v/>
      </c>
      <c r="E296" s="10"/>
      <c r="F296" s="8"/>
      <c r="G296" s="11"/>
      <c r="H296" s="10"/>
      <c r="I296" s="11"/>
      <c r="J296" s="10"/>
      <c r="K296" s="10"/>
      <c r="L296" s="10"/>
      <c r="M296" s="11"/>
      <c r="N296" s="8"/>
      <c r="O296" s="7" t="str">
        <f aca="false">IF(L296="","",IFERROR(VLOOKUP(L296,Paramètres!$F$5:$G$8,2,FALSE()),""))</f>
        <v/>
      </c>
      <c r="P296" s="9" t="str">
        <f aca="false">IF(OR(B296="",O296=""),"",IF(N296="",B296,N296)+O296)</f>
        <v/>
      </c>
      <c r="Q296" s="10"/>
      <c r="R296" s="8"/>
      <c r="S296" s="7" t="str">
        <f aca="false">IF(OR(B296="",R296=""),"",R296-B296)</f>
        <v/>
      </c>
      <c r="T296" s="7" t="str">
        <f aca="true">IF(OR(B296="",P296=""),"",IF(R296&lt;&gt;"",IF(R296&gt;P296,"Traité hors délai","Non"),IF(Q296="Classé sans suite","Non",IF(TODAY()&gt;P296,"OUI","Non"))))</f>
        <v/>
      </c>
      <c r="U296" s="11"/>
    </row>
    <row r="297" customFormat="false" ht="15" hidden="false" customHeight="false" outlineLevel="0" collapsed="false">
      <c r="A297" s="7" t="str">
        <f aca="false">IF(B297="","",YEAR(B297)&amp;"/"&amp;TEXT(ROW()-4,"0000"))</f>
        <v/>
      </c>
      <c r="B297" s="8"/>
      <c r="C297" s="7" t="str">
        <f aca="false">IF(B297="","",INT((B297-DATE(YEAR(B297-WEEKDAY(B297-1)+4),1,3)+WEEKDAY(DATE(YEAR(B297-WEEKDAY(B297-1)+4),1,3))+5)/7))</f>
        <v/>
      </c>
      <c r="D297" s="9" t="str">
        <f aca="false">IF(B297="","",B297-WEEKDAY(B297,2)+1)</f>
        <v/>
      </c>
      <c r="E297" s="10"/>
      <c r="F297" s="8"/>
      <c r="G297" s="11"/>
      <c r="H297" s="10"/>
      <c r="I297" s="11"/>
      <c r="J297" s="10"/>
      <c r="K297" s="10"/>
      <c r="L297" s="10"/>
      <c r="M297" s="11"/>
      <c r="N297" s="8"/>
      <c r="O297" s="7" t="str">
        <f aca="false">IF(L297="","",IFERROR(VLOOKUP(L297,Paramètres!$F$5:$G$8,2,FALSE()),""))</f>
        <v/>
      </c>
      <c r="P297" s="9" t="str">
        <f aca="false">IF(OR(B297="",O297=""),"",IF(N297="",B297,N297)+O297)</f>
        <v/>
      </c>
      <c r="Q297" s="10"/>
      <c r="R297" s="8"/>
      <c r="S297" s="7" t="str">
        <f aca="false">IF(OR(B297="",R297=""),"",R297-B297)</f>
        <v/>
      </c>
      <c r="T297" s="7" t="str">
        <f aca="true">IF(OR(B297="",P297=""),"",IF(R297&lt;&gt;"",IF(R297&gt;P297,"Traité hors délai","Non"),IF(Q297="Classé sans suite","Non",IF(TODAY()&gt;P297,"OUI","Non"))))</f>
        <v/>
      </c>
      <c r="U297" s="11"/>
    </row>
    <row r="298" customFormat="false" ht="15" hidden="false" customHeight="false" outlineLevel="0" collapsed="false">
      <c r="A298" s="7" t="str">
        <f aca="false">IF(B298="","",YEAR(B298)&amp;"/"&amp;TEXT(ROW()-4,"0000"))</f>
        <v/>
      </c>
      <c r="B298" s="8"/>
      <c r="C298" s="7" t="str">
        <f aca="false">IF(B298="","",INT((B298-DATE(YEAR(B298-WEEKDAY(B298-1)+4),1,3)+WEEKDAY(DATE(YEAR(B298-WEEKDAY(B298-1)+4),1,3))+5)/7))</f>
        <v/>
      </c>
      <c r="D298" s="9" t="str">
        <f aca="false">IF(B298="","",B298-WEEKDAY(B298,2)+1)</f>
        <v/>
      </c>
      <c r="E298" s="10"/>
      <c r="F298" s="8"/>
      <c r="G298" s="11"/>
      <c r="H298" s="10"/>
      <c r="I298" s="11"/>
      <c r="J298" s="10"/>
      <c r="K298" s="10"/>
      <c r="L298" s="10"/>
      <c r="M298" s="11"/>
      <c r="N298" s="8"/>
      <c r="O298" s="7" t="str">
        <f aca="false">IF(L298="","",IFERROR(VLOOKUP(L298,Paramètres!$F$5:$G$8,2,FALSE()),""))</f>
        <v/>
      </c>
      <c r="P298" s="9" t="str">
        <f aca="false">IF(OR(B298="",O298=""),"",IF(N298="",B298,N298)+O298)</f>
        <v/>
      </c>
      <c r="Q298" s="10"/>
      <c r="R298" s="8"/>
      <c r="S298" s="7" t="str">
        <f aca="false">IF(OR(B298="",R298=""),"",R298-B298)</f>
        <v/>
      </c>
      <c r="T298" s="7" t="str">
        <f aca="true">IF(OR(B298="",P298=""),"",IF(R298&lt;&gt;"",IF(R298&gt;P298,"Traité hors délai","Non"),IF(Q298="Classé sans suite","Non",IF(TODAY()&gt;P298,"OUI","Non"))))</f>
        <v/>
      </c>
      <c r="U298" s="11"/>
    </row>
    <row r="299" customFormat="false" ht="15" hidden="false" customHeight="false" outlineLevel="0" collapsed="false">
      <c r="A299" s="7" t="str">
        <f aca="false">IF(B299="","",YEAR(B299)&amp;"/"&amp;TEXT(ROW()-4,"0000"))</f>
        <v/>
      </c>
      <c r="B299" s="8"/>
      <c r="C299" s="7" t="str">
        <f aca="false">IF(B299="","",INT((B299-DATE(YEAR(B299-WEEKDAY(B299-1)+4),1,3)+WEEKDAY(DATE(YEAR(B299-WEEKDAY(B299-1)+4),1,3))+5)/7))</f>
        <v/>
      </c>
      <c r="D299" s="9" t="str">
        <f aca="false">IF(B299="","",B299-WEEKDAY(B299,2)+1)</f>
        <v/>
      </c>
      <c r="E299" s="10"/>
      <c r="F299" s="8"/>
      <c r="G299" s="11"/>
      <c r="H299" s="10"/>
      <c r="I299" s="11"/>
      <c r="J299" s="10"/>
      <c r="K299" s="10"/>
      <c r="L299" s="10"/>
      <c r="M299" s="11"/>
      <c r="N299" s="8"/>
      <c r="O299" s="7" t="str">
        <f aca="false">IF(L299="","",IFERROR(VLOOKUP(L299,Paramètres!$F$5:$G$8,2,FALSE()),""))</f>
        <v/>
      </c>
      <c r="P299" s="9" t="str">
        <f aca="false">IF(OR(B299="",O299=""),"",IF(N299="",B299,N299)+O299)</f>
        <v/>
      </c>
      <c r="Q299" s="10"/>
      <c r="R299" s="8"/>
      <c r="S299" s="7" t="str">
        <f aca="false">IF(OR(B299="",R299=""),"",R299-B299)</f>
        <v/>
      </c>
      <c r="T299" s="7" t="str">
        <f aca="true">IF(OR(B299="",P299=""),"",IF(R299&lt;&gt;"",IF(R299&gt;P299,"Traité hors délai","Non"),IF(Q299="Classé sans suite","Non",IF(TODAY()&gt;P299,"OUI","Non"))))</f>
        <v/>
      </c>
      <c r="U299" s="11"/>
    </row>
    <row r="300" customFormat="false" ht="15" hidden="false" customHeight="false" outlineLevel="0" collapsed="false">
      <c r="A300" s="7" t="str">
        <f aca="false">IF(B300="","",YEAR(B300)&amp;"/"&amp;TEXT(ROW()-4,"0000"))</f>
        <v/>
      </c>
      <c r="B300" s="8"/>
      <c r="C300" s="7" t="str">
        <f aca="false">IF(B300="","",INT((B300-DATE(YEAR(B300-WEEKDAY(B300-1)+4),1,3)+WEEKDAY(DATE(YEAR(B300-WEEKDAY(B300-1)+4),1,3))+5)/7))</f>
        <v/>
      </c>
      <c r="D300" s="9" t="str">
        <f aca="false">IF(B300="","",B300-WEEKDAY(B300,2)+1)</f>
        <v/>
      </c>
      <c r="E300" s="10"/>
      <c r="F300" s="8"/>
      <c r="G300" s="11"/>
      <c r="H300" s="10"/>
      <c r="I300" s="11"/>
      <c r="J300" s="10"/>
      <c r="K300" s="10"/>
      <c r="L300" s="10"/>
      <c r="M300" s="11"/>
      <c r="N300" s="8"/>
      <c r="O300" s="7" t="str">
        <f aca="false">IF(L300="","",IFERROR(VLOOKUP(L300,Paramètres!$F$5:$G$8,2,FALSE()),""))</f>
        <v/>
      </c>
      <c r="P300" s="9" t="str">
        <f aca="false">IF(OR(B300="",O300=""),"",IF(N300="",B300,N300)+O300)</f>
        <v/>
      </c>
      <c r="Q300" s="10"/>
      <c r="R300" s="8"/>
      <c r="S300" s="7" t="str">
        <f aca="false">IF(OR(B300="",R300=""),"",R300-B300)</f>
        <v/>
      </c>
      <c r="T300" s="7" t="str">
        <f aca="true">IF(OR(B300="",P300=""),"",IF(R300&lt;&gt;"",IF(R300&gt;P300,"Traité hors délai","Non"),IF(Q300="Classé sans suite","Non",IF(TODAY()&gt;P300,"OUI","Non"))))</f>
        <v/>
      </c>
      <c r="U300" s="11"/>
    </row>
    <row r="301" customFormat="false" ht="15" hidden="false" customHeight="false" outlineLevel="0" collapsed="false">
      <c r="A301" s="7" t="str">
        <f aca="false">IF(B301="","",YEAR(B301)&amp;"/"&amp;TEXT(ROW()-4,"0000"))</f>
        <v/>
      </c>
      <c r="B301" s="8"/>
      <c r="C301" s="7" t="str">
        <f aca="false">IF(B301="","",INT((B301-DATE(YEAR(B301-WEEKDAY(B301-1)+4),1,3)+WEEKDAY(DATE(YEAR(B301-WEEKDAY(B301-1)+4),1,3))+5)/7))</f>
        <v/>
      </c>
      <c r="D301" s="9" t="str">
        <f aca="false">IF(B301="","",B301-WEEKDAY(B301,2)+1)</f>
        <v/>
      </c>
      <c r="E301" s="10"/>
      <c r="F301" s="8"/>
      <c r="G301" s="11"/>
      <c r="H301" s="10"/>
      <c r="I301" s="11"/>
      <c r="J301" s="10"/>
      <c r="K301" s="10"/>
      <c r="L301" s="10"/>
      <c r="M301" s="11"/>
      <c r="N301" s="8"/>
      <c r="O301" s="7" t="str">
        <f aca="false">IF(L301="","",IFERROR(VLOOKUP(L301,Paramètres!$F$5:$G$8,2,FALSE()),""))</f>
        <v/>
      </c>
      <c r="P301" s="9" t="str">
        <f aca="false">IF(OR(B301="",O301=""),"",IF(N301="",B301,N301)+O301)</f>
        <v/>
      </c>
      <c r="Q301" s="10"/>
      <c r="R301" s="8"/>
      <c r="S301" s="7" t="str">
        <f aca="false">IF(OR(B301="",R301=""),"",R301-B301)</f>
        <v/>
      </c>
      <c r="T301" s="7" t="str">
        <f aca="true">IF(OR(B301="",P301=""),"",IF(R301&lt;&gt;"",IF(R301&gt;P301,"Traité hors délai","Non"),IF(Q301="Classé sans suite","Non",IF(TODAY()&gt;P301,"OUI","Non"))))</f>
        <v/>
      </c>
      <c r="U301" s="11"/>
    </row>
    <row r="302" customFormat="false" ht="15" hidden="false" customHeight="false" outlineLevel="0" collapsed="false">
      <c r="A302" s="7" t="str">
        <f aca="false">IF(B302="","",YEAR(B302)&amp;"/"&amp;TEXT(ROW()-4,"0000"))</f>
        <v/>
      </c>
      <c r="B302" s="8"/>
      <c r="C302" s="7" t="str">
        <f aca="false">IF(B302="","",INT((B302-DATE(YEAR(B302-WEEKDAY(B302-1)+4),1,3)+WEEKDAY(DATE(YEAR(B302-WEEKDAY(B302-1)+4),1,3))+5)/7))</f>
        <v/>
      </c>
      <c r="D302" s="9" t="str">
        <f aca="false">IF(B302="","",B302-WEEKDAY(B302,2)+1)</f>
        <v/>
      </c>
      <c r="E302" s="10"/>
      <c r="F302" s="8"/>
      <c r="G302" s="11"/>
      <c r="H302" s="10"/>
      <c r="I302" s="11"/>
      <c r="J302" s="10"/>
      <c r="K302" s="10"/>
      <c r="L302" s="10"/>
      <c r="M302" s="11"/>
      <c r="N302" s="8"/>
      <c r="O302" s="7" t="str">
        <f aca="false">IF(L302="","",IFERROR(VLOOKUP(L302,Paramètres!$F$5:$G$8,2,FALSE()),""))</f>
        <v/>
      </c>
      <c r="P302" s="9" t="str">
        <f aca="false">IF(OR(B302="",O302=""),"",IF(N302="",B302,N302)+O302)</f>
        <v/>
      </c>
      <c r="Q302" s="10"/>
      <c r="R302" s="8"/>
      <c r="S302" s="7" t="str">
        <f aca="false">IF(OR(B302="",R302=""),"",R302-B302)</f>
        <v/>
      </c>
      <c r="T302" s="7" t="str">
        <f aca="true">IF(OR(B302="",P302=""),"",IF(R302&lt;&gt;"",IF(R302&gt;P302,"Traité hors délai","Non"),IF(Q302="Classé sans suite","Non",IF(TODAY()&gt;P302,"OUI","Non"))))</f>
        <v/>
      </c>
      <c r="U302" s="11"/>
    </row>
    <row r="303" customFormat="false" ht="15" hidden="false" customHeight="false" outlineLevel="0" collapsed="false">
      <c r="A303" s="7" t="str">
        <f aca="false">IF(B303="","",YEAR(B303)&amp;"/"&amp;TEXT(ROW()-4,"0000"))</f>
        <v/>
      </c>
      <c r="B303" s="8"/>
      <c r="C303" s="7" t="str">
        <f aca="false">IF(B303="","",INT((B303-DATE(YEAR(B303-WEEKDAY(B303-1)+4),1,3)+WEEKDAY(DATE(YEAR(B303-WEEKDAY(B303-1)+4),1,3))+5)/7))</f>
        <v/>
      </c>
      <c r="D303" s="9" t="str">
        <f aca="false">IF(B303="","",B303-WEEKDAY(B303,2)+1)</f>
        <v/>
      </c>
      <c r="E303" s="10"/>
      <c r="F303" s="8"/>
      <c r="G303" s="11"/>
      <c r="H303" s="10"/>
      <c r="I303" s="11"/>
      <c r="J303" s="10"/>
      <c r="K303" s="10"/>
      <c r="L303" s="10"/>
      <c r="M303" s="11"/>
      <c r="N303" s="8"/>
      <c r="O303" s="7" t="str">
        <f aca="false">IF(L303="","",IFERROR(VLOOKUP(L303,Paramètres!$F$5:$G$8,2,FALSE()),""))</f>
        <v/>
      </c>
      <c r="P303" s="9" t="str">
        <f aca="false">IF(OR(B303="",O303=""),"",IF(N303="",B303,N303)+O303)</f>
        <v/>
      </c>
      <c r="Q303" s="10"/>
      <c r="R303" s="8"/>
      <c r="S303" s="7" t="str">
        <f aca="false">IF(OR(B303="",R303=""),"",R303-B303)</f>
        <v/>
      </c>
      <c r="T303" s="7" t="str">
        <f aca="true">IF(OR(B303="",P303=""),"",IF(R303&lt;&gt;"",IF(R303&gt;P303,"Traité hors délai","Non"),IF(Q303="Classé sans suite","Non",IF(TODAY()&gt;P303,"OUI","Non"))))</f>
        <v/>
      </c>
      <c r="U303" s="11"/>
    </row>
    <row r="304" customFormat="false" ht="15" hidden="false" customHeight="false" outlineLevel="0" collapsed="false">
      <c r="A304" s="7" t="str">
        <f aca="false">IF(B304="","",YEAR(B304)&amp;"/"&amp;TEXT(ROW()-4,"0000"))</f>
        <v/>
      </c>
      <c r="B304" s="8"/>
      <c r="C304" s="7" t="str">
        <f aca="false">IF(B304="","",INT((B304-DATE(YEAR(B304-WEEKDAY(B304-1)+4),1,3)+WEEKDAY(DATE(YEAR(B304-WEEKDAY(B304-1)+4),1,3))+5)/7))</f>
        <v/>
      </c>
      <c r="D304" s="9" t="str">
        <f aca="false">IF(B304="","",B304-WEEKDAY(B304,2)+1)</f>
        <v/>
      </c>
      <c r="E304" s="10"/>
      <c r="F304" s="8"/>
      <c r="G304" s="11"/>
      <c r="H304" s="10"/>
      <c r="I304" s="11"/>
      <c r="J304" s="10"/>
      <c r="K304" s="10"/>
      <c r="L304" s="10"/>
      <c r="M304" s="11"/>
      <c r="N304" s="8"/>
      <c r="O304" s="7" t="str">
        <f aca="false">IF(L304="","",IFERROR(VLOOKUP(L304,Paramètres!$F$5:$G$8,2,FALSE()),""))</f>
        <v/>
      </c>
      <c r="P304" s="9" t="str">
        <f aca="false">IF(OR(B304="",O304=""),"",IF(N304="",B304,N304)+O304)</f>
        <v/>
      </c>
      <c r="Q304" s="10"/>
      <c r="R304" s="8"/>
      <c r="S304" s="7" t="str">
        <f aca="false">IF(OR(B304="",R304=""),"",R304-B304)</f>
        <v/>
      </c>
      <c r="T304" s="7" t="str">
        <f aca="true">IF(OR(B304="",P304=""),"",IF(R304&lt;&gt;"",IF(R304&gt;P304,"Traité hors délai","Non"),IF(Q304="Classé sans suite","Non",IF(TODAY()&gt;P304,"OUI","Non"))))</f>
        <v/>
      </c>
      <c r="U304" s="11"/>
    </row>
    <row r="305" customFormat="false" ht="15" hidden="false" customHeight="false" outlineLevel="0" collapsed="false">
      <c r="A305" s="7" t="str">
        <f aca="false">IF(B305="","",YEAR(B305)&amp;"/"&amp;TEXT(ROW()-4,"0000"))</f>
        <v/>
      </c>
      <c r="B305" s="8"/>
      <c r="C305" s="7" t="str">
        <f aca="false">IF(B305="","",INT((B305-DATE(YEAR(B305-WEEKDAY(B305-1)+4),1,3)+WEEKDAY(DATE(YEAR(B305-WEEKDAY(B305-1)+4),1,3))+5)/7))</f>
        <v/>
      </c>
      <c r="D305" s="9" t="str">
        <f aca="false">IF(B305="","",B305-WEEKDAY(B305,2)+1)</f>
        <v/>
      </c>
      <c r="E305" s="10"/>
      <c r="F305" s="8"/>
      <c r="G305" s="11"/>
      <c r="H305" s="10"/>
      <c r="I305" s="11"/>
      <c r="J305" s="10"/>
      <c r="K305" s="10"/>
      <c r="L305" s="10"/>
      <c r="M305" s="11"/>
      <c r="N305" s="8"/>
      <c r="O305" s="7" t="str">
        <f aca="false">IF(L305="","",IFERROR(VLOOKUP(L305,Paramètres!$F$5:$G$8,2,FALSE()),""))</f>
        <v/>
      </c>
      <c r="P305" s="9" t="str">
        <f aca="false">IF(OR(B305="",O305=""),"",IF(N305="",B305,N305)+O305)</f>
        <v/>
      </c>
      <c r="Q305" s="10"/>
      <c r="R305" s="8"/>
      <c r="S305" s="7" t="str">
        <f aca="false">IF(OR(B305="",R305=""),"",R305-B305)</f>
        <v/>
      </c>
      <c r="T305" s="7" t="str">
        <f aca="true">IF(OR(B305="",P305=""),"",IF(R305&lt;&gt;"",IF(R305&gt;P305,"Traité hors délai","Non"),IF(Q305="Classé sans suite","Non",IF(TODAY()&gt;P305,"OUI","Non"))))</f>
        <v/>
      </c>
      <c r="U305" s="11"/>
    </row>
    <row r="306" customFormat="false" ht="15" hidden="false" customHeight="false" outlineLevel="0" collapsed="false">
      <c r="A306" s="7" t="str">
        <f aca="false">IF(B306="","",YEAR(B306)&amp;"/"&amp;TEXT(ROW()-4,"0000"))</f>
        <v/>
      </c>
      <c r="B306" s="8"/>
      <c r="C306" s="7" t="str">
        <f aca="false">IF(B306="","",INT((B306-DATE(YEAR(B306-WEEKDAY(B306-1)+4),1,3)+WEEKDAY(DATE(YEAR(B306-WEEKDAY(B306-1)+4),1,3))+5)/7))</f>
        <v/>
      </c>
      <c r="D306" s="9" t="str">
        <f aca="false">IF(B306="","",B306-WEEKDAY(B306,2)+1)</f>
        <v/>
      </c>
      <c r="E306" s="10"/>
      <c r="F306" s="8"/>
      <c r="G306" s="11"/>
      <c r="H306" s="10"/>
      <c r="I306" s="11"/>
      <c r="J306" s="10"/>
      <c r="K306" s="10"/>
      <c r="L306" s="10"/>
      <c r="M306" s="11"/>
      <c r="N306" s="8"/>
      <c r="O306" s="7" t="str">
        <f aca="false">IF(L306="","",IFERROR(VLOOKUP(L306,Paramètres!$F$5:$G$8,2,FALSE()),""))</f>
        <v/>
      </c>
      <c r="P306" s="9" t="str">
        <f aca="false">IF(OR(B306="",O306=""),"",IF(N306="",B306,N306)+O306)</f>
        <v/>
      </c>
      <c r="Q306" s="10"/>
      <c r="R306" s="8"/>
      <c r="S306" s="7" t="str">
        <f aca="false">IF(OR(B306="",R306=""),"",R306-B306)</f>
        <v/>
      </c>
      <c r="T306" s="7" t="str">
        <f aca="true">IF(OR(B306="",P306=""),"",IF(R306&lt;&gt;"",IF(R306&gt;P306,"Traité hors délai","Non"),IF(Q306="Classé sans suite","Non",IF(TODAY()&gt;P306,"OUI","Non"))))</f>
        <v/>
      </c>
      <c r="U306" s="11"/>
    </row>
    <row r="307" customFormat="false" ht="15" hidden="false" customHeight="false" outlineLevel="0" collapsed="false">
      <c r="A307" s="7" t="str">
        <f aca="false">IF(B307="","",YEAR(B307)&amp;"/"&amp;TEXT(ROW()-4,"0000"))</f>
        <v/>
      </c>
      <c r="B307" s="8"/>
      <c r="C307" s="7" t="str">
        <f aca="false">IF(B307="","",INT((B307-DATE(YEAR(B307-WEEKDAY(B307-1)+4),1,3)+WEEKDAY(DATE(YEAR(B307-WEEKDAY(B307-1)+4),1,3))+5)/7))</f>
        <v/>
      </c>
      <c r="D307" s="9" t="str">
        <f aca="false">IF(B307="","",B307-WEEKDAY(B307,2)+1)</f>
        <v/>
      </c>
      <c r="E307" s="10"/>
      <c r="F307" s="8"/>
      <c r="G307" s="11"/>
      <c r="H307" s="10"/>
      <c r="I307" s="11"/>
      <c r="J307" s="10"/>
      <c r="K307" s="10"/>
      <c r="L307" s="10"/>
      <c r="M307" s="11"/>
      <c r="N307" s="8"/>
      <c r="O307" s="7" t="str">
        <f aca="false">IF(L307="","",IFERROR(VLOOKUP(L307,Paramètres!$F$5:$G$8,2,FALSE()),""))</f>
        <v/>
      </c>
      <c r="P307" s="9" t="str">
        <f aca="false">IF(OR(B307="",O307=""),"",IF(N307="",B307,N307)+O307)</f>
        <v/>
      </c>
      <c r="Q307" s="10"/>
      <c r="R307" s="8"/>
      <c r="S307" s="7" t="str">
        <f aca="false">IF(OR(B307="",R307=""),"",R307-B307)</f>
        <v/>
      </c>
      <c r="T307" s="7" t="str">
        <f aca="true">IF(OR(B307="",P307=""),"",IF(R307&lt;&gt;"",IF(R307&gt;P307,"Traité hors délai","Non"),IF(Q307="Classé sans suite","Non",IF(TODAY()&gt;P307,"OUI","Non"))))</f>
        <v/>
      </c>
      <c r="U307" s="11"/>
    </row>
    <row r="308" customFormat="false" ht="15" hidden="false" customHeight="false" outlineLevel="0" collapsed="false">
      <c r="A308" s="7" t="str">
        <f aca="false">IF(B308="","",YEAR(B308)&amp;"/"&amp;TEXT(ROW()-4,"0000"))</f>
        <v/>
      </c>
      <c r="B308" s="8"/>
      <c r="C308" s="7" t="str">
        <f aca="false">IF(B308="","",INT((B308-DATE(YEAR(B308-WEEKDAY(B308-1)+4),1,3)+WEEKDAY(DATE(YEAR(B308-WEEKDAY(B308-1)+4),1,3))+5)/7))</f>
        <v/>
      </c>
      <c r="D308" s="9" t="str">
        <f aca="false">IF(B308="","",B308-WEEKDAY(B308,2)+1)</f>
        <v/>
      </c>
      <c r="E308" s="10"/>
      <c r="F308" s="8"/>
      <c r="G308" s="11"/>
      <c r="H308" s="10"/>
      <c r="I308" s="11"/>
      <c r="J308" s="10"/>
      <c r="K308" s="10"/>
      <c r="L308" s="10"/>
      <c r="M308" s="11"/>
      <c r="N308" s="8"/>
      <c r="O308" s="7" t="str">
        <f aca="false">IF(L308="","",IFERROR(VLOOKUP(L308,Paramètres!$F$5:$G$8,2,FALSE()),""))</f>
        <v/>
      </c>
      <c r="P308" s="9" t="str">
        <f aca="false">IF(OR(B308="",O308=""),"",IF(N308="",B308,N308)+O308)</f>
        <v/>
      </c>
      <c r="Q308" s="10"/>
      <c r="R308" s="8"/>
      <c r="S308" s="7" t="str">
        <f aca="false">IF(OR(B308="",R308=""),"",R308-B308)</f>
        <v/>
      </c>
      <c r="T308" s="7" t="str">
        <f aca="true">IF(OR(B308="",P308=""),"",IF(R308&lt;&gt;"",IF(R308&gt;P308,"Traité hors délai","Non"),IF(Q308="Classé sans suite","Non",IF(TODAY()&gt;P308,"OUI","Non"))))</f>
        <v/>
      </c>
      <c r="U308" s="11"/>
    </row>
    <row r="309" customFormat="false" ht="15" hidden="false" customHeight="false" outlineLevel="0" collapsed="false">
      <c r="A309" s="7" t="str">
        <f aca="false">IF(B309="","",YEAR(B309)&amp;"/"&amp;TEXT(ROW()-4,"0000"))</f>
        <v/>
      </c>
      <c r="B309" s="8"/>
      <c r="C309" s="7" t="str">
        <f aca="false">IF(B309="","",INT((B309-DATE(YEAR(B309-WEEKDAY(B309-1)+4),1,3)+WEEKDAY(DATE(YEAR(B309-WEEKDAY(B309-1)+4),1,3))+5)/7))</f>
        <v/>
      </c>
      <c r="D309" s="9" t="str">
        <f aca="false">IF(B309="","",B309-WEEKDAY(B309,2)+1)</f>
        <v/>
      </c>
      <c r="E309" s="10"/>
      <c r="F309" s="8"/>
      <c r="G309" s="11"/>
      <c r="H309" s="10"/>
      <c r="I309" s="11"/>
      <c r="J309" s="10"/>
      <c r="K309" s="10"/>
      <c r="L309" s="10"/>
      <c r="M309" s="11"/>
      <c r="N309" s="8"/>
      <c r="O309" s="7" t="str">
        <f aca="false">IF(L309="","",IFERROR(VLOOKUP(L309,Paramètres!$F$5:$G$8,2,FALSE()),""))</f>
        <v/>
      </c>
      <c r="P309" s="9" t="str">
        <f aca="false">IF(OR(B309="",O309=""),"",IF(N309="",B309,N309)+O309)</f>
        <v/>
      </c>
      <c r="Q309" s="10"/>
      <c r="R309" s="8"/>
      <c r="S309" s="7" t="str">
        <f aca="false">IF(OR(B309="",R309=""),"",R309-B309)</f>
        <v/>
      </c>
      <c r="T309" s="7" t="str">
        <f aca="true">IF(OR(B309="",P309=""),"",IF(R309&lt;&gt;"",IF(R309&gt;P309,"Traité hors délai","Non"),IF(Q309="Classé sans suite","Non",IF(TODAY()&gt;P309,"OUI","Non"))))</f>
        <v/>
      </c>
      <c r="U309" s="11"/>
    </row>
    <row r="310" customFormat="false" ht="15" hidden="false" customHeight="false" outlineLevel="0" collapsed="false">
      <c r="A310" s="7" t="str">
        <f aca="false">IF(B310="","",YEAR(B310)&amp;"/"&amp;TEXT(ROW()-4,"0000"))</f>
        <v/>
      </c>
      <c r="B310" s="8"/>
      <c r="C310" s="7" t="str">
        <f aca="false">IF(B310="","",INT((B310-DATE(YEAR(B310-WEEKDAY(B310-1)+4),1,3)+WEEKDAY(DATE(YEAR(B310-WEEKDAY(B310-1)+4),1,3))+5)/7))</f>
        <v/>
      </c>
      <c r="D310" s="9" t="str">
        <f aca="false">IF(B310="","",B310-WEEKDAY(B310,2)+1)</f>
        <v/>
      </c>
      <c r="E310" s="10"/>
      <c r="F310" s="8"/>
      <c r="G310" s="11"/>
      <c r="H310" s="10"/>
      <c r="I310" s="11"/>
      <c r="J310" s="10"/>
      <c r="K310" s="10"/>
      <c r="L310" s="10"/>
      <c r="M310" s="11"/>
      <c r="N310" s="8"/>
      <c r="O310" s="7" t="str">
        <f aca="false">IF(L310="","",IFERROR(VLOOKUP(L310,Paramètres!$F$5:$G$8,2,FALSE()),""))</f>
        <v/>
      </c>
      <c r="P310" s="9" t="str">
        <f aca="false">IF(OR(B310="",O310=""),"",IF(N310="",B310,N310)+O310)</f>
        <v/>
      </c>
      <c r="Q310" s="10"/>
      <c r="R310" s="8"/>
      <c r="S310" s="7" t="str">
        <f aca="false">IF(OR(B310="",R310=""),"",R310-B310)</f>
        <v/>
      </c>
      <c r="T310" s="7" t="str">
        <f aca="true">IF(OR(B310="",P310=""),"",IF(R310&lt;&gt;"",IF(R310&gt;P310,"Traité hors délai","Non"),IF(Q310="Classé sans suite","Non",IF(TODAY()&gt;P310,"OUI","Non"))))</f>
        <v/>
      </c>
      <c r="U310" s="11"/>
    </row>
    <row r="311" customFormat="false" ht="15" hidden="false" customHeight="false" outlineLevel="0" collapsed="false">
      <c r="A311" s="7" t="str">
        <f aca="false">IF(B311="","",YEAR(B311)&amp;"/"&amp;TEXT(ROW()-4,"0000"))</f>
        <v/>
      </c>
      <c r="B311" s="8"/>
      <c r="C311" s="7" t="str">
        <f aca="false">IF(B311="","",INT((B311-DATE(YEAR(B311-WEEKDAY(B311-1)+4),1,3)+WEEKDAY(DATE(YEAR(B311-WEEKDAY(B311-1)+4),1,3))+5)/7))</f>
        <v/>
      </c>
      <c r="D311" s="9" t="str">
        <f aca="false">IF(B311="","",B311-WEEKDAY(B311,2)+1)</f>
        <v/>
      </c>
      <c r="E311" s="10"/>
      <c r="F311" s="8"/>
      <c r="G311" s="11"/>
      <c r="H311" s="10"/>
      <c r="I311" s="11"/>
      <c r="J311" s="10"/>
      <c r="K311" s="10"/>
      <c r="L311" s="10"/>
      <c r="M311" s="11"/>
      <c r="N311" s="8"/>
      <c r="O311" s="7" t="str">
        <f aca="false">IF(L311="","",IFERROR(VLOOKUP(L311,Paramètres!$F$5:$G$8,2,FALSE()),""))</f>
        <v/>
      </c>
      <c r="P311" s="9" t="str">
        <f aca="false">IF(OR(B311="",O311=""),"",IF(N311="",B311,N311)+O311)</f>
        <v/>
      </c>
      <c r="Q311" s="10"/>
      <c r="R311" s="8"/>
      <c r="S311" s="7" t="str">
        <f aca="false">IF(OR(B311="",R311=""),"",R311-B311)</f>
        <v/>
      </c>
      <c r="T311" s="7" t="str">
        <f aca="true">IF(OR(B311="",P311=""),"",IF(R311&lt;&gt;"",IF(R311&gt;P311,"Traité hors délai","Non"),IF(Q311="Classé sans suite","Non",IF(TODAY()&gt;P311,"OUI","Non"))))</f>
        <v/>
      </c>
      <c r="U311" s="11"/>
    </row>
    <row r="312" customFormat="false" ht="15" hidden="false" customHeight="false" outlineLevel="0" collapsed="false">
      <c r="A312" s="7" t="str">
        <f aca="false">IF(B312="","",YEAR(B312)&amp;"/"&amp;TEXT(ROW()-4,"0000"))</f>
        <v/>
      </c>
      <c r="B312" s="8"/>
      <c r="C312" s="7" t="str">
        <f aca="false">IF(B312="","",INT((B312-DATE(YEAR(B312-WEEKDAY(B312-1)+4),1,3)+WEEKDAY(DATE(YEAR(B312-WEEKDAY(B312-1)+4),1,3))+5)/7))</f>
        <v/>
      </c>
      <c r="D312" s="9" t="str">
        <f aca="false">IF(B312="","",B312-WEEKDAY(B312,2)+1)</f>
        <v/>
      </c>
      <c r="E312" s="10"/>
      <c r="F312" s="8"/>
      <c r="G312" s="11"/>
      <c r="H312" s="10"/>
      <c r="I312" s="11"/>
      <c r="J312" s="10"/>
      <c r="K312" s="10"/>
      <c r="L312" s="10"/>
      <c r="M312" s="11"/>
      <c r="N312" s="8"/>
      <c r="O312" s="7" t="str">
        <f aca="false">IF(L312="","",IFERROR(VLOOKUP(L312,Paramètres!$F$5:$G$8,2,FALSE()),""))</f>
        <v/>
      </c>
      <c r="P312" s="9" t="str">
        <f aca="false">IF(OR(B312="",O312=""),"",IF(N312="",B312,N312)+O312)</f>
        <v/>
      </c>
      <c r="Q312" s="10"/>
      <c r="R312" s="8"/>
      <c r="S312" s="7" t="str">
        <f aca="false">IF(OR(B312="",R312=""),"",R312-B312)</f>
        <v/>
      </c>
      <c r="T312" s="7" t="str">
        <f aca="true">IF(OR(B312="",P312=""),"",IF(R312&lt;&gt;"",IF(R312&gt;P312,"Traité hors délai","Non"),IF(Q312="Classé sans suite","Non",IF(TODAY()&gt;P312,"OUI","Non"))))</f>
        <v/>
      </c>
      <c r="U312" s="11"/>
    </row>
    <row r="313" customFormat="false" ht="15" hidden="false" customHeight="false" outlineLevel="0" collapsed="false">
      <c r="A313" s="7" t="str">
        <f aca="false">IF(B313="","",YEAR(B313)&amp;"/"&amp;TEXT(ROW()-4,"0000"))</f>
        <v/>
      </c>
      <c r="B313" s="8"/>
      <c r="C313" s="7" t="str">
        <f aca="false">IF(B313="","",INT((B313-DATE(YEAR(B313-WEEKDAY(B313-1)+4),1,3)+WEEKDAY(DATE(YEAR(B313-WEEKDAY(B313-1)+4),1,3))+5)/7))</f>
        <v/>
      </c>
      <c r="D313" s="9" t="str">
        <f aca="false">IF(B313="","",B313-WEEKDAY(B313,2)+1)</f>
        <v/>
      </c>
      <c r="E313" s="10"/>
      <c r="F313" s="8"/>
      <c r="G313" s="11"/>
      <c r="H313" s="10"/>
      <c r="I313" s="11"/>
      <c r="J313" s="10"/>
      <c r="K313" s="10"/>
      <c r="L313" s="10"/>
      <c r="M313" s="11"/>
      <c r="N313" s="8"/>
      <c r="O313" s="7" t="str">
        <f aca="false">IF(L313="","",IFERROR(VLOOKUP(L313,Paramètres!$F$5:$G$8,2,FALSE()),""))</f>
        <v/>
      </c>
      <c r="P313" s="9" t="str">
        <f aca="false">IF(OR(B313="",O313=""),"",IF(N313="",B313,N313)+O313)</f>
        <v/>
      </c>
      <c r="Q313" s="10"/>
      <c r="R313" s="8"/>
      <c r="S313" s="7" t="str">
        <f aca="false">IF(OR(B313="",R313=""),"",R313-B313)</f>
        <v/>
      </c>
      <c r="T313" s="7" t="str">
        <f aca="true">IF(OR(B313="",P313=""),"",IF(R313&lt;&gt;"",IF(R313&gt;P313,"Traité hors délai","Non"),IF(Q313="Classé sans suite","Non",IF(TODAY()&gt;P313,"OUI","Non"))))</f>
        <v/>
      </c>
      <c r="U313" s="11"/>
    </row>
    <row r="314" customFormat="false" ht="15" hidden="false" customHeight="false" outlineLevel="0" collapsed="false">
      <c r="A314" s="7" t="str">
        <f aca="false">IF(B314="","",YEAR(B314)&amp;"/"&amp;TEXT(ROW()-4,"0000"))</f>
        <v/>
      </c>
      <c r="B314" s="8"/>
      <c r="C314" s="7" t="str">
        <f aca="false">IF(B314="","",INT((B314-DATE(YEAR(B314-WEEKDAY(B314-1)+4),1,3)+WEEKDAY(DATE(YEAR(B314-WEEKDAY(B314-1)+4),1,3))+5)/7))</f>
        <v/>
      </c>
      <c r="D314" s="9" t="str">
        <f aca="false">IF(B314="","",B314-WEEKDAY(B314,2)+1)</f>
        <v/>
      </c>
      <c r="E314" s="10"/>
      <c r="F314" s="8"/>
      <c r="G314" s="11"/>
      <c r="H314" s="10"/>
      <c r="I314" s="11"/>
      <c r="J314" s="10"/>
      <c r="K314" s="10"/>
      <c r="L314" s="10"/>
      <c r="M314" s="11"/>
      <c r="N314" s="8"/>
      <c r="O314" s="7" t="str">
        <f aca="false">IF(L314="","",IFERROR(VLOOKUP(L314,Paramètres!$F$5:$G$8,2,FALSE()),""))</f>
        <v/>
      </c>
      <c r="P314" s="9" t="str">
        <f aca="false">IF(OR(B314="",O314=""),"",IF(N314="",B314,N314)+O314)</f>
        <v/>
      </c>
      <c r="Q314" s="10"/>
      <c r="R314" s="8"/>
      <c r="S314" s="7" t="str">
        <f aca="false">IF(OR(B314="",R314=""),"",R314-B314)</f>
        <v/>
      </c>
      <c r="T314" s="7" t="str">
        <f aca="true">IF(OR(B314="",P314=""),"",IF(R314&lt;&gt;"",IF(R314&gt;P314,"Traité hors délai","Non"),IF(Q314="Classé sans suite","Non",IF(TODAY()&gt;P314,"OUI","Non"))))</f>
        <v/>
      </c>
      <c r="U314" s="11"/>
    </row>
    <row r="315" customFormat="false" ht="15" hidden="false" customHeight="false" outlineLevel="0" collapsed="false">
      <c r="A315" s="7" t="str">
        <f aca="false">IF(B315="","",YEAR(B315)&amp;"/"&amp;TEXT(ROW()-4,"0000"))</f>
        <v/>
      </c>
      <c r="B315" s="8"/>
      <c r="C315" s="7" t="str">
        <f aca="false">IF(B315="","",INT((B315-DATE(YEAR(B315-WEEKDAY(B315-1)+4),1,3)+WEEKDAY(DATE(YEAR(B315-WEEKDAY(B315-1)+4),1,3))+5)/7))</f>
        <v/>
      </c>
      <c r="D315" s="9" t="str">
        <f aca="false">IF(B315="","",B315-WEEKDAY(B315,2)+1)</f>
        <v/>
      </c>
      <c r="E315" s="10"/>
      <c r="F315" s="8"/>
      <c r="G315" s="11"/>
      <c r="H315" s="10"/>
      <c r="I315" s="11"/>
      <c r="J315" s="10"/>
      <c r="K315" s="10"/>
      <c r="L315" s="10"/>
      <c r="M315" s="11"/>
      <c r="N315" s="8"/>
      <c r="O315" s="7" t="str">
        <f aca="false">IF(L315="","",IFERROR(VLOOKUP(L315,Paramètres!$F$5:$G$8,2,FALSE()),""))</f>
        <v/>
      </c>
      <c r="P315" s="9" t="str">
        <f aca="false">IF(OR(B315="",O315=""),"",IF(N315="",B315,N315)+O315)</f>
        <v/>
      </c>
      <c r="Q315" s="10"/>
      <c r="R315" s="8"/>
      <c r="S315" s="7" t="str">
        <f aca="false">IF(OR(B315="",R315=""),"",R315-B315)</f>
        <v/>
      </c>
      <c r="T315" s="7" t="str">
        <f aca="true">IF(OR(B315="",P315=""),"",IF(R315&lt;&gt;"",IF(R315&gt;P315,"Traité hors délai","Non"),IF(Q315="Classé sans suite","Non",IF(TODAY()&gt;P315,"OUI","Non"))))</f>
        <v/>
      </c>
      <c r="U315" s="11"/>
    </row>
    <row r="316" customFormat="false" ht="15" hidden="false" customHeight="false" outlineLevel="0" collapsed="false">
      <c r="A316" s="7" t="str">
        <f aca="false">IF(B316="","",YEAR(B316)&amp;"/"&amp;TEXT(ROW()-4,"0000"))</f>
        <v/>
      </c>
      <c r="B316" s="8"/>
      <c r="C316" s="7" t="str">
        <f aca="false">IF(B316="","",INT((B316-DATE(YEAR(B316-WEEKDAY(B316-1)+4),1,3)+WEEKDAY(DATE(YEAR(B316-WEEKDAY(B316-1)+4),1,3))+5)/7))</f>
        <v/>
      </c>
      <c r="D316" s="9" t="str">
        <f aca="false">IF(B316="","",B316-WEEKDAY(B316,2)+1)</f>
        <v/>
      </c>
      <c r="E316" s="10"/>
      <c r="F316" s="8"/>
      <c r="G316" s="11"/>
      <c r="H316" s="10"/>
      <c r="I316" s="11"/>
      <c r="J316" s="10"/>
      <c r="K316" s="10"/>
      <c r="L316" s="10"/>
      <c r="M316" s="11"/>
      <c r="N316" s="8"/>
      <c r="O316" s="7" t="str">
        <f aca="false">IF(L316="","",IFERROR(VLOOKUP(L316,Paramètres!$F$5:$G$8,2,FALSE()),""))</f>
        <v/>
      </c>
      <c r="P316" s="9" t="str">
        <f aca="false">IF(OR(B316="",O316=""),"",IF(N316="",B316,N316)+O316)</f>
        <v/>
      </c>
      <c r="Q316" s="10"/>
      <c r="R316" s="8"/>
      <c r="S316" s="7" t="str">
        <f aca="false">IF(OR(B316="",R316=""),"",R316-B316)</f>
        <v/>
      </c>
      <c r="T316" s="7" t="str">
        <f aca="true">IF(OR(B316="",P316=""),"",IF(R316&lt;&gt;"",IF(R316&gt;P316,"Traité hors délai","Non"),IF(Q316="Classé sans suite","Non",IF(TODAY()&gt;P316,"OUI","Non"))))</f>
        <v/>
      </c>
      <c r="U316" s="11"/>
    </row>
    <row r="317" customFormat="false" ht="15" hidden="false" customHeight="false" outlineLevel="0" collapsed="false">
      <c r="A317" s="7" t="str">
        <f aca="false">IF(B317="","",YEAR(B317)&amp;"/"&amp;TEXT(ROW()-4,"0000"))</f>
        <v/>
      </c>
      <c r="B317" s="8"/>
      <c r="C317" s="7" t="str">
        <f aca="false">IF(B317="","",INT((B317-DATE(YEAR(B317-WEEKDAY(B317-1)+4),1,3)+WEEKDAY(DATE(YEAR(B317-WEEKDAY(B317-1)+4),1,3))+5)/7))</f>
        <v/>
      </c>
      <c r="D317" s="9" t="str">
        <f aca="false">IF(B317="","",B317-WEEKDAY(B317,2)+1)</f>
        <v/>
      </c>
      <c r="E317" s="10"/>
      <c r="F317" s="8"/>
      <c r="G317" s="11"/>
      <c r="H317" s="10"/>
      <c r="I317" s="11"/>
      <c r="J317" s="10"/>
      <c r="K317" s="10"/>
      <c r="L317" s="10"/>
      <c r="M317" s="11"/>
      <c r="N317" s="8"/>
      <c r="O317" s="7" t="str">
        <f aca="false">IF(L317="","",IFERROR(VLOOKUP(L317,Paramètres!$F$5:$G$8,2,FALSE()),""))</f>
        <v/>
      </c>
      <c r="P317" s="9" t="str">
        <f aca="false">IF(OR(B317="",O317=""),"",IF(N317="",B317,N317)+O317)</f>
        <v/>
      </c>
      <c r="Q317" s="10"/>
      <c r="R317" s="8"/>
      <c r="S317" s="7" t="str">
        <f aca="false">IF(OR(B317="",R317=""),"",R317-B317)</f>
        <v/>
      </c>
      <c r="T317" s="7" t="str">
        <f aca="true">IF(OR(B317="",P317=""),"",IF(R317&lt;&gt;"",IF(R317&gt;P317,"Traité hors délai","Non"),IF(Q317="Classé sans suite","Non",IF(TODAY()&gt;P317,"OUI","Non"))))</f>
        <v/>
      </c>
      <c r="U317" s="11"/>
    </row>
    <row r="318" customFormat="false" ht="15" hidden="false" customHeight="false" outlineLevel="0" collapsed="false">
      <c r="A318" s="7" t="str">
        <f aca="false">IF(B318="","",YEAR(B318)&amp;"/"&amp;TEXT(ROW()-4,"0000"))</f>
        <v/>
      </c>
      <c r="B318" s="8"/>
      <c r="C318" s="7" t="str">
        <f aca="false">IF(B318="","",INT((B318-DATE(YEAR(B318-WEEKDAY(B318-1)+4),1,3)+WEEKDAY(DATE(YEAR(B318-WEEKDAY(B318-1)+4),1,3))+5)/7))</f>
        <v/>
      </c>
      <c r="D318" s="9" t="str">
        <f aca="false">IF(B318="","",B318-WEEKDAY(B318,2)+1)</f>
        <v/>
      </c>
      <c r="E318" s="10"/>
      <c r="F318" s="8"/>
      <c r="G318" s="11"/>
      <c r="H318" s="10"/>
      <c r="I318" s="11"/>
      <c r="J318" s="10"/>
      <c r="K318" s="10"/>
      <c r="L318" s="10"/>
      <c r="M318" s="11"/>
      <c r="N318" s="8"/>
      <c r="O318" s="7" t="str">
        <f aca="false">IF(L318="","",IFERROR(VLOOKUP(L318,Paramètres!$F$5:$G$8,2,FALSE()),""))</f>
        <v/>
      </c>
      <c r="P318" s="9" t="str">
        <f aca="false">IF(OR(B318="",O318=""),"",IF(N318="",B318,N318)+O318)</f>
        <v/>
      </c>
      <c r="Q318" s="10"/>
      <c r="R318" s="8"/>
      <c r="S318" s="7" t="str">
        <f aca="false">IF(OR(B318="",R318=""),"",R318-B318)</f>
        <v/>
      </c>
      <c r="T318" s="7" t="str">
        <f aca="true">IF(OR(B318="",P318=""),"",IF(R318&lt;&gt;"",IF(R318&gt;P318,"Traité hors délai","Non"),IF(Q318="Classé sans suite","Non",IF(TODAY()&gt;P318,"OUI","Non"))))</f>
        <v/>
      </c>
      <c r="U318" s="11"/>
    </row>
    <row r="319" customFormat="false" ht="15" hidden="false" customHeight="false" outlineLevel="0" collapsed="false">
      <c r="A319" s="7" t="str">
        <f aca="false">IF(B319="","",YEAR(B319)&amp;"/"&amp;TEXT(ROW()-4,"0000"))</f>
        <v/>
      </c>
      <c r="B319" s="8"/>
      <c r="C319" s="7" t="str">
        <f aca="false">IF(B319="","",INT((B319-DATE(YEAR(B319-WEEKDAY(B319-1)+4),1,3)+WEEKDAY(DATE(YEAR(B319-WEEKDAY(B319-1)+4),1,3))+5)/7))</f>
        <v/>
      </c>
      <c r="D319" s="9" t="str">
        <f aca="false">IF(B319="","",B319-WEEKDAY(B319,2)+1)</f>
        <v/>
      </c>
      <c r="E319" s="10"/>
      <c r="F319" s="8"/>
      <c r="G319" s="11"/>
      <c r="H319" s="10"/>
      <c r="I319" s="11"/>
      <c r="J319" s="10"/>
      <c r="K319" s="10"/>
      <c r="L319" s="10"/>
      <c r="M319" s="11"/>
      <c r="N319" s="8"/>
      <c r="O319" s="7" t="str">
        <f aca="false">IF(L319="","",IFERROR(VLOOKUP(L319,Paramètres!$F$5:$G$8,2,FALSE()),""))</f>
        <v/>
      </c>
      <c r="P319" s="9" t="str">
        <f aca="false">IF(OR(B319="",O319=""),"",IF(N319="",B319,N319)+O319)</f>
        <v/>
      </c>
      <c r="Q319" s="10"/>
      <c r="R319" s="8"/>
      <c r="S319" s="7" t="str">
        <f aca="false">IF(OR(B319="",R319=""),"",R319-B319)</f>
        <v/>
      </c>
      <c r="T319" s="7" t="str">
        <f aca="true">IF(OR(B319="",P319=""),"",IF(R319&lt;&gt;"",IF(R319&gt;P319,"Traité hors délai","Non"),IF(Q319="Classé sans suite","Non",IF(TODAY()&gt;P319,"OUI","Non"))))</f>
        <v/>
      </c>
      <c r="U319" s="11"/>
    </row>
    <row r="320" customFormat="false" ht="15" hidden="false" customHeight="false" outlineLevel="0" collapsed="false">
      <c r="A320" s="7" t="str">
        <f aca="false">IF(B320="","",YEAR(B320)&amp;"/"&amp;TEXT(ROW()-4,"0000"))</f>
        <v/>
      </c>
      <c r="B320" s="8"/>
      <c r="C320" s="7" t="str">
        <f aca="false">IF(B320="","",INT((B320-DATE(YEAR(B320-WEEKDAY(B320-1)+4),1,3)+WEEKDAY(DATE(YEAR(B320-WEEKDAY(B320-1)+4),1,3))+5)/7))</f>
        <v/>
      </c>
      <c r="D320" s="9" t="str">
        <f aca="false">IF(B320="","",B320-WEEKDAY(B320,2)+1)</f>
        <v/>
      </c>
      <c r="E320" s="10"/>
      <c r="F320" s="8"/>
      <c r="G320" s="11"/>
      <c r="H320" s="10"/>
      <c r="I320" s="11"/>
      <c r="J320" s="10"/>
      <c r="K320" s="10"/>
      <c r="L320" s="10"/>
      <c r="M320" s="11"/>
      <c r="N320" s="8"/>
      <c r="O320" s="7" t="str">
        <f aca="false">IF(L320="","",IFERROR(VLOOKUP(L320,Paramètres!$F$5:$G$8,2,FALSE()),""))</f>
        <v/>
      </c>
      <c r="P320" s="9" t="str">
        <f aca="false">IF(OR(B320="",O320=""),"",IF(N320="",B320,N320)+O320)</f>
        <v/>
      </c>
      <c r="Q320" s="10"/>
      <c r="R320" s="8"/>
      <c r="S320" s="7" t="str">
        <f aca="false">IF(OR(B320="",R320=""),"",R320-B320)</f>
        <v/>
      </c>
      <c r="T320" s="7" t="str">
        <f aca="true">IF(OR(B320="",P320=""),"",IF(R320&lt;&gt;"",IF(R320&gt;P320,"Traité hors délai","Non"),IF(Q320="Classé sans suite","Non",IF(TODAY()&gt;P320,"OUI","Non"))))</f>
        <v/>
      </c>
      <c r="U320" s="11"/>
    </row>
    <row r="321" customFormat="false" ht="15" hidden="false" customHeight="false" outlineLevel="0" collapsed="false">
      <c r="A321" s="7" t="str">
        <f aca="false">IF(B321="","",YEAR(B321)&amp;"/"&amp;TEXT(ROW()-4,"0000"))</f>
        <v/>
      </c>
      <c r="B321" s="8"/>
      <c r="C321" s="7" t="str">
        <f aca="false">IF(B321="","",INT((B321-DATE(YEAR(B321-WEEKDAY(B321-1)+4),1,3)+WEEKDAY(DATE(YEAR(B321-WEEKDAY(B321-1)+4),1,3))+5)/7))</f>
        <v/>
      </c>
      <c r="D321" s="9" t="str">
        <f aca="false">IF(B321="","",B321-WEEKDAY(B321,2)+1)</f>
        <v/>
      </c>
      <c r="E321" s="10"/>
      <c r="F321" s="8"/>
      <c r="G321" s="11"/>
      <c r="H321" s="10"/>
      <c r="I321" s="11"/>
      <c r="J321" s="10"/>
      <c r="K321" s="10"/>
      <c r="L321" s="10"/>
      <c r="M321" s="11"/>
      <c r="N321" s="8"/>
      <c r="O321" s="7" t="str">
        <f aca="false">IF(L321="","",IFERROR(VLOOKUP(L321,Paramètres!$F$5:$G$8,2,FALSE()),""))</f>
        <v/>
      </c>
      <c r="P321" s="9" t="str">
        <f aca="false">IF(OR(B321="",O321=""),"",IF(N321="",B321,N321)+O321)</f>
        <v/>
      </c>
      <c r="Q321" s="10"/>
      <c r="R321" s="8"/>
      <c r="S321" s="7" t="str">
        <f aca="false">IF(OR(B321="",R321=""),"",R321-B321)</f>
        <v/>
      </c>
      <c r="T321" s="7" t="str">
        <f aca="true">IF(OR(B321="",P321=""),"",IF(R321&lt;&gt;"",IF(R321&gt;P321,"Traité hors délai","Non"),IF(Q321="Classé sans suite","Non",IF(TODAY()&gt;P321,"OUI","Non"))))</f>
        <v/>
      </c>
      <c r="U321" s="11"/>
    </row>
    <row r="322" customFormat="false" ht="15" hidden="false" customHeight="false" outlineLevel="0" collapsed="false">
      <c r="A322" s="7" t="str">
        <f aca="false">IF(B322="","",YEAR(B322)&amp;"/"&amp;TEXT(ROW()-4,"0000"))</f>
        <v/>
      </c>
      <c r="B322" s="8"/>
      <c r="C322" s="7" t="str">
        <f aca="false">IF(B322="","",INT((B322-DATE(YEAR(B322-WEEKDAY(B322-1)+4),1,3)+WEEKDAY(DATE(YEAR(B322-WEEKDAY(B322-1)+4),1,3))+5)/7))</f>
        <v/>
      </c>
      <c r="D322" s="9" t="str">
        <f aca="false">IF(B322="","",B322-WEEKDAY(B322,2)+1)</f>
        <v/>
      </c>
      <c r="E322" s="10"/>
      <c r="F322" s="8"/>
      <c r="G322" s="11"/>
      <c r="H322" s="10"/>
      <c r="I322" s="11"/>
      <c r="J322" s="10"/>
      <c r="K322" s="10"/>
      <c r="L322" s="10"/>
      <c r="M322" s="11"/>
      <c r="N322" s="8"/>
      <c r="O322" s="7" t="str">
        <f aca="false">IF(L322="","",IFERROR(VLOOKUP(L322,Paramètres!$F$5:$G$8,2,FALSE()),""))</f>
        <v/>
      </c>
      <c r="P322" s="9" t="str">
        <f aca="false">IF(OR(B322="",O322=""),"",IF(N322="",B322,N322)+O322)</f>
        <v/>
      </c>
      <c r="Q322" s="10"/>
      <c r="R322" s="8"/>
      <c r="S322" s="7" t="str">
        <f aca="false">IF(OR(B322="",R322=""),"",R322-B322)</f>
        <v/>
      </c>
      <c r="T322" s="7" t="str">
        <f aca="true">IF(OR(B322="",P322=""),"",IF(R322&lt;&gt;"",IF(R322&gt;P322,"Traité hors délai","Non"),IF(Q322="Classé sans suite","Non",IF(TODAY()&gt;P322,"OUI","Non"))))</f>
        <v/>
      </c>
      <c r="U322" s="11"/>
    </row>
    <row r="323" customFormat="false" ht="15" hidden="false" customHeight="false" outlineLevel="0" collapsed="false">
      <c r="A323" s="7" t="str">
        <f aca="false">IF(B323="","",YEAR(B323)&amp;"/"&amp;TEXT(ROW()-4,"0000"))</f>
        <v/>
      </c>
      <c r="B323" s="8"/>
      <c r="C323" s="7" t="str">
        <f aca="false">IF(B323="","",INT((B323-DATE(YEAR(B323-WEEKDAY(B323-1)+4),1,3)+WEEKDAY(DATE(YEAR(B323-WEEKDAY(B323-1)+4),1,3))+5)/7))</f>
        <v/>
      </c>
      <c r="D323" s="9" t="str">
        <f aca="false">IF(B323="","",B323-WEEKDAY(B323,2)+1)</f>
        <v/>
      </c>
      <c r="E323" s="10"/>
      <c r="F323" s="8"/>
      <c r="G323" s="11"/>
      <c r="H323" s="10"/>
      <c r="I323" s="11"/>
      <c r="J323" s="10"/>
      <c r="K323" s="10"/>
      <c r="L323" s="10"/>
      <c r="M323" s="11"/>
      <c r="N323" s="8"/>
      <c r="O323" s="7" t="str">
        <f aca="false">IF(L323="","",IFERROR(VLOOKUP(L323,Paramètres!$F$5:$G$8,2,FALSE()),""))</f>
        <v/>
      </c>
      <c r="P323" s="9" t="str">
        <f aca="false">IF(OR(B323="",O323=""),"",IF(N323="",B323,N323)+O323)</f>
        <v/>
      </c>
      <c r="Q323" s="10"/>
      <c r="R323" s="8"/>
      <c r="S323" s="7" t="str">
        <f aca="false">IF(OR(B323="",R323=""),"",R323-B323)</f>
        <v/>
      </c>
      <c r="T323" s="7" t="str">
        <f aca="true">IF(OR(B323="",P323=""),"",IF(R323&lt;&gt;"",IF(R323&gt;P323,"Traité hors délai","Non"),IF(Q323="Classé sans suite","Non",IF(TODAY()&gt;P323,"OUI","Non"))))</f>
        <v/>
      </c>
      <c r="U323" s="11"/>
    </row>
    <row r="324" customFormat="false" ht="15" hidden="false" customHeight="false" outlineLevel="0" collapsed="false">
      <c r="A324" s="7" t="str">
        <f aca="false">IF(B324="","",YEAR(B324)&amp;"/"&amp;TEXT(ROW()-4,"0000"))</f>
        <v/>
      </c>
      <c r="B324" s="8"/>
      <c r="C324" s="7" t="str">
        <f aca="false">IF(B324="","",INT((B324-DATE(YEAR(B324-WEEKDAY(B324-1)+4),1,3)+WEEKDAY(DATE(YEAR(B324-WEEKDAY(B324-1)+4),1,3))+5)/7))</f>
        <v/>
      </c>
      <c r="D324" s="9" t="str">
        <f aca="false">IF(B324="","",B324-WEEKDAY(B324,2)+1)</f>
        <v/>
      </c>
      <c r="E324" s="10"/>
      <c r="F324" s="8"/>
      <c r="G324" s="11"/>
      <c r="H324" s="10"/>
      <c r="I324" s="11"/>
      <c r="J324" s="10"/>
      <c r="K324" s="10"/>
      <c r="L324" s="10"/>
      <c r="M324" s="11"/>
      <c r="N324" s="8"/>
      <c r="O324" s="7" t="str">
        <f aca="false">IF(L324="","",IFERROR(VLOOKUP(L324,Paramètres!$F$5:$G$8,2,FALSE()),""))</f>
        <v/>
      </c>
      <c r="P324" s="9" t="str">
        <f aca="false">IF(OR(B324="",O324=""),"",IF(N324="",B324,N324)+O324)</f>
        <v/>
      </c>
      <c r="Q324" s="10"/>
      <c r="R324" s="8"/>
      <c r="S324" s="7" t="str">
        <f aca="false">IF(OR(B324="",R324=""),"",R324-B324)</f>
        <v/>
      </c>
      <c r="T324" s="7" t="str">
        <f aca="true">IF(OR(B324="",P324=""),"",IF(R324&lt;&gt;"",IF(R324&gt;P324,"Traité hors délai","Non"),IF(Q324="Classé sans suite","Non",IF(TODAY()&gt;P324,"OUI","Non"))))</f>
        <v/>
      </c>
      <c r="U324" s="11"/>
    </row>
    <row r="325" customFormat="false" ht="15" hidden="false" customHeight="false" outlineLevel="0" collapsed="false">
      <c r="A325" s="7" t="str">
        <f aca="false">IF(B325="","",YEAR(B325)&amp;"/"&amp;TEXT(ROW()-4,"0000"))</f>
        <v/>
      </c>
      <c r="B325" s="8"/>
      <c r="C325" s="7" t="str">
        <f aca="false">IF(B325="","",INT((B325-DATE(YEAR(B325-WEEKDAY(B325-1)+4),1,3)+WEEKDAY(DATE(YEAR(B325-WEEKDAY(B325-1)+4),1,3))+5)/7))</f>
        <v/>
      </c>
      <c r="D325" s="9" t="str">
        <f aca="false">IF(B325="","",B325-WEEKDAY(B325,2)+1)</f>
        <v/>
      </c>
      <c r="E325" s="10"/>
      <c r="F325" s="8"/>
      <c r="G325" s="11"/>
      <c r="H325" s="10"/>
      <c r="I325" s="11"/>
      <c r="J325" s="10"/>
      <c r="K325" s="10"/>
      <c r="L325" s="10"/>
      <c r="M325" s="11"/>
      <c r="N325" s="8"/>
      <c r="O325" s="7" t="str">
        <f aca="false">IF(L325="","",IFERROR(VLOOKUP(L325,Paramètres!$F$5:$G$8,2,FALSE()),""))</f>
        <v/>
      </c>
      <c r="P325" s="9" t="str">
        <f aca="false">IF(OR(B325="",O325=""),"",IF(N325="",B325,N325)+O325)</f>
        <v/>
      </c>
      <c r="Q325" s="10"/>
      <c r="R325" s="8"/>
      <c r="S325" s="7" t="str">
        <f aca="false">IF(OR(B325="",R325=""),"",R325-B325)</f>
        <v/>
      </c>
      <c r="T325" s="7" t="str">
        <f aca="true">IF(OR(B325="",P325=""),"",IF(R325&lt;&gt;"",IF(R325&gt;P325,"Traité hors délai","Non"),IF(Q325="Classé sans suite","Non",IF(TODAY()&gt;P325,"OUI","Non"))))</f>
        <v/>
      </c>
      <c r="U325" s="11"/>
    </row>
    <row r="326" customFormat="false" ht="15" hidden="false" customHeight="false" outlineLevel="0" collapsed="false">
      <c r="A326" s="7" t="str">
        <f aca="false">IF(B326="","",YEAR(B326)&amp;"/"&amp;TEXT(ROW()-4,"0000"))</f>
        <v/>
      </c>
      <c r="B326" s="8"/>
      <c r="C326" s="7" t="str">
        <f aca="false">IF(B326="","",INT((B326-DATE(YEAR(B326-WEEKDAY(B326-1)+4),1,3)+WEEKDAY(DATE(YEAR(B326-WEEKDAY(B326-1)+4),1,3))+5)/7))</f>
        <v/>
      </c>
      <c r="D326" s="9" t="str">
        <f aca="false">IF(B326="","",B326-WEEKDAY(B326,2)+1)</f>
        <v/>
      </c>
      <c r="E326" s="10"/>
      <c r="F326" s="8"/>
      <c r="G326" s="11"/>
      <c r="H326" s="10"/>
      <c r="I326" s="11"/>
      <c r="J326" s="10"/>
      <c r="K326" s="10"/>
      <c r="L326" s="10"/>
      <c r="M326" s="11"/>
      <c r="N326" s="8"/>
      <c r="O326" s="7" t="str">
        <f aca="false">IF(L326="","",IFERROR(VLOOKUP(L326,Paramètres!$F$5:$G$8,2,FALSE()),""))</f>
        <v/>
      </c>
      <c r="P326" s="9" t="str">
        <f aca="false">IF(OR(B326="",O326=""),"",IF(N326="",B326,N326)+O326)</f>
        <v/>
      </c>
      <c r="Q326" s="10"/>
      <c r="R326" s="8"/>
      <c r="S326" s="7" t="str">
        <f aca="false">IF(OR(B326="",R326=""),"",R326-B326)</f>
        <v/>
      </c>
      <c r="T326" s="7" t="str">
        <f aca="true">IF(OR(B326="",P326=""),"",IF(R326&lt;&gt;"",IF(R326&gt;P326,"Traité hors délai","Non"),IF(Q326="Classé sans suite","Non",IF(TODAY()&gt;P326,"OUI","Non"))))</f>
        <v/>
      </c>
      <c r="U326" s="11"/>
    </row>
    <row r="327" customFormat="false" ht="15" hidden="false" customHeight="false" outlineLevel="0" collapsed="false">
      <c r="A327" s="7" t="str">
        <f aca="false">IF(B327="","",YEAR(B327)&amp;"/"&amp;TEXT(ROW()-4,"0000"))</f>
        <v/>
      </c>
      <c r="B327" s="8"/>
      <c r="C327" s="7" t="str">
        <f aca="false">IF(B327="","",INT((B327-DATE(YEAR(B327-WEEKDAY(B327-1)+4),1,3)+WEEKDAY(DATE(YEAR(B327-WEEKDAY(B327-1)+4),1,3))+5)/7))</f>
        <v/>
      </c>
      <c r="D327" s="9" t="str">
        <f aca="false">IF(B327="","",B327-WEEKDAY(B327,2)+1)</f>
        <v/>
      </c>
      <c r="E327" s="10"/>
      <c r="F327" s="8"/>
      <c r="G327" s="11"/>
      <c r="H327" s="10"/>
      <c r="I327" s="11"/>
      <c r="J327" s="10"/>
      <c r="K327" s="10"/>
      <c r="L327" s="10"/>
      <c r="M327" s="11"/>
      <c r="N327" s="8"/>
      <c r="O327" s="7" t="str">
        <f aca="false">IF(L327="","",IFERROR(VLOOKUP(L327,Paramètres!$F$5:$G$8,2,FALSE()),""))</f>
        <v/>
      </c>
      <c r="P327" s="9" t="str">
        <f aca="false">IF(OR(B327="",O327=""),"",IF(N327="",B327,N327)+O327)</f>
        <v/>
      </c>
      <c r="Q327" s="10"/>
      <c r="R327" s="8"/>
      <c r="S327" s="7" t="str">
        <f aca="false">IF(OR(B327="",R327=""),"",R327-B327)</f>
        <v/>
      </c>
      <c r="T327" s="7" t="str">
        <f aca="true">IF(OR(B327="",P327=""),"",IF(R327&lt;&gt;"",IF(R327&gt;P327,"Traité hors délai","Non"),IF(Q327="Classé sans suite","Non",IF(TODAY()&gt;P327,"OUI","Non"))))</f>
        <v/>
      </c>
      <c r="U327" s="11"/>
    </row>
    <row r="328" customFormat="false" ht="15" hidden="false" customHeight="false" outlineLevel="0" collapsed="false">
      <c r="A328" s="7" t="str">
        <f aca="false">IF(B328="","",YEAR(B328)&amp;"/"&amp;TEXT(ROW()-4,"0000"))</f>
        <v/>
      </c>
      <c r="B328" s="8"/>
      <c r="C328" s="7" t="str">
        <f aca="false">IF(B328="","",INT((B328-DATE(YEAR(B328-WEEKDAY(B328-1)+4),1,3)+WEEKDAY(DATE(YEAR(B328-WEEKDAY(B328-1)+4),1,3))+5)/7))</f>
        <v/>
      </c>
      <c r="D328" s="9" t="str">
        <f aca="false">IF(B328="","",B328-WEEKDAY(B328,2)+1)</f>
        <v/>
      </c>
      <c r="E328" s="10"/>
      <c r="F328" s="8"/>
      <c r="G328" s="11"/>
      <c r="H328" s="10"/>
      <c r="I328" s="11"/>
      <c r="J328" s="10"/>
      <c r="K328" s="10"/>
      <c r="L328" s="10"/>
      <c r="M328" s="11"/>
      <c r="N328" s="8"/>
      <c r="O328" s="7" t="str">
        <f aca="false">IF(L328="","",IFERROR(VLOOKUP(L328,Paramètres!$F$5:$G$8,2,FALSE()),""))</f>
        <v/>
      </c>
      <c r="P328" s="9" t="str">
        <f aca="false">IF(OR(B328="",O328=""),"",IF(N328="",B328,N328)+O328)</f>
        <v/>
      </c>
      <c r="Q328" s="10"/>
      <c r="R328" s="8"/>
      <c r="S328" s="7" t="str">
        <f aca="false">IF(OR(B328="",R328=""),"",R328-B328)</f>
        <v/>
      </c>
      <c r="T328" s="7" t="str">
        <f aca="true">IF(OR(B328="",P328=""),"",IF(R328&lt;&gt;"",IF(R328&gt;P328,"Traité hors délai","Non"),IF(Q328="Classé sans suite","Non",IF(TODAY()&gt;P328,"OUI","Non"))))</f>
        <v/>
      </c>
      <c r="U328" s="11"/>
    </row>
    <row r="329" customFormat="false" ht="15" hidden="false" customHeight="false" outlineLevel="0" collapsed="false">
      <c r="A329" s="7" t="str">
        <f aca="false">IF(B329="","",YEAR(B329)&amp;"/"&amp;TEXT(ROW()-4,"0000"))</f>
        <v/>
      </c>
      <c r="B329" s="8"/>
      <c r="C329" s="7" t="str">
        <f aca="false">IF(B329="","",INT((B329-DATE(YEAR(B329-WEEKDAY(B329-1)+4),1,3)+WEEKDAY(DATE(YEAR(B329-WEEKDAY(B329-1)+4),1,3))+5)/7))</f>
        <v/>
      </c>
      <c r="D329" s="9" t="str">
        <f aca="false">IF(B329="","",B329-WEEKDAY(B329,2)+1)</f>
        <v/>
      </c>
      <c r="E329" s="10"/>
      <c r="F329" s="8"/>
      <c r="G329" s="11"/>
      <c r="H329" s="10"/>
      <c r="I329" s="11"/>
      <c r="J329" s="10"/>
      <c r="K329" s="10"/>
      <c r="L329" s="10"/>
      <c r="M329" s="11"/>
      <c r="N329" s="8"/>
      <c r="O329" s="7" t="str">
        <f aca="false">IF(L329="","",IFERROR(VLOOKUP(L329,Paramètres!$F$5:$G$8,2,FALSE()),""))</f>
        <v/>
      </c>
      <c r="P329" s="9" t="str">
        <f aca="false">IF(OR(B329="",O329=""),"",IF(N329="",B329,N329)+O329)</f>
        <v/>
      </c>
      <c r="Q329" s="10"/>
      <c r="R329" s="8"/>
      <c r="S329" s="7" t="str">
        <f aca="false">IF(OR(B329="",R329=""),"",R329-B329)</f>
        <v/>
      </c>
      <c r="T329" s="7" t="str">
        <f aca="true">IF(OR(B329="",P329=""),"",IF(R329&lt;&gt;"",IF(R329&gt;P329,"Traité hors délai","Non"),IF(Q329="Classé sans suite","Non",IF(TODAY()&gt;P329,"OUI","Non"))))</f>
        <v/>
      </c>
      <c r="U329" s="11"/>
    </row>
    <row r="330" customFormat="false" ht="15" hidden="false" customHeight="false" outlineLevel="0" collapsed="false">
      <c r="A330" s="7" t="str">
        <f aca="false">IF(B330="","",YEAR(B330)&amp;"/"&amp;TEXT(ROW()-4,"0000"))</f>
        <v/>
      </c>
      <c r="B330" s="8"/>
      <c r="C330" s="7" t="str">
        <f aca="false">IF(B330="","",INT((B330-DATE(YEAR(B330-WEEKDAY(B330-1)+4),1,3)+WEEKDAY(DATE(YEAR(B330-WEEKDAY(B330-1)+4),1,3))+5)/7))</f>
        <v/>
      </c>
      <c r="D330" s="9" t="str">
        <f aca="false">IF(B330="","",B330-WEEKDAY(B330,2)+1)</f>
        <v/>
      </c>
      <c r="E330" s="10"/>
      <c r="F330" s="8"/>
      <c r="G330" s="11"/>
      <c r="H330" s="10"/>
      <c r="I330" s="11"/>
      <c r="J330" s="10"/>
      <c r="K330" s="10"/>
      <c r="L330" s="10"/>
      <c r="M330" s="11"/>
      <c r="N330" s="8"/>
      <c r="O330" s="7" t="str">
        <f aca="false">IF(L330="","",IFERROR(VLOOKUP(L330,Paramètres!$F$5:$G$8,2,FALSE()),""))</f>
        <v/>
      </c>
      <c r="P330" s="9" t="str">
        <f aca="false">IF(OR(B330="",O330=""),"",IF(N330="",B330,N330)+O330)</f>
        <v/>
      </c>
      <c r="Q330" s="10"/>
      <c r="R330" s="8"/>
      <c r="S330" s="7" t="str">
        <f aca="false">IF(OR(B330="",R330=""),"",R330-B330)</f>
        <v/>
      </c>
      <c r="T330" s="7" t="str">
        <f aca="true">IF(OR(B330="",P330=""),"",IF(R330&lt;&gt;"",IF(R330&gt;P330,"Traité hors délai","Non"),IF(Q330="Classé sans suite","Non",IF(TODAY()&gt;P330,"OUI","Non"))))</f>
        <v/>
      </c>
      <c r="U330" s="11"/>
    </row>
    <row r="331" customFormat="false" ht="15" hidden="false" customHeight="false" outlineLevel="0" collapsed="false">
      <c r="A331" s="7" t="str">
        <f aca="false">IF(B331="","",YEAR(B331)&amp;"/"&amp;TEXT(ROW()-4,"0000"))</f>
        <v/>
      </c>
      <c r="B331" s="8"/>
      <c r="C331" s="7" t="str">
        <f aca="false">IF(B331="","",INT((B331-DATE(YEAR(B331-WEEKDAY(B331-1)+4),1,3)+WEEKDAY(DATE(YEAR(B331-WEEKDAY(B331-1)+4),1,3))+5)/7))</f>
        <v/>
      </c>
      <c r="D331" s="9" t="str">
        <f aca="false">IF(B331="","",B331-WEEKDAY(B331,2)+1)</f>
        <v/>
      </c>
      <c r="E331" s="10"/>
      <c r="F331" s="8"/>
      <c r="G331" s="11"/>
      <c r="H331" s="10"/>
      <c r="I331" s="11"/>
      <c r="J331" s="10"/>
      <c r="K331" s="10"/>
      <c r="L331" s="10"/>
      <c r="M331" s="11"/>
      <c r="N331" s="8"/>
      <c r="O331" s="7" t="str">
        <f aca="false">IF(L331="","",IFERROR(VLOOKUP(L331,Paramètres!$F$5:$G$8,2,FALSE()),""))</f>
        <v/>
      </c>
      <c r="P331" s="9" t="str">
        <f aca="false">IF(OR(B331="",O331=""),"",IF(N331="",B331,N331)+O331)</f>
        <v/>
      </c>
      <c r="Q331" s="10"/>
      <c r="R331" s="8"/>
      <c r="S331" s="7" t="str">
        <f aca="false">IF(OR(B331="",R331=""),"",R331-B331)</f>
        <v/>
      </c>
      <c r="T331" s="7" t="str">
        <f aca="true">IF(OR(B331="",P331=""),"",IF(R331&lt;&gt;"",IF(R331&gt;P331,"Traité hors délai","Non"),IF(Q331="Classé sans suite","Non",IF(TODAY()&gt;P331,"OUI","Non"))))</f>
        <v/>
      </c>
      <c r="U331" s="11"/>
    </row>
    <row r="332" customFormat="false" ht="15" hidden="false" customHeight="false" outlineLevel="0" collapsed="false">
      <c r="A332" s="7" t="str">
        <f aca="false">IF(B332="","",YEAR(B332)&amp;"/"&amp;TEXT(ROW()-4,"0000"))</f>
        <v/>
      </c>
      <c r="B332" s="8"/>
      <c r="C332" s="7" t="str">
        <f aca="false">IF(B332="","",INT((B332-DATE(YEAR(B332-WEEKDAY(B332-1)+4),1,3)+WEEKDAY(DATE(YEAR(B332-WEEKDAY(B332-1)+4),1,3))+5)/7))</f>
        <v/>
      </c>
      <c r="D332" s="9" t="str">
        <f aca="false">IF(B332="","",B332-WEEKDAY(B332,2)+1)</f>
        <v/>
      </c>
      <c r="E332" s="10"/>
      <c r="F332" s="8"/>
      <c r="G332" s="11"/>
      <c r="H332" s="10"/>
      <c r="I332" s="11"/>
      <c r="J332" s="10"/>
      <c r="K332" s="10"/>
      <c r="L332" s="10"/>
      <c r="M332" s="11"/>
      <c r="N332" s="8"/>
      <c r="O332" s="7" t="str">
        <f aca="false">IF(L332="","",IFERROR(VLOOKUP(L332,Paramètres!$F$5:$G$8,2,FALSE()),""))</f>
        <v/>
      </c>
      <c r="P332" s="9" t="str">
        <f aca="false">IF(OR(B332="",O332=""),"",IF(N332="",B332,N332)+O332)</f>
        <v/>
      </c>
      <c r="Q332" s="10"/>
      <c r="R332" s="8"/>
      <c r="S332" s="7" t="str">
        <f aca="false">IF(OR(B332="",R332=""),"",R332-B332)</f>
        <v/>
      </c>
      <c r="T332" s="7" t="str">
        <f aca="true">IF(OR(B332="",P332=""),"",IF(R332&lt;&gt;"",IF(R332&gt;P332,"Traité hors délai","Non"),IF(Q332="Classé sans suite","Non",IF(TODAY()&gt;P332,"OUI","Non"))))</f>
        <v/>
      </c>
      <c r="U332" s="11"/>
    </row>
    <row r="333" customFormat="false" ht="15" hidden="false" customHeight="false" outlineLevel="0" collapsed="false">
      <c r="A333" s="7" t="str">
        <f aca="false">IF(B333="","",YEAR(B333)&amp;"/"&amp;TEXT(ROW()-4,"0000"))</f>
        <v/>
      </c>
      <c r="B333" s="8"/>
      <c r="C333" s="7" t="str">
        <f aca="false">IF(B333="","",INT((B333-DATE(YEAR(B333-WEEKDAY(B333-1)+4),1,3)+WEEKDAY(DATE(YEAR(B333-WEEKDAY(B333-1)+4),1,3))+5)/7))</f>
        <v/>
      </c>
      <c r="D333" s="9" t="str">
        <f aca="false">IF(B333="","",B333-WEEKDAY(B333,2)+1)</f>
        <v/>
      </c>
      <c r="E333" s="10"/>
      <c r="F333" s="8"/>
      <c r="G333" s="11"/>
      <c r="H333" s="10"/>
      <c r="I333" s="11"/>
      <c r="J333" s="10"/>
      <c r="K333" s="10"/>
      <c r="L333" s="10"/>
      <c r="M333" s="11"/>
      <c r="N333" s="8"/>
      <c r="O333" s="7" t="str">
        <f aca="false">IF(L333="","",IFERROR(VLOOKUP(L333,Paramètres!$F$5:$G$8,2,FALSE()),""))</f>
        <v/>
      </c>
      <c r="P333" s="9" t="str">
        <f aca="false">IF(OR(B333="",O333=""),"",IF(N333="",B333,N333)+O333)</f>
        <v/>
      </c>
      <c r="Q333" s="10"/>
      <c r="R333" s="8"/>
      <c r="S333" s="7" t="str">
        <f aca="false">IF(OR(B333="",R333=""),"",R333-B333)</f>
        <v/>
      </c>
      <c r="T333" s="7" t="str">
        <f aca="true">IF(OR(B333="",P333=""),"",IF(R333&lt;&gt;"",IF(R333&gt;P333,"Traité hors délai","Non"),IF(Q333="Classé sans suite","Non",IF(TODAY()&gt;P333,"OUI","Non"))))</f>
        <v/>
      </c>
      <c r="U333" s="11"/>
    </row>
    <row r="334" customFormat="false" ht="15" hidden="false" customHeight="false" outlineLevel="0" collapsed="false">
      <c r="A334" s="7" t="str">
        <f aca="false">IF(B334="","",YEAR(B334)&amp;"/"&amp;TEXT(ROW()-4,"0000"))</f>
        <v/>
      </c>
      <c r="B334" s="8"/>
      <c r="C334" s="7" t="str">
        <f aca="false">IF(B334="","",INT((B334-DATE(YEAR(B334-WEEKDAY(B334-1)+4),1,3)+WEEKDAY(DATE(YEAR(B334-WEEKDAY(B334-1)+4),1,3))+5)/7))</f>
        <v/>
      </c>
      <c r="D334" s="9" t="str">
        <f aca="false">IF(B334="","",B334-WEEKDAY(B334,2)+1)</f>
        <v/>
      </c>
      <c r="E334" s="10"/>
      <c r="F334" s="8"/>
      <c r="G334" s="11"/>
      <c r="H334" s="10"/>
      <c r="I334" s="11"/>
      <c r="J334" s="10"/>
      <c r="K334" s="10"/>
      <c r="L334" s="10"/>
      <c r="M334" s="11"/>
      <c r="N334" s="8"/>
      <c r="O334" s="7" t="str">
        <f aca="false">IF(L334="","",IFERROR(VLOOKUP(L334,Paramètres!$F$5:$G$8,2,FALSE()),""))</f>
        <v/>
      </c>
      <c r="P334" s="9" t="str">
        <f aca="false">IF(OR(B334="",O334=""),"",IF(N334="",B334,N334)+O334)</f>
        <v/>
      </c>
      <c r="Q334" s="10"/>
      <c r="R334" s="8"/>
      <c r="S334" s="7" t="str">
        <f aca="false">IF(OR(B334="",R334=""),"",R334-B334)</f>
        <v/>
      </c>
      <c r="T334" s="7" t="str">
        <f aca="true">IF(OR(B334="",P334=""),"",IF(R334&lt;&gt;"",IF(R334&gt;P334,"Traité hors délai","Non"),IF(Q334="Classé sans suite","Non",IF(TODAY()&gt;P334,"OUI","Non"))))</f>
        <v/>
      </c>
      <c r="U334" s="11"/>
    </row>
    <row r="335" customFormat="false" ht="15" hidden="false" customHeight="false" outlineLevel="0" collapsed="false">
      <c r="A335" s="7" t="str">
        <f aca="false">IF(B335="","",YEAR(B335)&amp;"/"&amp;TEXT(ROW()-4,"0000"))</f>
        <v/>
      </c>
      <c r="B335" s="8"/>
      <c r="C335" s="7" t="str">
        <f aca="false">IF(B335="","",INT((B335-DATE(YEAR(B335-WEEKDAY(B335-1)+4),1,3)+WEEKDAY(DATE(YEAR(B335-WEEKDAY(B335-1)+4),1,3))+5)/7))</f>
        <v/>
      </c>
      <c r="D335" s="9" t="str">
        <f aca="false">IF(B335="","",B335-WEEKDAY(B335,2)+1)</f>
        <v/>
      </c>
      <c r="E335" s="10"/>
      <c r="F335" s="8"/>
      <c r="G335" s="11"/>
      <c r="H335" s="10"/>
      <c r="I335" s="11"/>
      <c r="J335" s="10"/>
      <c r="K335" s="10"/>
      <c r="L335" s="10"/>
      <c r="M335" s="11"/>
      <c r="N335" s="8"/>
      <c r="O335" s="7" t="str">
        <f aca="false">IF(L335="","",IFERROR(VLOOKUP(L335,Paramètres!$F$5:$G$8,2,FALSE()),""))</f>
        <v/>
      </c>
      <c r="P335" s="9" t="str">
        <f aca="false">IF(OR(B335="",O335=""),"",IF(N335="",B335,N335)+O335)</f>
        <v/>
      </c>
      <c r="Q335" s="10"/>
      <c r="R335" s="8"/>
      <c r="S335" s="7" t="str">
        <f aca="false">IF(OR(B335="",R335=""),"",R335-B335)</f>
        <v/>
      </c>
      <c r="T335" s="7" t="str">
        <f aca="true">IF(OR(B335="",P335=""),"",IF(R335&lt;&gt;"",IF(R335&gt;P335,"Traité hors délai","Non"),IF(Q335="Classé sans suite","Non",IF(TODAY()&gt;P335,"OUI","Non"))))</f>
        <v/>
      </c>
      <c r="U335" s="11"/>
    </row>
    <row r="336" customFormat="false" ht="15" hidden="false" customHeight="false" outlineLevel="0" collapsed="false">
      <c r="A336" s="7" t="str">
        <f aca="false">IF(B336="","",YEAR(B336)&amp;"/"&amp;TEXT(ROW()-4,"0000"))</f>
        <v/>
      </c>
      <c r="B336" s="8"/>
      <c r="C336" s="7" t="str">
        <f aca="false">IF(B336="","",INT((B336-DATE(YEAR(B336-WEEKDAY(B336-1)+4),1,3)+WEEKDAY(DATE(YEAR(B336-WEEKDAY(B336-1)+4),1,3))+5)/7))</f>
        <v/>
      </c>
      <c r="D336" s="9" t="str">
        <f aca="false">IF(B336="","",B336-WEEKDAY(B336,2)+1)</f>
        <v/>
      </c>
      <c r="E336" s="10"/>
      <c r="F336" s="8"/>
      <c r="G336" s="11"/>
      <c r="H336" s="10"/>
      <c r="I336" s="11"/>
      <c r="J336" s="10"/>
      <c r="K336" s="10"/>
      <c r="L336" s="10"/>
      <c r="M336" s="11"/>
      <c r="N336" s="8"/>
      <c r="O336" s="7" t="str">
        <f aca="false">IF(L336="","",IFERROR(VLOOKUP(L336,Paramètres!$F$5:$G$8,2,FALSE()),""))</f>
        <v/>
      </c>
      <c r="P336" s="9" t="str">
        <f aca="false">IF(OR(B336="",O336=""),"",IF(N336="",B336,N336)+O336)</f>
        <v/>
      </c>
      <c r="Q336" s="10"/>
      <c r="R336" s="8"/>
      <c r="S336" s="7" t="str">
        <f aca="false">IF(OR(B336="",R336=""),"",R336-B336)</f>
        <v/>
      </c>
      <c r="T336" s="7" t="str">
        <f aca="true">IF(OR(B336="",P336=""),"",IF(R336&lt;&gt;"",IF(R336&gt;P336,"Traité hors délai","Non"),IF(Q336="Classé sans suite","Non",IF(TODAY()&gt;P336,"OUI","Non"))))</f>
        <v/>
      </c>
      <c r="U336" s="11"/>
    </row>
    <row r="337" customFormat="false" ht="15" hidden="false" customHeight="false" outlineLevel="0" collapsed="false">
      <c r="A337" s="7" t="str">
        <f aca="false">IF(B337="","",YEAR(B337)&amp;"/"&amp;TEXT(ROW()-4,"0000"))</f>
        <v/>
      </c>
      <c r="B337" s="8"/>
      <c r="C337" s="7" t="str">
        <f aca="false">IF(B337="","",INT((B337-DATE(YEAR(B337-WEEKDAY(B337-1)+4),1,3)+WEEKDAY(DATE(YEAR(B337-WEEKDAY(B337-1)+4),1,3))+5)/7))</f>
        <v/>
      </c>
      <c r="D337" s="9" t="str">
        <f aca="false">IF(B337="","",B337-WEEKDAY(B337,2)+1)</f>
        <v/>
      </c>
      <c r="E337" s="10"/>
      <c r="F337" s="8"/>
      <c r="G337" s="11"/>
      <c r="H337" s="10"/>
      <c r="I337" s="11"/>
      <c r="J337" s="10"/>
      <c r="K337" s="10"/>
      <c r="L337" s="10"/>
      <c r="M337" s="11"/>
      <c r="N337" s="8"/>
      <c r="O337" s="7" t="str">
        <f aca="false">IF(L337="","",IFERROR(VLOOKUP(L337,Paramètres!$F$5:$G$8,2,FALSE()),""))</f>
        <v/>
      </c>
      <c r="P337" s="9" t="str">
        <f aca="false">IF(OR(B337="",O337=""),"",IF(N337="",B337,N337)+O337)</f>
        <v/>
      </c>
      <c r="Q337" s="10"/>
      <c r="R337" s="8"/>
      <c r="S337" s="7" t="str">
        <f aca="false">IF(OR(B337="",R337=""),"",R337-B337)</f>
        <v/>
      </c>
      <c r="T337" s="7" t="str">
        <f aca="true">IF(OR(B337="",P337=""),"",IF(R337&lt;&gt;"",IF(R337&gt;P337,"Traité hors délai","Non"),IF(Q337="Classé sans suite","Non",IF(TODAY()&gt;P337,"OUI","Non"))))</f>
        <v/>
      </c>
      <c r="U337" s="11"/>
    </row>
    <row r="338" customFormat="false" ht="15" hidden="false" customHeight="false" outlineLevel="0" collapsed="false">
      <c r="A338" s="7" t="str">
        <f aca="false">IF(B338="","",YEAR(B338)&amp;"/"&amp;TEXT(ROW()-4,"0000"))</f>
        <v/>
      </c>
      <c r="B338" s="8"/>
      <c r="C338" s="7" t="str">
        <f aca="false">IF(B338="","",INT((B338-DATE(YEAR(B338-WEEKDAY(B338-1)+4),1,3)+WEEKDAY(DATE(YEAR(B338-WEEKDAY(B338-1)+4),1,3))+5)/7))</f>
        <v/>
      </c>
      <c r="D338" s="9" t="str">
        <f aca="false">IF(B338="","",B338-WEEKDAY(B338,2)+1)</f>
        <v/>
      </c>
      <c r="E338" s="10"/>
      <c r="F338" s="8"/>
      <c r="G338" s="11"/>
      <c r="H338" s="10"/>
      <c r="I338" s="11"/>
      <c r="J338" s="10"/>
      <c r="K338" s="10"/>
      <c r="L338" s="10"/>
      <c r="M338" s="11"/>
      <c r="N338" s="8"/>
      <c r="O338" s="7" t="str">
        <f aca="false">IF(L338="","",IFERROR(VLOOKUP(L338,Paramètres!$F$5:$G$8,2,FALSE()),""))</f>
        <v/>
      </c>
      <c r="P338" s="9" t="str">
        <f aca="false">IF(OR(B338="",O338=""),"",IF(N338="",B338,N338)+O338)</f>
        <v/>
      </c>
      <c r="Q338" s="10"/>
      <c r="R338" s="8"/>
      <c r="S338" s="7" t="str">
        <f aca="false">IF(OR(B338="",R338=""),"",R338-B338)</f>
        <v/>
      </c>
      <c r="T338" s="7" t="str">
        <f aca="true">IF(OR(B338="",P338=""),"",IF(R338&lt;&gt;"",IF(R338&gt;P338,"Traité hors délai","Non"),IF(Q338="Classé sans suite","Non",IF(TODAY()&gt;P338,"OUI","Non"))))</f>
        <v/>
      </c>
      <c r="U338" s="11"/>
    </row>
    <row r="339" customFormat="false" ht="15" hidden="false" customHeight="false" outlineLevel="0" collapsed="false">
      <c r="A339" s="7" t="str">
        <f aca="false">IF(B339="","",YEAR(B339)&amp;"/"&amp;TEXT(ROW()-4,"0000"))</f>
        <v/>
      </c>
      <c r="B339" s="8"/>
      <c r="C339" s="7" t="str">
        <f aca="false">IF(B339="","",INT((B339-DATE(YEAR(B339-WEEKDAY(B339-1)+4),1,3)+WEEKDAY(DATE(YEAR(B339-WEEKDAY(B339-1)+4),1,3))+5)/7))</f>
        <v/>
      </c>
      <c r="D339" s="9" t="str">
        <f aca="false">IF(B339="","",B339-WEEKDAY(B339,2)+1)</f>
        <v/>
      </c>
      <c r="E339" s="10"/>
      <c r="F339" s="8"/>
      <c r="G339" s="11"/>
      <c r="H339" s="10"/>
      <c r="I339" s="11"/>
      <c r="J339" s="10"/>
      <c r="K339" s="10"/>
      <c r="L339" s="10"/>
      <c r="M339" s="11"/>
      <c r="N339" s="8"/>
      <c r="O339" s="7" t="str">
        <f aca="false">IF(L339="","",IFERROR(VLOOKUP(L339,Paramètres!$F$5:$G$8,2,FALSE()),""))</f>
        <v/>
      </c>
      <c r="P339" s="9" t="str">
        <f aca="false">IF(OR(B339="",O339=""),"",IF(N339="",B339,N339)+O339)</f>
        <v/>
      </c>
      <c r="Q339" s="10"/>
      <c r="R339" s="8"/>
      <c r="S339" s="7" t="str">
        <f aca="false">IF(OR(B339="",R339=""),"",R339-B339)</f>
        <v/>
      </c>
      <c r="T339" s="7" t="str">
        <f aca="true">IF(OR(B339="",P339=""),"",IF(R339&lt;&gt;"",IF(R339&gt;P339,"Traité hors délai","Non"),IF(Q339="Classé sans suite","Non",IF(TODAY()&gt;P339,"OUI","Non"))))</f>
        <v/>
      </c>
      <c r="U339" s="11"/>
    </row>
    <row r="340" customFormat="false" ht="15" hidden="false" customHeight="false" outlineLevel="0" collapsed="false">
      <c r="A340" s="7" t="str">
        <f aca="false">IF(B340="","",YEAR(B340)&amp;"/"&amp;TEXT(ROW()-4,"0000"))</f>
        <v/>
      </c>
      <c r="B340" s="8"/>
      <c r="C340" s="7" t="str">
        <f aca="false">IF(B340="","",INT((B340-DATE(YEAR(B340-WEEKDAY(B340-1)+4),1,3)+WEEKDAY(DATE(YEAR(B340-WEEKDAY(B340-1)+4),1,3))+5)/7))</f>
        <v/>
      </c>
      <c r="D340" s="9" t="str">
        <f aca="false">IF(B340="","",B340-WEEKDAY(B340,2)+1)</f>
        <v/>
      </c>
      <c r="E340" s="10"/>
      <c r="F340" s="8"/>
      <c r="G340" s="11"/>
      <c r="H340" s="10"/>
      <c r="I340" s="11"/>
      <c r="J340" s="10"/>
      <c r="K340" s="10"/>
      <c r="L340" s="10"/>
      <c r="M340" s="11"/>
      <c r="N340" s="8"/>
      <c r="O340" s="7" t="str">
        <f aca="false">IF(L340="","",IFERROR(VLOOKUP(L340,Paramètres!$F$5:$G$8,2,FALSE()),""))</f>
        <v/>
      </c>
      <c r="P340" s="9" t="str">
        <f aca="false">IF(OR(B340="",O340=""),"",IF(N340="",B340,N340)+O340)</f>
        <v/>
      </c>
      <c r="Q340" s="10"/>
      <c r="R340" s="8"/>
      <c r="S340" s="7" t="str">
        <f aca="false">IF(OR(B340="",R340=""),"",R340-B340)</f>
        <v/>
      </c>
      <c r="T340" s="7" t="str">
        <f aca="true">IF(OR(B340="",P340=""),"",IF(R340&lt;&gt;"",IF(R340&gt;P340,"Traité hors délai","Non"),IF(Q340="Classé sans suite","Non",IF(TODAY()&gt;P340,"OUI","Non"))))</f>
        <v/>
      </c>
      <c r="U340" s="11"/>
    </row>
    <row r="341" customFormat="false" ht="15" hidden="false" customHeight="false" outlineLevel="0" collapsed="false">
      <c r="A341" s="7" t="str">
        <f aca="false">IF(B341="","",YEAR(B341)&amp;"/"&amp;TEXT(ROW()-4,"0000"))</f>
        <v/>
      </c>
      <c r="B341" s="8"/>
      <c r="C341" s="7" t="str">
        <f aca="false">IF(B341="","",INT((B341-DATE(YEAR(B341-WEEKDAY(B341-1)+4),1,3)+WEEKDAY(DATE(YEAR(B341-WEEKDAY(B341-1)+4),1,3))+5)/7))</f>
        <v/>
      </c>
      <c r="D341" s="9" t="str">
        <f aca="false">IF(B341="","",B341-WEEKDAY(B341,2)+1)</f>
        <v/>
      </c>
      <c r="E341" s="10"/>
      <c r="F341" s="8"/>
      <c r="G341" s="11"/>
      <c r="H341" s="10"/>
      <c r="I341" s="11"/>
      <c r="J341" s="10"/>
      <c r="K341" s="10"/>
      <c r="L341" s="10"/>
      <c r="M341" s="11"/>
      <c r="N341" s="8"/>
      <c r="O341" s="7" t="str">
        <f aca="false">IF(L341="","",IFERROR(VLOOKUP(L341,Paramètres!$F$5:$G$8,2,FALSE()),""))</f>
        <v/>
      </c>
      <c r="P341" s="9" t="str">
        <f aca="false">IF(OR(B341="",O341=""),"",IF(N341="",B341,N341)+O341)</f>
        <v/>
      </c>
      <c r="Q341" s="10"/>
      <c r="R341" s="8"/>
      <c r="S341" s="7" t="str">
        <f aca="false">IF(OR(B341="",R341=""),"",R341-B341)</f>
        <v/>
      </c>
      <c r="T341" s="7" t="str">
        <f aca="true">IF(OR(B341="",P341=""),"",IF(R341&lt;&gt;"",IF(R341&gt;P341,"Traité hors délai","Non"),IF(Q341="Classé sans suite","Non",IF(TODAY()&gt;P341,"OUI","Non"))))</f>
        <v/>
      </c>
      <c r="U341" s="11"/>
    </row>
    <row r="342" customFormat="false" ht="15" hidden="false" customHeight="false" outlineLevel="0" collapsed="false">
      <c r="A342" s="7" t="str">
        <f aca="false">IF(B342="","",YEAR(B342)&amp;"/"&amp;TEXT(ROW()-4,"0000"))</f>
        <v/>
      </c>
      <c r="B342" s="8"/>
      <c r="C342" s="7" t="str">
        <f aca="false">IF(B342="","",INT((B342-DATE(YEAR(B342-WEEKDAY(B342-1)+4),1,3)+WEEKDAY(DATE(YEAR(B342-WEEKDAY(B342-1)+4),1,3))+5)/7))</f>
        <v/>
      </c>
      <c r="D342" s="9" t="str">
        <f aca="false">IF(B342="","",B342-WEEKDAY(B342,2)+1)</f>
        <v/>
      </c>
      <c r="E342" s="10"/>
      <c r="F342" s="8"/>
      <c r="G342" s="11"/>
      <c r="H342" s="10"/>
      <c r="I342" s="11"/>
      <c r="J342" s="10"/>
      <c r="K342" s="10"/>
      <c r="L342" s="10"/>
      <c r="M342" s="11"/>
      <c r="N342" s="8"/>
      <c r="O342" s="7" t="str">
        <f aca="false">IF(L342="","",IFERROR(VLOOKUP(L342,Paramètres!$F$5:$G$8,2,FALSE()),""))</f>
        <v/>
      </c>
      <c r="P342" s="9" t="str">
        <f aca="false">IF(OR(B342="",O342=""),"",IF(N342="",B342,N342)+O342)</f>
        <v/>
      </c>
      <c r="Q342" s="10"/>
      <c r="R342" s="8"/>
      <c r="S342" s="7" t="str">
        <f aca="false">IF(OR(B342="",R342=""),"",R342-B342)</f>
        <v/>
      </c>
      <c r="T342" s="7" t="str">
        <f aca="true">IF(OR(B342="",P342=""),"",IF(R342&lt;&gt;"",IF(R342&gt;P342,"Traité hors délai","Non"),IF(Q342="Classé sans suite","Non",IF(TODAY()&gt;P342,"OUI","Non"))))</f>
        <v/>
      </c>
      <c r="U342" s="11"/>
    </row>
    <row r="343" customFormat="false" ht="15" hidden="false" customHeight="false" outlineLevel="0" collapsed="false">
      <c r="A343" s="7" t="str">
        <f aca="false">IF(B343="","",YEAR(B343)&amp;"/"&amp;TEXT(ROW()-4,"0000"))</f>
        <v/>
      </c>
      <c r="B343" s="8"/>
      <c r="C343" s="7" t="str">
        <f aca="false">IF(B343="","",INT((B343-DATE(YEAR(B343-WEEKDAY(B343-1)+4),1,3)+WEEKDAY(DATE(YEAR(B343-WEEKDAY(B343-1)+4),1,3))+5)/7))</f>
        <v/>
      </c>
      <c r="D343" s="9" t="str">
        <f aca="false">IF(B343="","",B343-WEEKDAY(B343,2)+1)</f>
        <v/>
      </c>
      <c r="E343" s="10"/>
      <c r="F343" s="8"/>
      <c r="G343" s="11"/>
      <c r="H343" s="10"/>
      <c r="I343" s="11"/>
      <c r="J343" s="10"/>
      <c r="K343" s="10"/>
      <c r="L343" s="10"/>
      <c r="M343" s="11"/>
      <c r="N343" s="8"/>
      <c r="O343" s="7" t="str">
        <f aca="false">IF(L343="","",IFERROR(VLOOKUP(L343,Paramètres!$F$5:$G$8,2,FALSE()),""))</f>
        <v/>
      </c>
      <c r="P343" s="9" t="str">
        <f aca="false">IF(OR(B343="",O343=""),"",IF(N343="",B343,N343)+O343)</f>
        <v/>
      </c>
      <c r="Q343" s="10"/>
      <c r="R343" s="8"/>
      <c r="S343" s="7" t="str">
        <f aca="false">IF(OR(B343="",R343=""),"",R343-B343)</f>
        <v/>
      </c>
      <c r="T343" s="7" t="str">
        <f aca="true">IF(OR(B343="",P343=""),"",IF(R343&lt;&gt;"",IF(R343&gt;P343,"Traité hors délai","Non"),IF(Q343="Classé sans suite","Non",IF(TODAY()&gt;P343,"OUI","Non"))))</f>
        <v/>
      </c>
      <c r="U343" s="11"/>
    </row>
    <row r="344" customFormat="false" ht="15" hidden="false" customHeight="false" outlineLevel="0" collapsed="false">
      <c r="A344" s="7" t="str">
        <f aca="false">IF(B344="","",YEAR(B344)&amp;"/"&amp;TEXT(ROW()-4,"0000"))</f>
        <v/>
      </c>
      <c r="B344" s="8"/>
      <c r="C344" s="7" t="str">
        <f aca="false">IF(B344="","",INT((B344-DATE(YEAR(B344-WEEKDAY(B344-1)+4),1,3)+WEEKDAY(DATE(YEAR(B344-WEEKDAY(B344-1)+4),1,3))+5)/7))</f>
        <v/>
      </c>
      <c r="D344" s="9" t="str">
        <f aca="false">IF(B344="","",B344-WEEKDAY(B344,2)+1)</f>
        <v/>
      </c>
      <c r="E344" s="10"/>
      <c r="F344" s="8"/>
      <c r="G344" s="11"/>
      <c r="H344" s="10"/>
      <c r="I344" s="11"/>
      <c r="J344" s="10"/>
      <c r="K344" s="10"/>
      <c r="L344" s="10"/>
      <c r="M344" s="11"/>
      <c r="N344" s="8"/>
      <c r="O344" s="7" t="str">
        <f aca="false">IF(L344="","",IFERROR(VLOOKUP(L344,Paramètres!$F$5:$G$8,2,FALSE()),""))</f>
        <v/>
      </c>
      <c r="P344" s="9" t="str">
        <f aca="false">IF(OR(B344="",O344=""),"",IF(N344="",B344,N344)+O344)</f>
        <v/>
      </c>
      <c r="Q344" s="10"/>
      <c r="R344" s="8"/>
      <c r="S344" s="7" t="str">
        <f aca="false">IF(OR(B344="",R344=""),"",R344-B344)</f>
        <v/>
      </c>
      <c r="T344" s="7" t="str">
        <f aca="true">IF(OR(B344="",P344=""),"",IF(R344&lt;&gt;"",IF(R344&gt;P344,"Traité hors délai","Non"),IF(Q344="Classé sans suite","Non",IF(TODAY()&gt;P344,"OUI","Non"))))</f>
        <v/>
      </c>
      <c r="U344" s="11"/>
    </row>
    <row r="345" customFormat="false" ht="15" hidden="false" customHeight="false" outlineLevel="0" collapsed="false">
      <c r="A345" s="7" t="str">
        <f aca="false">IF(B345="","",YEAR(B345)&amp;"/"&amp;TEXT(ROW()-4,"0000"))</f>
        <v/>
      </c>
      <c r="B345" s="8"/>
      <c r="C345" s="7" t="str">
        <f aca="false">IF(B345="","",INT((B345-DATE(YEAR(B345-WEEKDAY(B345-1)+4),1,3)+WEEKDAY(DATE(YEAR(B345-WEEKDAY(B345-1)+4),1,3))+5)/7))</f>
        <v/>
      </c>
      <c r="D345" s="9" t="str">
        <f aca="false">IF(B345="","",B345-WEEKDAY(B345,2)+1)</f>
        <v/>
      </c>
      <c r="E345" s="10"/>
      <c r="F345" s="8"/>
      <c r="G345" s="11"/>
      <c r="H345" s="10"/>
      <c r="I345" s="11"/>
      <c r="J345" s="10"/>
      <c r="K345" s="10"/>
      <c r="L345" s="10"/>
      <c r="M345" s="11"/>
      <c r="N345" s="8"/>
      <c r="O345" s="7" t="str">
        <f aca="false">IF(L345="","",IFERROR(VLOOKUP(L345,Paramètres!$F$5:$G$8,2,FALSE()),""))</f>
        <v/>
      </c>
      <c r="P345" s="9" t="str">
        <f aca="false">IF(OR(B345="",O345=""),"",IF(N345="",B345,N345)+O345)</f>
        <v/>
      </c>
      <c r="Q345" s="10"/>
      <c r="R345" s="8"/>
      <c r="S345" s="7" t="str">
        <f aca="false">IF(OR(B345="",R345=""),"",R345-B345)</f>
        <v/>
      </c>
      <c r="T345" s="7" t="str">
        <f aca="true">IF(OR(B345="",P345=""),"",IF(R345&lt;&gt;"",IF(R345&gt;P345,"Traité hors délai","Non"),IF(Q345="Classé sans suite","Non",IF(TODAY()&gt;P345,"OUI","Non"))))</f>
        <v/>
      </c>
      <c r="U345" s="11"/>
    </row>
    <row r="346" customFormat="false" ht="15" hidden="false" customHeight="false" outlineLevel="0" collapsed="false">
      <c r="A346" s="7" t="str">
        <f aca="false">IF(B346="","",YEAR(B346)&amp;"/"&amp;TEXT(ROW()-4,"0000"))</f>
        <v/>
      </c>
      <c r="B346" s="8"/>
      <c r="C346" s="7" t="str">
        <f aca="false">IF(B346="","",INT((B346-DATE(YEAR(B346-WEEKDAY(B346-1)+4),1,3)+WEEKDAY(DATE(YEAR(B346-WEEKDAY(B346-1)+4),1,3))+5)/7))</f>
        <v/>
      </c>
      <c r="D346" s="9" t="str">
        <f aca="false">IF(B346="","",B346-WEEKDAY(B346,2)+1)</f>
        <v/>
      </c>
      <c r="E346" s="10"/>
      <c r="F346" s="8"/>
      <c r="G346" s="11"/>
      <c r="H346" s="10"/>
      <c r="I346" s="11"/>
      <c r="J346" s="10"/>
      <c r="K346" s="10"/>
      <c r="L346" s="10"/>
      <c r="M346" s="11"/>
      <c r="N346" s="8"/>
      <c r="O346" s="7" t="str">
        <f aca="false">IF(L346="","",IFERROR(VLOOKUP(L346,Paramètres!$F$5:$G$8,2,FALSE()),""))</f>
        <v/>
      </c>
      <c r="P346" s="9" t="str">
        <f aca="false">IF(OR(B346="",O346=""),"",IF(N346="",B346,N346)+O346)</f>
        <v/>
      </c>
      <c r="Q346" s="10"/>
      <c r="R346" s="8"/>
      <c r="S346" s="7" t="str">
        <f aca="false">IF(OR(B346="",R346=""),"",R346-B346)</f>
        <v/>
      </c>
      <c r="T346" s="7" t="str">
        <f aca="true">IF(OR(B346="",P346=""),"",IF(R346&lt;&gt;"",IF(R346&gt;P346,"Traité hors délai","Non"),IF(Q346="Classé sans suite","Non",IF(TODAY()&gt;P346,"OUI","Non"))))</f>
        <v/>
      </c>
      <c r="U346" s="11"/>
    </row>
    <row r="347" customFormat="false" ht="15" hidden="false" customHeight="false" outlineLevel="0" collapsed="false">
      <c r="A347" s="7" t="str">
        <f aca="false">IF(B347="","",YEAR(B347)&amp;"/"&amp;TEXT(ROW()-4,"0000"))</f>
        <v/>
      </c>
      <c r="B347" s="8"/>
      <c r="C347" s="7" t="str">
        <f aca="false">IF(B347="","",INT((B347-DATE(YEAR(B347-WEEKDAY(B347-1)+4),1,3)+WEEKDAY(DATE(YEAR(B347-WEEKDAY(B347-1)+4),1,3))+5)/7))</f>
        <v/>
      </c>
      <c r="D347" s="9" t="str">
        <f aca="false">IF(B347="","",B347-WEEKDAY(B347,2)+1)</f>
        <v/>
      </c>
      <c r="E347" s="10"/>
      <c r="F347" s="8"/>
      <c r="G347" s="11"/>
      <c r="H347" s="10"/>
      <c r="I347" s="11"/>
      <c r="J347" s="10"/>
      <c r="K347" s="10"/>
      <c r="L347" s="10"/>
      <c r="M347" s="11"/>
      <c r="N347" s="8"/>
      <c r="O347" s="7" t="str">
        <f aca="false">IF(L347="","",IFERROR(VLOOKUP(L347,Paramètres!$F$5:$G$8,2,FALSE()),""))</f>
        <v/>
      </c>
      <c r="P347" s="9" t="str">
        <f aca="false">IF(OR(B347="",O347=""),"",IF(N347="",B347,N347)+O347)</f>
        <v/>
      </c>
      <c r="Q347" s="10"/>
      <c r="R347" s="8"/>
      <c r="S347" s="7" t="str">
        <f aca="false">IF(OR(B347="",R347=""),"",R347-B347)</f>
        <v/>
      </c>
      <c r="T347" s="7" t="str">
        <f aca="true">IF(OR(B347="",P347=""),"",IF(R347&lt;&gt;"",IF(R347&gt;P347,"Traité hors délai","Non"),IF(Q347="Classé sans suite","Non",IF(TODAY()&gt;P347,"OUI","Non"))))</f>
        <v/>
      </c>
      <c r="U347" s="11"/>
    </row>
    <row r="348" customFormat="false" ht="15" hidden="false" customHeight="false" outlineLevel="0" collapsed="false">
      <c r="A348" s="7" t="str">
        <f aca="false">IF(B348="","",YEAR(B348)&amp;"/"&amp;TEXT(ROW()-4,"0000"))</f>
        <v/>
      </c>
      <c r="B348" s="8"/>
      <c r="C348" s="7" t="str">
        <f aca="false">IF(B348="","",INT((B348-DATE(YEAR(B348-WEEKDAY(B348-1)+4),1,3)+WEEKDAY(DATE(YEAR(B348-WEEKDAY(B348-1)+4),1,3))+5)/7))</f>
        <v/>
      </c>
      <c r="D348" s="9" t="str">
        <f aca="false">IF(B348="","",B348-WEEKDAY(B348,2)+1)</f>
        <v/>
      </c>
      <c r="E348" s="10"/>
      <c r="F348" s="8"/>
      <c r="G348" s="11"/>
      <c r="H348" s="10"/>
      <c r="I348" s="11"/>
      <c r="J348" s="10"/>
      <c r="K348" s="10"/>
      <c r="L348" s="10"/>
      <c r="M348" s="11"/>
      <c r="N348" s="8"/>
      <c r="O348" s="7" t="str">
        <f aca="false">IF(L348="","",IFERROR(VLOOKUP(L348,Paramètres!$F$5:$G$8,2,FALSE()),""))</f>
        <v/>
      </c>
      <c r="P348" s="9" t="str">
        <f aca="false">IF(OR(B348="",O348=""),"",IF(N348="",B348,N348)+O348)</f>
        <v/>
      </c>
      <c r="Q348" s="10"/>
      <c r="R348" s="8"/>
      <c r="S348" s="7" t="str">
        <f aca="false">IF(OR(B348="",R348=""),"",R348-B348)</f>
        <v/>
      </c>
      <c r="T348" s="7" t="str">
        <f aca="true">IF(OR(B348="",P348=""),"",IF(R348&lt;&gt;"",IF(R348&gt;P348,"Traité hors délai","Non"),IF(Q348="Classé sans suite","Non",IF(TODAY()&gt;P348,"OUI","Non"))))</f>
        <v/>
      </c>
      <c r="U348" s="11"/>
    </row>
    <row r="349" customFormat="false" ht="15" hidden="false" customHeight="false" outlineLevel="0" collapsed="false">
      <c r="A349" s="7" t="str">
        <f aca="false">IF(B349="","",YEAR(B349)&amp;"/"&amp;TEXT(ROW()-4,"0000"))</f>
        <v/>
      </c>
      <c r="B349" s="8"/>
      <c r="C349" s="7" t="str">
        <f aca="false">IF(B349="","",INT((B349-DATE(YEAR(B349-WEEKDAY(B349-1)+4),1,3)+WEEKDAY(DATE(YEAR(B349-WEEKDAY(B349-1)+4),1,3))+5)/7))</f>
        <v/>
      </c>
      <c r="D349" s="9" t="str">
        <f aca="false">IF(B349="","",B349-WEEKDAY(B349,2)+1)</f>
        <v/>
      </c>
      <c r="E349" s="10"/>
      <c r="F349" s="8"/>
      <c r="G349" s="11"/>
      <c r="H349" s="10"/>
      <c r="I349" s="11"/>
      <c r="J349" s="10"/>
      <c r="K349" s="10"/>
      <c r="L349" s="10"/>
      <c r="M349" s="11"/>
      <c r="N349" s="8"/>
      <c r="O349" s="7" t="str">
        <f aca="false">IF(L349="","",IFERROR(VLOOKUP(L349,Paramètres!$F$5:$G$8,2,FALSE()),""))</f>
        <v/>
      </c>
      <c r="P349" s="9" t="str">
        <f aca="false">IF(OR(B349="",O349=""),"",IF(N349="",B349,N349)+O349)</f>
        <v/>
      </c>
      <c r="Q349" s="10"/>
      <c r="R349" s="8"/>
      <c r="S349" s="7" t="str">
        <f aca="false">IF(OR(B349="",R349=""),"",R349-B349)</f>
        <v/>
      </c>
      <c r="T349" s="7" t="str">
        <f aca="true">IF(OR(B349="",P349=""),"",IF(R349&lt;&gt;"",IF(R349&gt;P349,"Traité hors délai","Non"),IF(Q349="Classé sans suite","Non",IF(TODAY()&gt;P349,"OUI","Non"))))</f>
        <v/>
      </c>
      <c r="U349" s="11"/>
    </row>
    <row r="350" customFormat="false" ht="15" hidden="false" customHeight="false" outlineLevel="0" collapsed="false">
      <c r="A350" s="7" t="str">
        <f aca="false">IF(B350="","",YEAR(B350)&amp;"/"&amp;TEXT(ROW()-4,"0000"))</f>
        <v/>
      </c>
      <c r="B350" s="8"/>
      <c r="C350" s="7" t="str">
        <f aca="false">IF(B350="","",INT((B350-DATE(YEAR(B350-WEEKDAY(B350-1)+4),1,3)+WEEKDAY(DATE(YEAR(B350-WEEKDAY(B350-1)+4),1,3))+5)/7))</f>
        <v/>
      </c>
      <c r="D350" s="9" t="str">
        <f aca="false">IF(B350="","",B350-WEEKDAY(B350,2)+1)</f>
        <v/>
      </c>
      <c r="E350" s="10"/>
      <c r="F350" s="8"/>
      <c r="G350" s="11"/>
      <c r="H350" s="10"/>
      <c r="I350" s="11"/>
      <c r="J350" s="10"/>
      <c r="K350" s="10"/>
      <c r="L350" s="10"/>
      <c r="M350" s="11"/>
      <c r="N350" s="8"/>
      <c r="O350" s="7" t="str">
        <f aca="false">IF(L350="","",IFERROR(VLOOKUP(L350,Paramètres!$F$5:$G$8,2,FALSE()),""))</f>
        <v/>
      </c>
      <c r="P350" s="9" t="str">
        <f aca="false">IF(OR(B350="",O350=""),"",IF(N350="",B350,N350)+O350)</f>
        <v/>
      </c>
      <c r="Q350" s="10"/>
      <c r="R350" s="8"/>
      <c r="S350" s="7" t="str">
        <f aca="false">IF(OR(B350="",R350=""),"",R350-B350)</f>
        <v/>
      </c>
      <c r="T350" s="7" t="str">
        <f aca="true">IF(OR(B350="",P350=""),"",IF(R350&lt;&gt;"",IF(R350&gt;P350,"Traité hors délai","Non"),IF(Q350="Classé sans suite","Non",IF(TODAY()&gt;P350,"OUI","Non"))))</f>
        <v/>
      </c>
      <c r="U350" s="11"/>
    </row>
    <row r="351" customFormat="false" ht="15" hidden="false" customHeight="false" outlineLevel="0" collapsed="false">
      <c r="A351" s="7" t="str">
        <f aca="false">IF(B351="","",YEAR(B351)&amp;"/"&amp;TEXT(ROW()-4,"0000"))</f>
        <v/>
      </c>
      <c r="B351" s="8"/>
      <c r="C351" s="7" t="str">
        <f aca="false">IF(B351="","",INT((B351-DATE(YEAR(B351-WEEKDAY(B351-1)+4),1,3)+WEEKDAY(DATE(YEAR(B351-WEEKDAY(B351-1)+4),1,3))+5)/7))</f>
        <v/>
      </c>
      <c r="D351" s="9" t="str">
        <f aca="false">IF(B351="","",B351-WEEKDAY(B351,2)+1)</f>
        <v/>
      </c>
      <c r="E351" s="10"/>
      <c r="F351" s="8"/>
      <c r="G351" s="11"/>
      <c r="H351" s="10"/>
      <c r="I351" s="11"/>
      <c r="J351" s="10"/>
      <c r="K351" s="10"/>
      <c r="L351" s="10"/>
      <c r="M351" s="11"/>
      <c r="N351" s="8"/>
      <c r="O351" s="7" t="str">
        <f aca="false">IF(L351="","",IFERROR(VLOOKUP(L351,Paramètres!$F$5:$G$8,2,FALSE()),""))</f>
        <v/>
      </c>
      <c r="P351" s="9" t="str">
        <f aca="false">IF(OR(B351="",O351=""),"",IF(N351="",B351,N351)+O351)</f>
        <v/>
      </c>
      <c r="Q351" s="10"/>
      <c r="R351" s="8"/>
      <c r="S351" s="7" t="str">
        <f aca="false">IF(OR(B351="",R351=""),"",R351-B351)</f>
        <v/>
      </c>
      <c r="T351" s="7" t="str">
        <f aca="true">IF(OR(B351="",P351=""),"",IF(R351&lt;&gt;"",IF(R351&gt;P351,"Traité hors délai","Non"),IF(Q351="Classé sans suite","Non",IF(TODAY()&gt;P351,"OUI","Non"))))</f>
        <v/>
      </c>
      <c r="U351" s="11"/>
    </row>
    <row r="352" customFormat="false" ht="15" hidden="false" customHeight="false" outlineLevel="0" collapsed="false">
      <c r="A352" s="7" t="str">
        <f aca="false">IF(B352="","",YEAR(B352)&amp;"/"&amp;TEXT(ROW()-4,"0000"))</f>
        <v/>
      </c>
      <c r="B352" s="8"/>
      <c r="C352" s="7" t="str">
        <f aca="false">IF(B352="","",INT((B352-DATE(YEAR(B352-WEEKDAY(B352-1)+4),1,3)+WEEKDAY(DATE(YEAR(B352-WEEKDAY(B352-1)+4),1,3))+5)/7))</f>
        <v/>
      </c>
      <c r="D352" s="9" t="str">
        <f aca="false">IF(B352="","",B352-WEEKDAY(B352,2)+1)</f>
        <v/>
      </c>
      <c r="E352" s="10"/>
      <c r="F352" s="8"/>
      <c r="G352" s="11"/>
      <c r="H352" s="10"/>
      <c r="I352" s="11"/>
      <c r="J352" s="10"/>
      <c r="K352" s="10"/>
      <c r="L352" s="10"/>
      <c r="M352" s="11"/>
      <c r="N352" s="8"/>
      <c r="O352" s="7" t="str">
        <f aca="false">IF(L352="","",IFERROR(VLOOKUP(L352,Paramètres!$F$5:$G$8,2,FALSE()),""))</f>
        <v/>
      </c>
      <c r="P352" s="9" t="str">
        <f aca="false">IF(OR(B352="",O352=""),"",IF(N352="",B352,N352)+O352)</f>
        <v/>
      </c>
      <c r="Q352" s="10"/>
      <c r="R352" s="8"/>
      <c r="S352" s="7" t="str">
        <f aca="false">IF(OR(B352="",R352=""),"",R352-B352)</f>
        <v/>
      </c>
      <c r="T352" s="7" t="str">
        <f aca="true">IF(OR(B352="",P352=""),"",IF(R352&lt;&gt;"",IF(R352&gt;P352,"Traité hors délai","Non"),IF(Q352="Classé sans suite","Non",IF(TODAY()&gt;P352,"OUI","Non"))))</f>
        <v/>
      </c>
      <c r="U352" s="11"/>
    </row>
    <row r="353" customFormat="false" ht="15" hidden="false" customHeight="false" outlineLevel="0" collapsed="false">
      <c r="A353" s="7" t="str">
        <f aca="false">IF(B353="","",YEAR(B353)&amp;"/"&amp;TEXT(ROW()-4,"0000"))</f>
        <v/>
      </c>
      <c r="B353" s="8"/>
      <c r="C353" s="7" t="str">
        <f aca="false">IF(B353="","",INT((B353-DATE(YEAR(B353-WEEKDAY(B353-1)+4),1,3)+WEEKDAY(DATE(YEAR(B353-WEEKDAY(B353-1)+4),1,3))+5)/7))</f>
        <v/>
      </c>
      <c r="D353" s="9" t="str">
        <f aca="false">IF(B353="","",B353-WEEKDAY(B353,2)+1)</f>
        <v/>
      </c>
      <c r="E353" s="10"/>
      <c r="F353" s="8"/>
      <c r="G353" s="11"/>
      <c r="H353" s="10"/>
      <c r="I353" s="11"/>
      <c r="J353" s="10"/>
      <c r="K353" s="10"/>
      <c r="L353" s="10"/>
      <c r="M353" s="11"/>
      <c r="N353" s="8"/>
      <c r="O353" s="7" t="str">
        <f aca="false">IF(L353="","",IFERROR(VLOOKUP(L353,Paramètres!$F$5:$G$8,2,FALSE()),""))</f>
        <v/>
      </c>
      <c r="P353" s="9" t="str">
        <f aca="false">IF(OR(B353="",O353=""),"",IF(N353="",B353,N353)+O353)</f>
        <v/>
      </c>
      <c r="Q353" s="10"/>
      <c r="R353" s="8"/>
      <c r="S353" s="7" t="str">
        <f aca="false">IF(OR(B353="",R353=""),"",R353-B353)</f>
        <v/>
      </c>
      <c r="T353" s="7" t="str">
        <f aca="true">IF(OR(B353="",P353=""),"",IF(R353&lt;&gt;"",IF(R353&gt;P353,"Traité hors délai","Non"),IF(Q353="Classé sans suite","Non",IF(TODAY()&gt;P353,"OUI","Non"))))</f>
        <v/>
      </c>
      <c r="U353" s="11"/>
    </row>
    <row r="354" customFormat="false" ht="15" hidden="false" customHeight="false" outlineLevel="0" collapsed="false">
      <c r="A354" s="7" t="str">
        <f aca="false">IF(B354="","",YEAR(B354)&amp;"/"&amp;TEXT(ROW()-4,"0000"))</f>
        <v/>
      </c>
      <c r="B354" s="8"/>
      <c r="C354" s="7" t="str">
        <f aca="false">IF(B354="","",INT((B354-DATE(YEAR(B354-WEEKDAY(B354-1)+4),1,3)+WEEKDAY(DATE(YEAR(B354-WEEKDAY(B354-1)+4),1,3))+5)/7))</f>
        <v/>
      </c>
      <c r="D354" s="9" t="str">
        <f aca="false">IF(B354="","",B354-WEEKDAY(B354,2)+1)</f>
        <v/>
      </c>
      <c r="E354" s="10"/>
      <c r="F354" s="8"/>
      <c r="G354" s="11"/>
      <c r="H354" s="10"/>
      <c r="I354" s="11"/>
      <c r="J354" s="10"/>
      <c r="K354" s="10"/>
      <c r="L354" s="10"/>
      <c r="M354" s="11"/>
      <c r="N354" s="8"/>
      <c r="O354" s="7" t="str">
        <f aca="false">IF(L354="","",IFERROR(VLOOKUP(L354,Paramètres!$F$5:$G$8,2,FALSE()),""))</f>
        <v/>
      </c>
      <c r="P354" s="9" t="str">
        <f aca="false">IF(OR(B354="",O354=""),"",IF(N354="",B354,N354)+O354)</f>
        <v/>
      </c>
      <c r="Q354" s="10"/>
      <c r="R354" s="8"/>
      <c r="S354" s="7" t="str">
        <f aca="false">IF(OR(B354="",R354=""),"",R354-B354)</f>
        <v/>
      </c>
      <c r="T354" s="7" t="str">
        <f aca="true">IF(OR(B354="",P354=""),"",IF(R354&lt;&gt;"",IF(R354&gt;P354,"Traité hors délai","Non"),IF(Q354="Classé sans suite","Non",IF(TODAY()&gt;P354,"OUI","Non"))))</f>
        <v/>
      </c>
      <c r="U354" s="11"/>
    </row>
    <row r="355" customFormat="false" ht="15" hidden="false" customHeight="false" outlineLevel="0" collapsed="false">
      <c r="A355" s="7" t="str">
        <f aca="false">IF(B355="","",YEAR(B355)&amp;"/"&amp;TEXT(ROW()-4,"0000"))</f>
        <v/>
      </c>
      <c r="B355" s="8"/>
      <c r="C355" s="7" t="str">
        <f aca="false">IF(B355="","",INT((B355-DATE(YEAR(B355-WEEKDAY(B355-1)+4),1,3)+WEEKDAY(DATE(YEAR(B355-WEEKDAY(B355-1)+4),1,3))+5)/7))</f>
        <v/>
      </c>
      <c r="D355" s="9" t="str">
        <f aca="false">IF(B355="","",B355-WEEKDAY(B355,2)+1)</f>
        <v/>
      </c>
      <c r="E355" s="10"/>
      <c r="F355" s="8"/>
      <c r="G355" s="11"/>
      <c r="H355" s="10"/>
      <c r="I355" s="11"/>
      <c r="J355" s="10"/>
      <c r="K355" s="10"/>
      <c r="L355" s="10"/>
      <c r="M355" s="11"/>
      <c r="N355" s="8"/>
      <c r="O355" s="7" t="str">
        <f aca="false">IF(L355="","",IFERROR(VLOOKUP(L355,Paramètres!$F$5:$G$8,2,FALSE()),""))</f>
        <v/>
      </c>
      <c r="P355" s="9" t="str">
        <f aca="false">IF(OR(B355="",O355=""),"",IF(N355="",B355,N355)+O355)</f>
        <v/>
      </c>
      <c r="Q355" s="10"/>
      <c r="R355" s="8"/>
      <c r="S355" s="7" t="str">
        <f aca="false">IF(OR(B355="",R355=""),"",R355-B355)</f>
        <v/>
      </c>
      <c r="T355" s="7" t="str">
        <f aca="true">IF(OR(B355="",P355=""),"",IF(R355&lt;&gt;"",IF(R355&gt;P355,"Traité hors délai","Non"),IF(Q355="Classé sans suite","Non",IF(TODAY()&gt;P355,"OUI","Non"))))</f>
        <v/>
      </c>
      <c r="U355" s="11"/>
    </row>
    <row r="356" customFormat="false" ht="15" hidden="false" customHeight="false" outlineLevel="0" collapsed="false">
      <c r="A356" s="7" t="str">
        <f aca="false">IF(B356="","",YEAR(B356)&amp;"/"&amp;TEXT(ROW()-4,"0000"))</f>
        <v/>
      </c>
      <c r="B356" s="8"/>
      <c r="C356" s="7" t="str">
        <f aca="false">IF(B356="","",INT((B356-DATE(YEAR(B356-WEEKDAY(B356-1)+4),1,3)+WEEKDAY(DATE(YEAR(B356-WEEKDAY(B356-1)+4),1,3))+5)/7))</f>
        <v/>
      </c>
      <c r="D356" s="9" t="str">
        <f aca="false">IF(B356="","",B356-WEEKDAY(B356,2)+1)</f>
        <v/>
      </c>
      <c r="E356" s="10"/>
      <c r="F356" s="8"/>
      <c r="G356" s="11"/>
      <c r="H356" s="10"/>
      <c r="I356" s="11"/>
      <c r="J356" s="10"/>
      <c r="K356" s="10"/>
      <c r="L356" s="10"/>
      <c r="M356" s="11"/>
      <c r="N356" s="8"/>
      <c r="O356" s="7" t="str">
        <f aca="false">IF(L356="","",IFERROR(VLOOKUP(L356,Paramètres!$F$5:$G$8,2,FALSE()),""))</f>
        <v/>
      </c>
      <c r="P356" s="9" t="str">
        <f aca="false">IF(OR(B356="",O356=""),"",IF(N356="",B356,N356)+O356)</f>
        <v/>
      </c>
      <c r="Q356" s="10"/>
      <c r="R356" s="8"/>
      <c r="S356" s="7" t="str">
        <f aca="false">IF(OR(B356="",R356=""),"",R356-B356)</f>
        <v/>
      </c>
      <c r="T356" s="7" t="str">
        <f aca="true">IF(OR(B356="",P356=""),"",IF(R356&lt;&gt;"",IF(R356&gt;P356,"Traité hors délai","Non"),IF(Q356="Classé sans suite","Non",IF(TODAY()&gt;P356,"OUI","Non"))))</f>
        <v/>
      </c>
      <c r="U356" s="11"/>
    </row>
    <row r="357" customFormat="false" ht="15" hidden="false" customHeight="false" outlineLevel="0" collapsed="false">
      <c r="A357" s="7" t="str">
        <f aca="false">IF(B357="","",YEAR(B357)&amp;"/"&amp;TEXT(ROW()-4,"0000"))</f>
        <v/>
      </c>
      <c r="B357" s="8"/>
      <c r="C357" s="7" t="str">
        <f aca="false">IF(B357="","",INT((B357-DATE(YEAR(B357-WEEKDAY(B357-1)+4),1,3)+WEEKDAY(DATE(YEAR(B357-WEEKDAY(B357-1)+4),1,3))+5)/7))</f>
        <v/>
      </c>
      <c r="D357" s="9" t="str">
        <f aca="false">IF(B357="","",B357-WEEKDAY(B357,2)+1)</f>
        <v/>
      </c>
      <c r="E357" s="10"/>
      <c r="F357" s="8"/>
      <c r="G357" s="11"/>
      <c r="H357" s="10"/>
      <c r="I357" s="11"/>
      <c r="J357" s="10"/>
      <c r="K357" s="10"/>
      <c r="L357" s="10"/>
      <c r="M357" s="11"/>
      <c r="N357" s="8"/>
      <c r="O357" s="7" t="str">
        <f aca="false">IF(L357="","",IFERROR(VLOOKUP(L357,Paramètres!$F$5:$G$8,2,FALSE()),""))</f>
        <v/>
      </c>
      <c r="P357" s="9" t="str">
        <f aca="false">IF(OR(B357="",O357=""),"",IF(N357="",B357,N357)+O357)</f>
        <v/>
      </c>
      <c r="Q357" s="10"/>
      <c r="R357" s="8"/>
      <c r="S357" s="7" t="str">
        <f aca="false">IF(OR(B357="",R357=""),"",R357-B357)</f>
        <v/>
      </c>
      <c r="T357" s="7" t="str">
        <f aca="true">IF(OR(B357="",P357=""),"",IF(R357&lt;&gt;"",IF(R357&gt;P357,"Traité hors délai","Non"),IF(Q357="Classé sans suite","Non",IF(TODAY()&gt;P357,"OUI","Non"))))</f>
        <v/>
      </c>
      <c r="U357" s="11"/>
    </row>
    <row r="358" customFormat="false" ht="15" hidden="false" customHeight="false" outlineLevel="0" collapsed="false">
      <c r="A358" s="7" t="str">
        <f aca="false">IF(B358="","",YEAR(B358)&amp;"/"&amp;TEXT(ROW()-4,"0000"))</f>
        <v/>
      </c>
      <c r="B358" s="8"/>
      <c r="C358" s="7" t="str">
        <f aca="false">IF(B358="","",INT((B358-DATE(YEAR(B358-WEEKDAY(B358-1)+4),1,3)+WEEKDAY(DATE(YEAR(B358-WEEKDAY(B358-1)+4),1,3))+5)/7))</f>
        <v/>
      </c>
      <c r="D358" s="9" t="str">
        <f aca="false">IF(B358="","",B358-WEEKDAY(B358,2)+1)</f>
        <v/>
      </c>
      <c r="E358" s="10"/>
      <c r="F358" s="8"/>
      <c r="G358" s="11"/>
      <c r="H358" s="10"/>
      <c r="I358" s="11"/>
      <c r="J358" s="10"/>
      <c r="K358" s="10"/>
      <c r="L358" s="10"/>
      <c r="M358" s="11"/>
      <c r="N358" s="8"/>
      <c r="O358" s="7" t="str">
        <f aca="false">IF(L358="","",IFERROR(VLOOKUP(L358,Paramètres!$F$5:$G$8,2,FALSE()),""))</f>
        <v/>
      </c>
      <c r="P358" s="9" t="str">
        <f aca="false">IF(OR(B358="",O358=""),"",IF(N358="",B358,N358)+O358)</f>
        <v/>
      </c>
      <c r="Q358" s="10"/>
      <c r="R358" s="8"/>
      <c r="S358" s="7" t="str">
        <f aca="false">IF(OR(B358="",R358=""),"",R358-B358)</f>
        <v/>
      </c>
      <c r="T358" s="7" t="str">
        <f aca="true">IF(OR(B358="",P358=""),"",IF(R358&lt;&gt;"",IF(R358&gt;P358,"Traité hors délai","Non"),IF(Q358="Classé sans suite","Non",IF(TODAY()&gt;P358,"OUI","Non"))))</f>
        <v/>
      </c>
      <c r="U358" s="11"/>
    </row>
    <row r="359" customFormat="false" ht="15" hidden="false" customHeight="false" outlineLevel="0" collapsed="false">
      <c r="A359" s="7" t="str">
        <f aca="false">IF(B359="","",YEAR(B359)&amp;"/"&amp;TEXT(ROW()-4,"0000"))</f>
        <v/>
      </c>
      <c r="B359" s="8"/>
      <c r="C359" s="7" t="str">
        <f aca="false">IF(B359="","",INT((B359-DATE(YEAR(B359-WEEKDAY(B359-1)+4),1,3)+WEEKDAY(DATE(YEAR(B359-WEEKDAY(B359-1)+4),1,3))+5)/7))</f>
        <v/>
      </c>
      <c r="D359" s="9" t="str">
        <f aca="false">IF(B359="","",B359-WEEKDAY(B359,2)+1)</f>
        <v/>
      </c>
      <c r="E359" s="10"/>
      <c r="F359" s="8"/>
      <c r="G359" s="11"/>
      <c r="H359" s="10"/>
      <c r="I359" s="11"/>
      <c r="J359" s="10"/>
      <c r="K359" s="10"/>
      <c r="L359" s="10"/>
      <c r="M359" s="11"/>
      <c r="N359" s="8"/>
      <c r="O359" s="7" t="str">
        <f aca="false">IF(L359="","",IFERROR(VLOOKUP(L359,Paramètres!$F$5:$G$8,2,FALSE()),""))</f>
        <v/>
      </c>
      <c r="P359" s="9" t="str">
        <f aca="false">IF(OR(B359="",O359=""),"",IF(N359="",B359,N359)+O359)</f>
        <v/>
      </c>
      <c r="Q359" s="10"/>
      <c r="R359" s="8"/>
      <c r="S359" s="7" t="str">
        <f aca="false">IF(OR(B359="",R359=""),"",R359-B359)</f>
        <v/>
      </c>
      <c r="T359" s="7" t="str">
        <f aca="true">IF(OR(B359="",P359=""),"",IF(R359&lt;&gt;"",IF(R359&gt;P359,"Traité hors délai","Non"),IF(Q359="Classé sans suite","Non",IF(TODAY()&gt;P359,"OUI","Non"))))</f>
        <v/>
      </c>
      <c r="U359" s="11"/>
    </row>
    <row r="360" customFormat="false" ht="15" hidden="false" customHeight="false" outlineLevel="0" collapsed="false">
      <c r="A360" s="7" t="str">
        <f aca="false">IF(B360="","",YEAR(B360)&amp;"/"&amp;TEXT(ROW()-4,"0000"))</f>
        <v/>
      </c>
      <c r="B360" s="8"/>
      <c r="C360" s="7" t="str">
        <f aca="false">IF(B360="","",INT((B360-DATE(YEAR(B360-WEEKDAY(B360-1)+4),1,3)+WEEKDAY(DATE(YEAR(B360-WEEKDAY(B360-1)+4),1,3))+5)/7))</f>
        <v/>
      </c>
      <c r="D360" s="9" t="str">
        <f aca="false">IF(B360="","",B360-WEEKDAY(B360,2)+1)</f>
        <v/>
      </c>
      <c r="E360" s="10"/>
      <c r="F360" s="8"/>
      <c r="G360" s="11"/>
      <c r="H360" s="10"/>
      <c r="I360" s="11"/>
      <c r="J360" s="10"/>
      <c r="K360" s="10"/>
      <c r="L360" s="10"/>
      <c r="M360" s="11"/>
      <c r="N360" s="8"/>
      <c r="O360" s="7" t="str">
        <f aca="false">IF(L360="","",IFERROR(VLOOKUP(L360,Paramètres!$F$5:$G$8,2,FALSE()),""))</f>
        <v/>
      </c>
      <c r="P360" s="9" t="str">
        <f aca="false">IF(OR(B360="",O360=""),"",IF(N360="",B360,N360)+O360)</f>
        <v/>
      </c>
      <c r="Q360" s="10"/>
      <c r="R360" s="8"/>
      <c r="S360" s="7" t="str">
        <f aca="false">IF(OR(B360="",R360=""),"",R360-B360)</f>
        <v/>
      </c>
      <c r="T360" s="7" t="str">
        <f aca="true">IF(OR(B360="",P360=""),"",IF(R360&lt;&gt;"",IF(R360&gt;P360,"Traité hors délai","Non"),IF(Q360="Classé sans suite","Non",IF(TODAY()&gt;P360,"OUI","Non"))))</f>
        <v/>
      </c>
      <c r="U360" s="11"/>
    </row>
    <row r="361" customFormat="false" ht="15" hidden="false" customHeight="false" outlineLevel="0" collapsed="false">
      <c r="A361" s="7" t="str">
        <f aca="false">IF(B361="","",YEAR(B361)&amp;"/"&amp;TEXT(ROW()-4,"0000"))</f>
        <v/>
      </c>
      <c r="B361" s="8"/>
      <c r="C361" s="7" t="str">
        <f aca="false">IF(B361="","",INT((B361-DATE(YEAR(B361-WEEKDAY(B361-1)+4),1,3)+WEEKDAY(DATE(YEAR(B361-WEEKDAY(B361-1)+4),1,3))+5)/7))</f>
        <v/>
      </c>
      <c r="D361" s="9" t="str">
        <f aca="false">IF(B361="","",B361-WEEKDAY(B361,2)+1)</f>
        <v/>
      </c>
      <c r="E361" s="10"/>
      <c r="F361" s="8"/>
      <c r="G361" s="11"/>
      <c r="H361" s="10"/>
      <c r="I361" s="11"/>
      <c r="J361" s="10"/>
      <c r="K361" s="10"/>
      <c r="L361" s="10"/>
      <c r="M361" s="11"/>
      <c r="N361" s="8"/>
      <c r="O361" s="7" t="str">
        <f aca="false">IF(L361="","",IFERROR(VLOOKUP(L361,Paramètres!$F$5:$G$8,2,FALSE()),""))</f>
        <v/>
      </c>
      <c r="P361" s="9" t="str">
        <f aca="false">IF(OR(B361="",O361=""),"",IF(N361="",B361,N361)+O361)</f>
        <v/>
      </c>
      <c r="Q361" s="10"/>
      <c r="R361" s="8"/>
      <c r="S361" s="7" t="str">
        <f aca="false">IF(OR(B361="",R361=""),"",R361-B361)</f>
        <v/>
      </c>
      <c r="T361" s="7" t="str">
        <f aca="true">IF(OR(B361="",P361=""),"",IF(R361&lt;&gt;"",IF(R361&gt;P361,"Traité hors délai","Non"),IF(Q361="Classé sans suite","Non",IF(TODAY()&gt;P361,"OUI","Non"))))</f>
        <v/>
      </c>
      <c r="U361" s="11"/>
    </row>
    <row r="362" customFormat="false" ht="15" hidden="false" customHeight="false" outlineLevel="0" collapsed="false">
      <c r="A362" s="7" t="str">
        <f aca="false">IF(B362="","",YEAR(B362)&amp;"/"&amp;TEXT(ROW()-4,"0000"))</f>
        <v/>
      </c>
      <c r="B362" s="8"/>
      <c r="C362" s="7" t="str">
        <f aca="false">IF(B362="","",INT((B362-DATE(YEAR(B362-WEEKDAY(B362-1)+4),1,3)+WEEKDAY(DATE(YEAR(B362-WEEKDAY(B362-1)+4),1,3))+5)/7))</f>
        <v/>
      </c>
      <c r="D362" s="9" t="str">
        <f aca="false">IF(B362="","",B362-WEEKDAY(B362,2)+1)</f>
        <v/>
      </c>
      <c r="E362" s="10"/>
      <c r="F362" s="8"/>
      <c r="G362" s="11"/>
      <c r="H362" s="10"/>
      <c r="I362" s="11"/>
      <c r="J362" s="10"/>
      <c r="K362" s="10"/>
      <c r="L362" s="10"/>
      <c r="M362" s="11"/>
      <c r="N362" s="8"/>
      <c r="O362" s="7" t="str">
        <f aca="false">IF(L362="","",IFERROR(VLOOKUP(L362,Paramètres!$F$5:$G$8,2,FALSE()),""))</f>
        <v/>
      </c>
      <c r="P362" s="9" t="str">
        <f aca="false">IF(OR(B362="",O362=""),"",IF(N362="",B362,N362)+O362)</f>
        <v/>
      </c>
      <c r="Q362" s="10"/>
      <c r="R362" s="8"/>
      <c r="S362" s="7" t="str">
        <f aca="false">IF(OR(B362="",R362=""),"",R362-B362)</f>
        <v/>
      </c>
      <c r="T362" s="7" t="str">
        <f aca="true">IF(OR(B362="",P362=""),"",IF(R362&lt;&gt;"",IF(R362&gt;P362,"Traité hors délai","Non"),IF(Q362="Classé sans suite","Non",IF(TODAY()&gt;P362,"OUI","Non"))))</f>
        <v/>
      </c>
      <c r="U362" s="11"/>
    </row>
    <row r="363" customFormat="false" ht="15" hidden="false" customHeight="false" outlineLevel="0" collapsed="false">
      <c r="A363" s="7" t="str">
        <f aca="false">IF(B363="","",YEAR(B363)&amp;"/"&amp;TEXT(ROW()-4,"0000"))</f>
        <v/>
      </c>
      <c r="B363" s="8"/>
      <c r="C363" s="7" t="str">
        <f aca="false">IF(B363="","",INT((B363-DATE(YEAR(B363-WEEKDAY(B363-1)+4),1,3)+WEEKDAY(DATE(YEAR(B363-WEEKDAY(B363-1)+4),1,3))+5)/7))</f>
        <v/>
      </c>
      <c r="D363" s="9" t="str">
        <f aca="false">IF(B363="","",B363-WEEKDAY(B363,2)+1)</f>
        <v/>
      </c>
      <c r="E363" s="10"/>
      <c r="F363" s="8"/>
      <c r="G363" s="11"/>
      <c r="H363" s="10"/>
      <c r="I363" s="11"/>
      <c r="J363" s="10"/>
      <c r="K363" s="10"/>
      <c r="L363" s="10"/>
      <c r="M363" s="11"/>
      <c r="N363" s="8"/>
      <c r="O363" s="7" t="str">
        <f aca="false">IF(L363="","",IFERROR(VLOOKUP(L363,Paramètres!$F$5:$G$8,2,FALSE()),""))</f>
        <v/>
      </c>
      <c r="P363" s="9" t="str">
        <f aca="false">IF(OR(B363="",O363=""),"",IF(N363="",B363,N363)+O363)</f>
        <v/>
      </c>
      <c r="Q363" s="10"/>
      <c r="R363" s="8"/>
      <c r="S363" s="7" t="str">
        <f aca="false">IF(OR(B363="",R363=""),"",R363-B363)</f>
        <v/>
      </c>
      <c r="T363" s="7" t="str">
        <f aca="true">IF(OR(B363="",P363=""),"",IF(R363&lt;&gt;"",IF(R363&gt;P363,"Traité hors délai","Non"),IF(Q363="Classé sans suite","Non",IF(TODAY()&gt;P363,"OUI","Non"))))</f>
        <v/>
      </c>
      <c r="U363" s="11"/>
    </row>
    <row r="364" customFormat="false" ht="15" hidden="false" customHeight="false" outlineLevel="0" collapsed="false">
      <c r="A364" s="7" t="str">
        <f aca="false">IF(B364="","",YEAR(B364)&amp;"/"&amp;TEXT(ROW()-4,"0000"))</f>
        <v/>
      </c>
      <c r="B364" s="8"/>
      <c r="C364" s="7" t="str">
        <f aca="false">IF(B364="","",INT((B364-DATE(YEAR(B364-WEEKDAY(B364-1)+4),1,3)+WEEKDAY(DATE(YEAR(B364-WEEKDAY(B364-1)+4),1,3))+5)/7))</f>
        <v/>
      </c>
      <c r="D364" s="9" t="str">
        <f aca="false">IF(B364="","",B364-WEEKDAY(B364,2)+1)</f>
        <v/>
      </c>
      <c r="E364" s="10"/>
      <c r="F364" s="8"/>
      <c r="G364" s="11"/>
      <c r="H364" s="10"/>
      <c r="I364" s="11"/>
      <c r="J364" s="10"/>
      <c r="K364" s="10"/>
      <c r="L364" s="10"/>
      <c r="M364" s="11"/>
      <c r="N364" s="8"/>
      <c r="O364" s="7" t="str">
        <f aca="false">IF(L364="","",IFERROR(VLOOKUP(L364,Paramètres!$F$5:$G$8,2,FALSE()),""))</f>
        <v/>
      </c>
      <c r="P364" s="9" t="str">
        <f aca="false">IF(OR(B364="",O364=""),"",IF(N364="",B364,N364)+O364)</f>
        <v/>
      </c>
      <c r="Q364" s="10"/>
      <c r="R364" s="8"/>
      <c r="S364" s="7" t="str">
        <f aca="false">IF(OR(B364="",R364=""),"",R364-B364)</f>
        <v/>
      </c>
      <c r="T364" s="7" t="str">
        <f aca="true">IF(OR(B364="",P364=""),"",IF(R364&lt;&gt;"",IF(R364&gt;P364,"Traité hors délai","Non"),IF(Q364="Classé sans suite","Non",IF(TODAY()&gt;P364,"OUI","Non"))))</f>
        <v/>
      </c>
      <c r="U364" s="11"/>
    </row>
    <row r="365" customFormat="false" ht="15" hidden="false" customHeight="false" outlineLevel="0" collapsed="false">
      <c r="A365" s="7" t="str">
        <f aca="false">IF(B365="","",YEAR(B365)&amp;"/"&amp;TEXT(ROW()-4,"0000"))</f>
        <v/>
      </c>
      <c r="B365" s="8"/>
      <c r="C365" s="7" t="str">
        <f aca="false">IF(B365="","",INT((B365-DATE(YEAR(B365-WEEKDAY(B365-1)+4),1,3)+WEEKDAY(DATE(YEAR(B365-WEEKDAY(B365-1)+4),1,3))+5)/7))</f>
        <v/>
      </c>
      <c r="D365" s="9" t="str">
        <f aca="false">IF(B365="","",B365-WEEKDAY(B365,2)+1)</f>
        <v/>
      </c>
      <c r="E365" s="10"/>
      <c r="F365" s="8"/>
      <c r="G365" s="11"/>
      <c r="H365" s="10"/>
      <c r="I365" s="11"/>
      <c r="J365" s="10"/>
      <c r="K365" s="10"/>
      <c r="L365" s="10"/>
      <c r="M365" s="11"/>
      <c r="N365" s="8"/>
      <c r="O365" s="7" t="str">
        <f aca="false">IF(L365="","",IFERROR(VLOOKUP(L365,Paramètres!$F$5:$G$8,2,FALSE()),""))</f>
        <v/>
      </c>
      <c r="P365" s="9" t="str">
        <f aca="false">IF(OR(B365="",O365=""),"",IF(N365="",B365,N365)+O365)</f>
        <v/>
      </c>
      <c r="Q365" s="10"/>
      <c r="R365" s="8"/>
      <c r="S365" s="7" t="str">
        <f aca="false">IF(OR(B365="",R365=""),"",R365-B365)</f>
        <v/>
      </c>
      <c r="T365" s="7" t="str">
        <f aca="true">IF(OR(B365="",P365=""),"",IF(R365&lt;&gt;"",IF(R365&gt;P365,"Traité hors délai","Non"),IF(Q365="Classé sans suite","Non",IF(TODAY()&gt;P365,"OUI","Non"))))</f>
        <v/>
      </c>
      <c r="U365" s="11"/>
    </row>
    <row r="366" customFormat="false" ht="15" hidden="false" customHeight="false" outlineLevel="0" collapsed="false">
      <c r="A366" s="7" t="str">
        <f aca="false">IF(B366="","",YEAR(B366)&amp;"/"&amp;TEXT(ROW()-4,"0000"))</f>
        <v/>
      </c>
      <c r="B366" s="8"/>
      <c r="C366" s="7" t="str">
        <f aca="false">IF(B366="","",INT((B366-DATE(YEAR(B366-WEEKDAY(B366-1)+4),1,3)+WEEKDAY(DATE(YEAR(B366-WEEKDAY(B366-1)+4),1,3))+5)/7))</f>
        <v/>
      </c>
      <c r="D366" s="9" t="str">
        <f aca="false">IF(B366="","",B366-WEEKDAY(B366,2)+1)</f>
        <v/>
      </c>
      <c r="E366" s="10"/>
      <c r="F366" s="8"/>
      <c r="G366" s="11"/>
      <c r="H366" s="10"/>
      <c r="I366" s="11"/>
      <c r="J366" s="10"/>
      <c r="K366" s="10"/>
      <c r="L366" s="10"/>
      <c r="M366" s="11"/>
      <c r="N366" s="8"/>
      <c r="O366" s="7" t="str">
        <f aca="false">IF(L366="","",IFERROR(VLOOKUP(L366,Paramètres!$F$5:$G$8,2,FALSE()),""))</f>
        <v/>
      </c>
      <c r="P366" s="9" t="str">
        <f aca="false">IF(OR(B366="",O366=""),"",IF(N366="",B366,N366)+O366)</f>
        <v/>
      </c>
      <c r="Q366" s="10"/>
      <c r="R366" s="8"/>
      <c r="S366" s="7" t="str">
        <f aca="false">IF(OR(B366="",R366=""),"",R366-B366)</f>
        <v/>
      </c>
      <c r="T366" s="7" t="str">
        <f aca="true">IF(OR(B366="",P366=""),"",IF(R366&lt;&gt;"",IF(R366&gt;P366,"Traité hors délai","Non"),IF(Q366="Classé sans suite","Non",IF(TODAY()&gt;P366,"OUI","Non"))))</f>
        <v/>
      </c>
      <c r="U366" s="11"/>
    </row>
    <row r="367" customFormat="false" ht="15" hidden="false" customHeight="false" outlineLevel="0" collapsed="false">
      <c r="A367" s="7" t="str">
        <f aca="false">IF(B367="","",YEAR(B367)&amp;"/"&amp;TEXT(ROW()-4,"0000"))</f>
        <v/>
      </c>
      <c r="B367" s="8"/>
      <c r="C367" s="7" t="str">
        <f aca="false">IF(B367="","",INT((B367-DATE(YEAR(B367-WEEKDAY(B367-1)+4),1,3)+WEEKDAY(DATE(YEAR(B367-WEEKDAY(B367-1)+4),1,3))+5)/7))</f>
        <v/>
      </c>
      <c r="D367" s="9" t="str">
        <f aca="false">IF(B367="","",B367-WEEKDAY(B367,2)+1)</f>
        <v/>
      </c>
      <c r="E367" s="10"/>
      <c r="F367" s="8"/>
      <c r="G367" s="11"/>
      <c r="H367" s="10"/>
      <c r="I367" s="11"/>
      <c r="J367" s="10"/>
      <c r="K367" s="10"/>
      <c r="L367" s="10"/>
      <c r="M367" s="11"/>
      <c r="N367" s="8"/>
      <c r="O367" s="7" t="str">
        <f aca="false">IF(L367="","",IFERROR(VLOOKUP(L367,Paramètres!$F$5:$G$8,2,FALSE()),""))</f>
        <v/>
      </c>
      <c r="P367" s="9" t="str">
        <f aca="false">IF(OR(B367="",O367=""),"",IF(N367="",B367,N367)+O367)</f>
        <v/>
      </c>
      <c r="Q367" s="10"/>
      <c r="R367" s="8"/>
      <c r="S367" s="7" t="str">
        <f aca="false">IF(OR(B367="",R367=""),"",R367-B367)</f>
        <v/>
      </c>
      <c r="T367" s="7" t="str">
        <f aca="true">IF(OR(B367="",P367=""),"",IF(R367&lt;&gt;"",IF(R367&gt;P367,"Traité hors délai","Non"),IF(Q367="Classé sans suite","Non",IF(TODAY()&gt;P367,"OUI","Non"))))</f>
        <v/>
      </c>
      <c r="U367" s="11"/>
    </row>
    <row r="368" customFormat="false" ht="15" hidden="false" customHeight="false" outlineLevel="0" collapsed="false">
      <c r="A368" s="7" t="str">
        <f aca="false">IF(B368="","",YEAR(B368)&amp;"/"&amp;TEXT(ROW()-4,"0000"))</f>
        <v/>
      </c>
      <c r="B368" s="8"/>
      <c r="C368" s="7" t="str">
        <f aca="false">IF(B368="","",INT((B368-DATE(YEAR(B368-WEEKDAY(B368-1)+4),1,3)+WEEKDAY(DATE(YEAR(B368-WEEKDAY(B368-1)+4),1,3))+5)/7))</f>
        <v/>
      </c>
      <c r="D368" s="9" t="str">
        <f aca="false">IF(B368="","",B368-WEEKDAY(B368,2)+1)</f>
        <v/>
      </c>
      <c r="E368" s="10"/>
      <c r="F368" s="8"/>
      <c r="G368" s="11"/>
      <c r="H368" s="10"/>
      <c r="I368" s="11"/>
      <c r="J368" s="10"/>
      <c r="K368" s="10"/>
      <c r="L368" s="10"/>
      <c r="M368" s="11"/>
      <c r="N368" s="8"/>
      <c r="O368" s="7" t="str">
        <f aca="false">IF(L368="","",IFERROR(VLOOKUP(L368,Paramètres!$F$5:$G$8,2,FALSE()),""))</f>
        <v/>
      </c>
      <c r="P368" s="9" t="str">
        <f aca="false">IF(OR(B368="",O368=""),"",IF(N368="",B368,N368)+O368)</f>
        <v/>
      </c>
      <c r="Q368" s="10"/>
      <c r="R368" s="8"/>
      <c r="S368" s="7" t="str">
        <f aca="false">IF(OR(B368="",R368=""),"",R368-B368)</f>
        <v/>
      </c>
      <c r="T368" s="7" t="str">
        <f aca="true">IF(OR(B368="",P368=""),"",IF(R368&lt;&gt;"",IF(R368&gt;P368,"Traité hors délai","Non"),IF(Q368="Classé sans suite","Non",IF(TODAY()&gt;P368,"OUI","Non"))))</f>
        <v/>
      </c>
      <c r="U368" s="11"/>
    </row>
    <row r="369" customFormat="false" ht="15" hidden="false" customHeight="false" outlineLevel="0" collapsed="false">
      <c r="A369" s="7" t="str">
        <f aca="false">IF(B369="","",YEAR(B369)&amp;"/"&amp;TEXT(ROW()-4,"0000"))</f>
        <v/>
      </c>
      <c r="B369" s="8"/>
      <c r="C369" s="7" t="str">
        <f aca="false">IF(B369="","",INT((B369-DATE(YEAR(B369-WEEKDAY(B369-1)+4),1,3)+WEEKDAY(DATE(YEAR(B369-WEEKDAY(B369-1)+4),1,3))+5)/7))</f>
        <v/>
      </c>
      <c r="D369" s="9" t="str">
        <f aca="false">IF(B369="","",B369-WEEKDAY(B369,2)+1)</f>
        <v/>
      </c>
      <c r="E369" s="10"/>
      <c r="F369" s="8"/>
      <c r="G369" s="11"/>
      <c r="H369" s="10"/>
      <c r="I369" s="11"/>
      <c r="J369" s="10"/>
      <c r="K369" s="10"/>
      <c r="L369" s="10"/>
      <c r="M369" s="11"/>
      <c r="N369" s="8"/>
      <c r="O369" s="7" t="str">
        <f aca="false">IF(L369="","",IFERROR(VLOOKUP(L369,Paramètres!$F$5:$G$8,2,FALSE()),""))</f>
        <v/>
      </c>
      <c r="P369" s="9" t="str">
        <f aca="false">IF(OR(B369="",O369=""),"",IF(N369="",B369,N369)+O369)</f>
        <v/>
      </c>
      <c r="Q369" s="10"/>
      <c r="R369" s="8"/>
      <c r="S369" s="7" t="str">
        <f aca="false">IF(OR(B369="",R369=""),"",R369-B369)</f>
        <v/>
      </c>
      <c r="T369" s="7" t="str">
        <f aca="true">IF(OR(B369="",P369=""),"",IF(R369&lt;&gt;"",IF(R369&gt;P369,"Traité hors délai","Non"),IF(Q369="Classé sans suite","Non",IF(TODAY()&gt;P369,"OUI","Non"))))</f>
        <v/>
      </c>
      <c r="U369" s="11"/>
    </row>
    <row r="370" customFormat="false" ht="15" hidden="false" customHeight="false" outlineLevel="0" collapsed="false">
      <c r="A370" s="7" t="str">
        <f aca="false">IF(B370="","",YEAR(B370)&amp;"/"&amp;TEXT(ROW()-4,"0000"))</f>
        <v/>
      </c>
      <c r="B370" s="8"/>
      <c r="C370" s="7" t="str">
        <f aca="false">IF(B370="","",INT((B370-DATE(YEAR(B370-WEEKDAY(B370-1)+4),1,3)+WEEKDAY(DATE(YEAR(B370-WEEKDAY(B370-1)+4),1,3))+5)/7))</f>
        <v/>
      </c>
      <c r="D370" s="9" t="str">
        <f aca="false">IF(B370="","",B370-WEEKDAY(B370,2)+1)</f>
        <v/>
      </c>
      <c r="E370" s="10"/>
      <c r="F370" s="8"/>
      <c r="G370" s="11"/>
      <c r="H370" s="10"/>
      <c r="I370" s="11"/>
      <c r="J370" s="10"/>
      <c r="K370" s="10"/>
      <c r="L370" s="10"/>
      <c r="M370" s="11"/>
      <c r="N370" s="8"/>
      <c r="O370" s="7" t="str">
        <f aca="false">IF(L370="","",IFERROR(VLOOKUP(L370,Paramètres!$F$5:$G$8,2,FALSE()),""))</f>
        <v/>
      </c>
      <c r="P370" s="9" t="str">
        <f aca="false">IF(OR(B370="",O370=""),"",IF(N370="",B370,N370)+O370)</f>
        <v/>
      </c>
      <c r="Q370" s="10"/>
      <c r="R370" s="8"/>
      <c r="S370" s="7" t="str">
        <f aca="false">IF(OR(B370="",R370=""),"",R370-B370)</f>
        <v/>
      </c>
      <c r="T370" s="7" t="str">
        <f aca="true">IF(OR(B370="",P370=""),"",IF(R370&lt;&gt;"",IF(R370&gt;P370,"Traité hors délai","Non"),IF(Q370="Classé sans suite","Non",IF(TODAY()&gt;P370,"OUI","Non"))))</f>
        <v/>
      </c>
      <c r="U370" s="11"/>
    </row>
    <row r="371" customFormat="false" ht="15" hidden="false" customHeight="false" outlineLevel="0" collapsed="false">
      <c r="A371" s="7" t="str">
        <f aca="false">IF(B371="","",YEAR(B371)&amp;"/"&amp;TEXT(ROW()-4,"0000"))</f>
        <v/>
      </c>
      <c r="B371" s="8"/>
      <c r="C371" s="7" t="str">
        <f aca="false">IF(B371="","",INT((B371-DATE(YEAR(B371-WEEKDAY(B371-1)+4),1,3)+WEEKDAY(DATE(YEAR(B371-WEEKDAY(B371-1)+4),1,3))+5)/7))</f>
        <v/>
      </c>
      <c r="D371" s="9" t="str">
        <f aca="false">IF(B371="","",B371-WEEKDAY(B371,2)+1)</f>
        <v/>
      </c>
      <c r="E371" s="10"/>
      <c r="F371" s="8"/>
      <c r="G371" s="11"/>
      <c r="H371" s="10"/>
      <c r="I371" s="11"/>
      <c r="J371" s="10"/>
      <c r="K371" s="10"/>
      <c r="L371" s="10"/>
      <c r="M371" s="11"/>
      <c r="N371" s="8"/>
      <c r="O371" s="7" t="str">
        <f aca="false">IF(L371="","",IFERROR(VLOOKUP(L371,Paramètres!$F$5:$G$8,2,FALSE()),""))</f>
        <v/>
      </c>
      <c r="P371" s="9" t="str">
        <f aca="false">IF(OR(B371="",O371=""),"",IF(N371="",B371,N371)+O371)</f>
        <v/>
      </c>
      <c r="Q371" s="10"/>
      <c r="R371" s="8"/>
      <c r="S371" s="7" t="str">
        <f aca="false">IF(OR(B371="",R371=""),"",R371-B371)</f>
        <v/>
      </c>
      <c r="T371" s="7" t="str">
        <f aca="true">IF(OR(B371="",P371=""),"",IF(R371&lt;&gt;"",IF(R371&gt;P371,"Traité hors délai","Non"),IF(Q371="Classé sans suite","Non",IF(TODAY()&gt;P371,"OUI","Non"))))</f>
        <v/>
      </c>
      <c r="U371" s="11"/>
    </row>
    <row r="372" customFormat="false" ht="15" hidden="false" customHeight="false" outlineLevel="0" collapsed="false">
      <c r="A372" s="7" t="str">
        <f aca="false">IF(B372="","",YEAR(B372)&amp;"/"&amp;TEXT(ROW()-4,"0000"))</f>
        <v/>
      </c>
      <c r="B372" s="8"/>
      <c r="C372" s="7" t="str">
        <f aca="false">IF(B372="","",INT((B372-DATE(YEAR(B372-WEEKDAY(B372-1)+4),1,3)+WEEKDAY(DATE(YEAR(B372-WEEKDAY(B372-1)+4),1,3))+5)/7))</f>
        <v/>
      </c>
      <c r="D372" s="9" t="str">
        <f aca="false">IF(B372="","",B372-WEEKDAY(B372,2)+1)</f>
        <v/>
      </c>
      <c r="E372" s="10"/>
      <c r="F372" s="8"/>
      <c r="G372" s="11"/>
      <c r="H372" s="10"/>
      <c r="I372" s="11"/>
      <c r="J372" s="10"/>
      <c r="K372" s="10"/>
      <c r="L372" s="10"/>
      <c r="M372" s="11"/>
      <c r="N372" s="8"/>
      <c r="O372" s="7" t="str">
        <f aca="false">IF(L372="","",IFERROR(VLOOKUP(L372,Paramètres!$F$5:$G$8,2,FALSE()),""))</f>
        <v/>
      </c>
      <c r="P372" s="9" t="str">
        <f aca="false">IF(OR(B372="",O372=""),"",IF(N372="",B372,N372)+O372)</f>
        <v/>
      </c>
      <c r="Q372" s="10"/>
      <c r="R372" s="8"/>
      <c r="S372" s="7" t="str">
        <f aca="false">IF(OR(B372="",R372=""),"",R372-B372)</f>
        <v/>
      </c>
      <c r="T372" s="7" t="str">
        <f aca="true">IF(OR(B372="",P372=""),"",IF(R372&lt;&gt;"",IF(R372&gt;P372,"Traité hors délai","Non"),IF(Q372="Classé sans suite","Non",IF(TODAY()&gt;P372,"OUI","Non"))))</f>
        <v/>
      </c>
      <c r="U372" s="11"/>
    </row>
    <row r="373" customFormat="false" ht="15" hidden="false" customHeight="false" outlineLevel="0" collapsed="false">
      <c r="A373" s="7" t="str">
        <f aca="false">IF(B373="","",YEAR(B373)&amp;"/"&amp;TEXT(ROW()-4,"0000"))</f>
        <v/>
      </c>
      <c r="B373" s="8"/>
      <c r="C373" s="7" t="str">
        <f aca="false">IF(B373="","",INT((B373-DATE(YEAR(B373-WEEKDAY(B373-1)+4),1,3)+WEEKDAY(DATE(YEAR(B373-WEEKDAY(B373-1)+4),1,3))+5)/7))</f>
        <v/>
      </c>
      <c r="D373" s="9" t="str">
        <f aca="false">IF(B373="","",B373-WEEKDAY(B373,2)+1)</f>
        <v/>
      </c>
      <c r="E373" s="10"/>
      <c r="F373" s="8"/>
      <c r="G373" s="11"/>
      <c r="H373" s="10"/>
      <c r="I373" s="11"/>
      <c r="J373" s="10"/>
      <c r="K373" s="10"/>
      <c r="L373" s="10"/>
      <c r="M373" s="11"/>
      <c r="N373" s="8"/>
      <c r="O373" s="7" t="str">
        <f aca="false">IF(L373="","",IFERROR(VLOOKUP(L373,Paramètres!$F$5:$G$8,2,FALSE()),""))</f>
        <v/>
      </c>
      <c r="P373" s="9" t="str">
        <f aca="false">IF(OR(B373="",O373=""),"",IF(N373="",B373,N373)+O373)</f>
        <v/>
      </c>
      <c r="Q373" s="10"/>
      <c r="R373" s="8"/>
      <c r="S373" s="7" t="str">
        <f aca="false">IF(OR(B373="",R373=""),"",R373-B373)</f>
        <v/>
      </c>
      <c r="T373" s="7" t="str">
        <f aca="true">IF(OR(B373="",P373=""),"",IF(R373&lt;&gt;"",IF(R373&gt;P373,"Traité hors délai","Non"),IF(Q373="Classé sans suite","Non",IF(TODAY()&gt;P373,"OUI","Non"))))</f>
        <v/>
      </c>
      <c r="U373" s="11"/>
    </row>
    <row r="374" customFormat="false" ht="15" hidden="false" customHeight="false" outlineLevel="0" collapsed="false">
      <c r="A374" s="7" t="str">
        <f aca="false">IF(B374="","",YEAR(B374)&amp;"/"&amp;TEXT(ROW()-4,"0000"))</f>
        <v/>
      </c>
      <c r="B374" s="8"/>
      <c r="C374" s="7" t="str">
        <f aca="false">IF(B374="","",INT((B374-DATE(YEAR(B374-WEEKDAY(B374-1)+4),1,3)+WEEKDAY(DATE(YEAR(B374-WEEKDAY(B374-1)+4),1,3))+5)/7))</f>
        <v/>
      </c>
      <c r="D374" s="9" t="str">
        <f aca="false">IF(B374="","",B374-WEEKDAY(B374,2)+1)</f>
        <v/>
      </c>
      <c r="E374" s="10"/>
      <c r="F374" s="8"/>
      <c r="G374" s="11"/>
      <c r="H374" s="10"/>
      <c r="I374" s="11"/>
      <c r="J374" s="10"/>
      <c r="K374" s="10"/>
      <c r="L374" s="10"/>
      <c r="M374" s="11"/>
      <c r="N374" s="8"/>
      <c r="O374" s="7" t="str">
        <f aca="false">IF(L374="","",IFERROR(VLOOKUP(L374,Paramètres!$F$5:$G$8,2,FALSE()),""))</f>
        <v/>
      </c>
      <c r="P374" s="9" t="str">
        <f aca="false">IF(OR(B374="",O374=""),"",IF(N374="",B374,N374)+O374)</f>
        <v/>
      </c>
      <c r="Q374" s="10"/>
      <c r="R374" s="8"/>
      <c r="S374" s="7" t="str">
        <f aca="false">IF(OR(B374="",R374=""),"",R374-B374)</f>
        <v/>
      </c>
      <c r="T374" s="7" t="str">
        <f aca="true">IF(OR(B374="",P374=""),"",IF(R374&lt;&gt;"",IF(R374&gt;P374,"Traité hors délai","Non"),IF(Q374="Classé sans suite","Non",IF(TODAY()&gt;P374,"OUI","Non"))))</f>
        <v/>
      </c>
      <c r="U374" s="11"/>
    </row>
    <row r="375" customFormat="false" ht="15" hidden="false" customHeight="false" outlineLevel="0" collapsed="false">
      <c r="A375" s="7" t="str">
        <f aca="false">IF(B375="","",YEAR(B375)&amp;"/"&amp;TEXT(ROW()-4,"0000"))</f>
        <v/>
      </c>
      <c r="B375" s="8"/>
      <c r="C375" s="7" t="str">
        <f aca="false">IF(B375="","",INT((B375-DATE(YEAR(B375-WEEKDAY(B375-1)+4),1,3)+WEEKDAY(DATE(YEAR(B375-WEEKDAY(B375-1)+4),1,3))+5)/7))</f>
        <v/>
      </c>
      <c r="D375" s="9" t="str">
        <f aca="false">IF(B375="","",B375-WEEKDAY(B375,2)+1)</f>
        <v/>
      </c>
      <c r="E375" s="10"/>
      <c r="F375" s="8"/>
      <c r="G375" s="11"/>
      <c r="H375" s="10"/>
      <c r="I375" s="11"/>
      <c r="J375" s="10"/>
      <c r="K375" s="10"/>
      <c r="L375" s="10"/>
      <c r="M375" s="11"/>
      <c r="N375" s="8"/>
      <c r="O375" s="7" t="str">
        <f aca="false">IF(L375="","",IFERROR(VLOOKUP(L375,Paramètres!$F$5:$G$8,2,FALSE()),""))</f>
        <v/>
      </c>
      <c r="P375" s="9" t="str">
        <f aca="false">IF(OR(B375="",O375=""),"",IF(N375="",B375,N375)+O375)</f>
        <v/>
      </c>
      <c r="Q375" s="10"/>
      <c r="R375" s="8"/>
      <c r="S375" s="7" t="str">
        <f aca="false">IF(OR(B375="",R375=""),"",R375-B375)</f>
        <v/>
      </c>
      <c r="T375" s="7" t="str">
        <f aca="true">IF(OR(B375="",P375=""),"",IF(R375&lt;&gt;"",IF(R375&gt;P375,"Traité hors délai","Non"),IF(Q375="Classé sans suite","Non",IF(TODAY()&gt;P375,"OUI","Non"))))</f>
        <v/>
      </c>
      <c r="U375" s="11"/>
    </row>
    <row r="376" customFormat="false" ht="15" hidden="false" customHeight="false" outlineLevel="0" collapsed="false">
      <c r="A376" s="7" t="str">
        <f aca="false">IF(B376="","",YEAR(B376)&amp;"/"&amp;TEXT(ROW()-4,"0000"))</f>
        <v/>
      </c>
      <c r="B376" s="8"/>
      <c r="C376" s="7" t="str">
        <f aca="false">IF(B376="","",INT((B376-DATE(YEAR(B376-WEEKDAY(B376-1)+4),1,3)+WEEKDAY(DATE(YEAR(B376-WEEKDAY(B376-1)+4),1,3))+5)/7))</f>
        <v/>
      </c>
      <c r="D376" s="9" t="str">
        <f aca="false">IF(B376="","",B376-WEEKDAY(B376,2)+1)</f>
        <v/>
      </c>
      <c r="E376" s="10"/>
      <c r="F376" s="8"/>
      <c r="G376" s="11"/>
      <c r="H376" s="10"/>
      <c r="I376" s="11"/>
      <c r="J376" s="10"/>
      <c r="K376" s="10"/>
      <c r="L376" s="10"/>
      <c r="M376" s="11"/>
      <c r="N376" s="8"/>
      <c r="O376" s="7" t="str">
        <f aca="false">IF(L376="","",IFERROR(VLOOKUP(L376,Paramètres!$F$5:$G$8,2,FALSE()),""))</f>
        <v/>
      </c>
      <c r="P376" s="9" t="str">
        <f aca="false">IF(OR(B376="",O376=""),"",IF(N376="",B376,N376)+O376)</f>
        <v/>
      </c>
      <c r="Q376" s="10"/>
      <c r="R376" s="8"/>
      <c r="S376" s="7" t="str">
        <f aca="false">IF(OR(B376="",R376=""),"",R376-B376)</f>
        <v/>
      </c>
      <c r="T376" s="7" t="str">
        <f aca="true">IF(OR(B376="",P376=""),"",IF(R376&lt;&gt;"",IF(R376&gt;P376,"Traité hors délai","Non"),IF(Q376="Classé sans suite","Non",IF(TODAY()&gt;P376,"OUI","Non"))))</f>
        <v/>
      </c>
      <c r="U376" s="11"/>
    </row>
    <row r="377" customFormat="false" ht="15" hidden="false" customHeight="false" outlineLevel="0" collapsed="false">
      <c r="A377" s="7" t="str">
        <f aca="false">IF(B377="","",YEAR(B377)&amp;"/"&amp;TEXT(ROW()-4,"0000"))</f>
        <v/>
      </c>
      <c r="B377" s="8"/>
      <c r="C377" s="7" t="str">
        <f aca="false">IF(B377="","",INT((B377-DATE(YEAR(B377-WEEKDAY(B377-1)+4),1,3)+WEEKDAY(DATE(YEAR(B377-WEEKDAY(B377-1)+4),1,3))+5)/7))</f>
        <v/>
      </c>
      <c r="D377" s="9" t="str">
        <f aca="false">IF(B377="","",B377-WEEKDAY(B377,2)+1)</f>
        <v/>
      </c>
      <c r="E377" s="10"/>
      <c r="F377" s="8"/>
      <c r="G377" s="11"/>
      <c r="H377" s="10"/>
      <c r="I377" s="11"/>
      <c r="J377" s="10"/>
      <c r="K377" s="10"/>
      <c r="L377" s="10"/>
      <c r="M377" s="11"/>
      <c r="N377" s="8"/>
      <c r="O377" s="7" t="str">
        <f aca="false">IF(L377="","",IFERROR(VLOOKUP(L377,Paramètres!$F$5:$G$8,2,FALSE()),""))</f>
        <v/>
      </c>
      <c r="P377" s="9" t="str">
        <f aca="false">IF(OR(B377="",O377=""),"",IF(N377="",B377,N377)+O377)</f>
        <v/>
      </c>
      <c r="Q377" s="10"/>
      <c r="R377" s="8"/>
      <c r="S377" s="7" t="str">
        <f aca="false">IF(OR(B377="",R377=""),"",R377-B377)</f>
        <v/>
      </c>
      <c r="T377" s="7" t="str">
        <f aca="true">IF(OR(B377="",P377=""),"",IF(R377&lt;&gt;"",IF(R377&gt;P377,"Traité hors délai","Non"),IF(Q377="Classé sans suite","Non",IF(TODAY()&gt;P377,"OUI","Non"))))</f>
        <v/>
      </c>
      <c r="U377" s="11"/>
    </row>
    <row r="378" customFormat="false" ht="15" hidden="false" customHeight="false" outlineLevel="0" collapsed="false">
      <c r="A378" s="7" t="str">
        <f aca="false">IF(B378="","",YEAR(B378)&amp;"/"&amp;TEXT(ROW()-4,"0000"))</f>
        <v/>
      </c>
      <c r="B378" s="8"/>
      <c r="C378" s="7" t="str">
        <f aca="false">IF(B378="","",INT((B378-DATE(YEAR(B378-WEEKDAY(B378-1)+4),1,3)+WEEKDAY(DATE(YEAR(B378-WEEKDAY(B378-1)+4),1,3))+5)/7))</f>
        <v/>
      </c>
      <c r="D378" s="9" t="str">
        <f aca="false">IF(B378="","",B378-WEEKDAY(B378,2)+1)</f>
        <v/>
      </c>
      <c r="E378" s="10"/>
      <c r="F378" s="8"/>
      <c r="G378" s="11"/>
      <c r="H378" s="10"/>
      <c r="I378" s="11"/>
      <c r="J378" s="10"/>
      <c r="K378" s="10"/>
      <c r="L378" s="10"/>
      <c r="M378" s="11"/>
      <c r="N378" s="8"/>
      <c r="O378" s="7" t="str">
        <f aca="false">IF(L378="","",IFERROR(VLOOKUP(L378,Paramètres!$F$5:$G$8,2,FALSE()),""))</f>
        <v/>
      </c>
      <c r="P378" s="9" t="str">
        <f aca="false">IF(OR(B378="",O378=""),"",IF(N378="",B378,N378)+O378)</f>
        <v/>
      </c>
      <c r="Q378" s="10"/>
      <c r="R378" s="8"/>
      <c r="S378" s="7" t="str">
        <f aca="false">IF(OR(B378="",R378=""),"",R378-B378)</f>
        <v/>
      </c>
      <c r="T378" s="7" t="str">
        <f aca="true">IF(OR(B378="",P378=""),"",IF(R378&lt;&gt;"",IF(R378&gt;P378,"Traité hors délai","Non"),IF(Q378="Classé sans suite","Non",IF(TODAY()&gt;P378,"OUI","Non"))))</f>
        <v/>
      </c>
      <c r="U378" s="11"/>
    </row>
    <row r="379" customFormat="false" ht="15" hidden="false" customHeight="false" outlineLevel="0" collapsed="false">
      <c r="A379" s="7" t="str">
        <f aca="false">IF(B379="","",YEAR(B379)&amp;"/"&amp;TEXT(ROW()-4,"0000"))</f>
        <v/>
      </c>
      <c r="B379" s="8"/>
      <c r="C379" s="7" t="str">
        <f aca="false">IF(B379="","",INT((B379-DATE(YEAR(B379-WEEKDAY(B379-1)+4),1,3)+WEEKDAY(DATE(YEAR(B379-WEEKDAY(B379-1)+4),1,3))+5)/7))</f>
        <v/>
      </c>
      <c r="D379" s="9" t="str">
        <f aca="false">IF(B379="","",B379-WEEKDAY(B379,2)+1)</f>
        <v/>
      </c>
      <c r="E379" s="10"/>
      <c r="F379" s="8"/>
      <c r="G379" s="11"/>
      <c r="H379" s="10"/>
      <c r="I379" s="11"/>
      <c r="J379" s="10"/>
      <c r="K379" s="10"/>
      <c r="L379" s="10"/>
      <c r="M379" s="11"/>
      <c r="N379" s="8"/>
      <c r="O379" s="7" t="str">
        <f aca="false">IF(L379="","",IFERROR(VLOOKUP(L379,Paramètres!$F$5:$G$8,2,FALSE()),""))</f>
        <v/>
      </c>
      <c r="P379" s="9" t="str">
        <f aca="false">IF(OR(B379="",O379=""),"",IF(N379="",B379,N379)+O379)</f>
        <v/>
      </c>
      <c r="Q379" s="10"/>
      <c r="R379" s="8"/>
      <c r="S379" s="7" t="str">
        <f aca="false">IF(OR(B379="",R379=""),"",R379-B379)</f>
        <v/>
      </c>
      <c r="T379" s="7" t="str">
        <f aca="true">IF(OR(B379="",P379=""),"",IF(R379&lt;&gt;"",IF(R379&gt;P379,"Traité hors délai","Non"),IF(Q379="Classé sans suite","Non",IF(TODAY()&gt;P379,"OUI","Non"))))</f>
        <v/>
      </c>
      <c r="U379" s="11"/>
    </row>
    <row r="380" customFormat="false" ht="15" hidden="false" customHeight="false" outlineLevel="0" collapsed="false">
      <c r="A380" s="7" t="str">
        <f aca="false">IF(B380="","",YEAR(B380)&amp;"/"&amp;TEXT(ROW()-4,"0000"))</f>
        <v/>
      </c>
      <c r="B380" s="8"/>
      <c r="C380" s="7" t="str">
        <f aca="false">IF(B380="","",INT((B380-DATE(YEAR(B380-WEEKDAY(B380-1)+4),1,3)+WEEKDAY(DATE(YEAR(B380-WEEKDAY(B380-1)+4),1,3))+5)/7))</f>
        <v/>
      </c>
      <c r="D380" s="9" t="str">
        <f aca="false">IF(B380="","",B380-WEEKDAY(B380,2)+1)</f>
        <v/>
      </c>
      <c r="E380" s="10"/>
      <c r="F380" s="8"/>
      <c r="G380" s="11"/>
      <c r="H380" s="10"/>
      <c r="I380" s="11"/>
      <c r="J380" s="10"/>
      <c r="K380" s="10"/>
      <c r="L380" s="10"/>
      <c r="M380" s="11"/>
      <c r="N380" s="8"/>
      <c r="O380" s="7" t="str">
        <f aca="false">IF(L380="","",IFERROR(VLOOKUP(L380,Paramètres!$F$5:$G$8,2,FALSE()),""))</f>
        <v/>
      </c>
      <c r="P380" s="9" t="str">
        <f aca="false">IF(OR(B380="",O380=""),"",IF(N380="",B380,N380)+O380)</f>
        <v/>
      </c>
      <c r="Q380" s="10"/>
      <c r="R380" s="8"/>
      <c r="S380" s="7" t="str">
        <f aca="false">IF(OR(B380="",R380=""),"",R380-B380)</f>
        <v/>
      </c>
      <c r="T380" s="7" t="str">
        <f aca="true">IF(OR(B380="",P380=""),"",IF(R380&lt;&gt;"",IF(R380&gt;P380,"Traité hors délai","Non"),IF(Q380="Classé sans suite","Non",IF(TODAY()&gt;P380,"OUI","Non"))))</f>
        <v/>
      </c>
      <c r="U380" s="11"/>
    </row>
    <row r="381" customFormat="false" ht="15" hidden="false" customHeight="false" outlineLevel="0" collapsed="false">
      <c r="A381" s="7" t="str">
        <f aca="false">IF(B381="","",YEAR(B381)&amp;"/"&amp;TEXT(ROW()-4,"0000"))</f>
        <v/>
      </c>
      <c r="B381" s="8"/>
      <c r="C381" s="7" t="str">
        <f aca="false">IF(B381="","",INT((B381-DATE(YEAR(B381-WEEKDAY(B381-1)+4),1,3)+WEEKDAY(DATE(YEAR(B381-WEEKDAY(B381-1)+4),1,3))+5)/7))</f>
        <v/>
      </c>
      <c r="D381" s="9" t="str">
        <f aca="false">IF(B381="","",B381-WEEKDAY(B381,2)+1)</f>
        <v/>
      </c>
      <c r="E381" s="10"/>
      <c r="F381" s="8"/>
      <c r="G381" s="11"/>
      <c r="H381" s="10"/>
      <c r="I381" s="11"/>
      <c r="J381" s="10"/>
      <c r="K381" s="10"/>
      <c r="L381" s="10"/>
      <c r="M381" s="11"/>
      <c r="N381" s="8"/>
      <c r="O381" s="7" t="str">
        <f aca="false">IF(L381="","",IFERROR(VLOOKUP(L381,Paramètres!$F$5:$G$8,2,FALSE()),""))</f>
        <v/>
      </c>
      <c r="P381" s="9" t="str">
        <f aca="false">IF(OR(B381="",O381=""),"",IF(N381="",B381,N381)+O381)</f>
        <v/>
      </c>
      <c r="Q381" s="10"/>
      <c r="R381" s="8"/>
      <c r="S381" s="7" t="str">
        <f aca="false">IF(OR(B381="",R381=""),"",R381-B381)</f>
        <v/>
      </c>
      <c r="T381" s="7" t="str">
        <f aca="true">IF(OR(B381="",P381=""),"",IF(R381&lt;&gt;"",IF(R381&gt;P381,"Traité hors délai","Non"),IF(Q381="Classé sans suite","Non",IF(TODAY()&gt;P381,"OUI","Non"))))</f>
        <v/>
      </c>
      <c r="U381" s="11"/>
    </row>
    <row r="382" customFormat="false" ht="15" hidden="false" customHeight="false" outlineLevel="0" collapsed="false">
      <c r="A382" s="7" t="str">
        <f aca="false">IF(B382="","",YEAR(B382)&amp;"/"&amp;TEXT(ROW()-4,"0000"))</f>
        <v/>
      </c>
      <c r="B382" s="8"/>
      <c r="C382" s="7" t="str">
        <f aca="false">IF(B382="","",INT((B382-DATE(YEAR(B382-WEEKDAY(B382-1)+4),1,3)+WEEKDAY(DATE(YEAR(B382-WEEKDAY(B382-1)+4),1,3))+5)/7))</f>
        <v/>
      </c>
      <c r="D382" s="9" t="str">
        <f aca="false">IF(B382="","",B382-WEEKDAY(B382,2)+1)</f>
        <v/>
      </c>
      <c r="E382" s="10"/>
      <c r="F382" s="8"/>
      <c r="G382" s="11"/>
      <c r="H382" s="10"/>
      <c r="I382" s="11"/>
      <c r="J382" s="10"/>
      <c r="K382" s="10"/>
      <c r="L382" s="10"/>
      <c r="M382" s="11"/>
      <c r="N382" s="8"/>
      <c r="O382" s="7" t="str">
        <f aca="false">IF(L382="","",IFERROR(VLOOKUP(L382,Paramètres!$F$5:$G$8,2,FALSE()),""))</f>
        <v/>
      </c>
      <c r="P382" s="9" t="str">
        <f aca="false">IF(OR(B382="",O382=""),"",IF(N382="",B382,N382)+O382)</f>
        <v/>
      </c>
      <c r="Q382" s="10"/>
      <c r="R382" s="8"/>
      <c r="S382" s="7" t="str">
        <f aca="false">IF(OR(B382="",R382=""),"",R382-B382)</f>
        <v/>
      </c>
      <c r="T382" s="7" t="str">
        <f aca="true">IF(OR(B382="",P382=""),"",IF(R382&lt;&gt;"",IF(R382&gt;P382,"Traité hors délai","Non"),IF(Q382="Classé sans suite","Non",IF(TODAY()&gt;P382,"OUI","Non"))))</f>
        <v/>
      </c>
      <c r="U382" s="11"/>
    </row>
    <row r="383" customFormat="false" ht="15" hidden="false" customHeight="false" outlineLevel="0" collapsed="false">
      <c r="A383" s="7" t="str">
        <f aca="false">IF(B383="","",YEAR(B383)&amp;"/"&amp;TEXT(ROW()-4,"0000"))</f>
        <v/>
      </c>
      <c r="B383" s="8"/>
      <c r="C383" s="7" t="str">
        <f aca="false">IF(B383="","",INT((B383-DATE(YEAR(B383-WEEKDAY(B383-1)+4),1,3)+WEEKDAY(DATE(YEAR(B383-WEEKDAY(B383-1)+4),1,3))+5)/7))</f>
        <v/>
      </c>
      <c r="D383" s="9" t="str">
        <f aca="false">IF(B383="","",B383-WEEKDAY(B383,2)+1)</f>
        <v/>
      </c>
      <c r="E383" s="10"/>
      <c r="F383" s="8"/>
      <c r="G383" s="11"/>
      <c r="H383" s="10"/>
      <c r="I383" s="11"/>
      <c r="J383" s="10"/>
      <c r="K383" s="10"/>
      <c r="L383" s="10"/>
      <c r="M383" s="11"/>
      <c r="N383" s="8"/>
      <c r="O383" s="7" t="str">
        <f aca="false">IF(L383="","",IFERROR(VLOOKUP(L383,Paramètres!$F$5:$G$8,2,FALSE()),""))</f>
        <v/>
      </c>
      <c r="P383" s="9" t="str">
        <f aca="false">IF(OR(B383="",O383=""),"",IF(N383="",B383,N383)+O383)</f>
        <v/>
      </c>
      <c r="Q383" s="10"/>
      <c r="R383" s="8"/>
      <c r="S383" s="7" t="str">
        <f aca="false">IF(OR(B383="",R383=""),"",R383-B383)</f>
        <v/>
      </c>
      <c r="T383" s="7" t="str">
        <f aca="true">IF(OR(B383="",P383=""),"",IF(R383&lt;&gt;"",IF(R383&gt;P383,"Traité hors délai","Non"),IF(Q383="Classé sans suite","Non",IF(TODAY()&gt;P383,"OUI","Non"))))</f>
        <v/>
      </c>
      <c r="U383" s="11"/>
    </row>
    <row r="384" customFormat="false" ht="15" hidden="false" customHeight="false" outlineLevel="0" collapsed="false">
      <c r="A384" s="7" t="str">
        <f aca="false">IF(B384="","",YEAR(B384)&amp;"/"&amp;TEXT(ROW()-4,"0000"))</f>
        <v/>
      </c>
      <c r="B384" s="8"/>
      <c r="C384" s="7" t="str">
        <f aca="false">IF(B384="","",INT((B384-DATE(YEAR(B384-WEEKDAY(B384-1)+4),1,3)+WEEKDAY(DATE(YEAR(B384-WEEKDAY(B384-1)+4),1,3))+5)/7))</f>
        <v/>
      </c>
      <c r="D384" s="9" t="str">
        <f aca="false">IF(B384="","",B384-WEEKDAY(B384,2)+1)</f>
        <v/>
      </c>
      <c r="E384" s="10"/>
      <c r="F384" s="8"/>
      <c r="G384" s="11"/>
      <c r="H384" s="10"/>
      <c r="I384" s="11"/>
      <c r="J384" s="10"/>
      <c r="K384" s="10"/>
      <c r="L384" s="10"/>
      <c r="M384" s="11"/>
      <c r="N384" s="8"/>
      <c r="O384" s="7" t="str">
        <f aca="false">IF(L384="","",IFERROR(VLOOKUP(L384,Paramètres!$F$5:$G$8,2,FALSE()),""))</f>
        <v/>
      </c>
      <c r="P384" s="9" t="str">
        <f aca="false">IF(OR(B384="",O384=""),"",IF(N384="",B384,N384)+O384)</f>
        <v/>
      </c>
      <c r="Q384" s="10"/>
      <c r="R384" s="8"/>
      <c r="S384" s="7" t="str">
        <f aca="false">IF(OR(B384="",R384=""),"",R384-B384)</f>
        <v/>
      </c>
      <c r="T384" s="7" t="str">
        <f aca="true">IF(OR(B384="",P384=""),"",IF(R384&lt;&gt;"",IF(R384&gt;P384,"Traité hors délai","Non"),IF(Q384="Classé sans suite","Non",IF(TODAY()&gt;P384,"OUI","Non"))))</f>
        <v/>
      </c>
      <c r="U384" s="11"/>
    </row>
    <row r="385" customFormat="false" ht="15" hidden="false" customHeight="false" outlineLevel="0" collapsed="false">
      <c r="A385" s="7" t="str">
        <f aca="false">IF(B385="","",YEAR(B385)&amp;"/"&amp;TEXT(ROW()-4,"0000"))</f>
        <v/>
      </c>
      <c r="B385" s="8"/>
      <c r="C385" s="7" t="str">
        <f aca="false">IF(B385="","",INT((B385-DATE(YEAR(B385-WEEKDAY(B385-1)+4),1,3)+WEEKDAY(DATE(YEAR(B385-WEEKDAY(B385-1)+4),1,3))+5)/7))</f>
        <v/>
      </c>
      <c r="D385" s="9" t="str">
        <f aca="false">IF(B385="","",B385-WEEKDAY(B385,2)+1)</f>
        <v/>
      </c>
      <c r="E385" s="10"/>
      <c r="F385" s="8"/>
      <c r="G385" s="11"/>
      <c r="H385" s="10"/>
      <c r="I385" s="11"/>
      <c r="J385" s="10"/>
      <c r="K385" s="10"/>
      <c r="L385" s="10"/>
      <c r="M385" s="11"/>
      <c r="N385" s="8"/>
      <c r="O385" s="7" t="str">
        <f aca="false">IF(L385="","",IFERROR(VLOOKUP(L385,Paramètres!$F$5:$G$8,2,FALSE()),""))</f>
        <v/>
      </c>
      <c r="P385" s="9" t="str">
        <f aca="false">IF(OR(B385="",O385=""),"",IF(N385="",B385,N385)+O385)</f>
        <v/>
      </c>
      <c r="Q385" s="10"/>
      <c r="R385" s="8"/>
      <c r="S385" s="7" t="str">
        <f aca="false">IF(OR(B385="",R385=""),"",R385-B385)</f>
        <v/>
      </c>
      <c r="T385" s="7" t="str">
        <f aca="true">IF(OR(B385="",P385=""),"",IF(R385&lt;&gt;"",IF(R385&gt;P385,"Traité hors délai","Non"),IF(Q385="Classé sans suite","Non",IF(TODAY()&gt;P385,"OUI","Non"))))</f>
        <v/>
      </c>
      <c r="U385" s="11"/>
    </row>
    <row r="386" customFormat="false" ht="15" hidden="false" customHeight="false" outlineLevel="0" collapsed="false">
      <c r="A386" s="7" t="str">
        <f aca="false">IF(B386="","",YEAR(B386)&amp;"/"&amp;TEXT(ROW()-4,"0000"))</f>
        <v/>
      </c>
      <c r="B386" s="8"/>
      <c r="C386" s="7" t="str">
        <f aca="false">IF(B386="","",INT((B386-DATE(YEAR(B386-WEEKDAY(B386-1)+4),1,3)+WEEKDAY(DATE(YEAR(B386-WEEKDAY(B386-1)+4),1,3))+5)/7))</f>
        <v/>
      </c>
      <c r="D386" s="9" t="str">
        <f aca="false">IF(B386="","",B386-WEEKDAY(B386,2)+1)</f>
        <v/>
      </c>
      <c r="E386" s="10"/>
      <c r="F386" s="8"/>
      <c r="G386" s="11"/>
      <c r="H386" s="10"/>
      <c r="I386" s="11"/>
      <c r="J386" s="10"/>
      <c r="K386" s="10"/>
      <c r="L386" s="10"/>
      <c r="M386" s="11"/>
      <c r="N386" s="8"/>
      <c r="O386" s="7" t="str">
        <f aca="false">IF(L386="","",IFERROR(VLOOKUP(L386,Paramètres!$F$5:$G$8,2,FALSE()),""))</f>
        <v/>
      </c>
      <c r="P386" s="9" t="str">
        <f aca="false">IF(OR(B386="",O386=""),"",IF(N386="",B386,N386)+O386)</f>
        <v/>
      </c>
      <c r="Q386" s="10"/>
      <c r="R386" s="8"/>
      <c r="S386" s="7" t="str">
        <f aca="false">IF(OR(B386="",R386=""),"",R386-B386)</f>
        <v/>
      </c>
      <c r="T386" s="7" t="str">
        <f aca="true">IF(OR(B386="",P386=""),"",IF(R386&lt;&gt;"",IF(R386&gt;P386,"Traité hors délai","Non"),IF(Q386="Classé sans suite","Non",IF(TODAY()&gt;P386,"OUI","Non"))))</f>
        <v/>
      </c>
      <c r="U386" s="11"/>
    </row>
    <row r="387" customFormat="false" ht="15" hidden="false" customHeight="false" outlineLevel="0" collapsed="false">
      <c r="A387" s="7" t="str">
        <f aca="false">IF(B387="","",YEAR(B387)&amp;"/"&amp;TEXT(ROW()-4,"0000"))</f>
        <v/>
      </c>
      <c r="B387" s="8"/>
      <c r="C387" s="7" t="str">
        <f aca="false">IF(B387="","",INT((B387-DATE(YEAR(B387-WEEKDAY(B387-1)+4),1,3)+WEEKDAY(DATE(YEAR(B387-WEEKDAY(B387-1)+4),1,3))+5)/7))</f>
        <v/>
      </c>
      <c r="D387" s="9" t="str">
        <f aca="false">IF(B387="","",B387-WEEKDAY(B387,2)+1)</f>
        <v/>
      </c>
      <c r="E387" s="10"/>
      <c r="F387" s="8"/>
      <c r="G387" s="11"/>
      <c r="H387" s="10"/>
      <c r="I387" s="11"/>
      <c r="J387" s="10"/>
      <c r="K387" s="10"/>
      <c r="L387" s="10"/>
      <c r="M387" s="11"/>
      <c r="N387" s="8"/>
      <c r="O387" s="7" t="str">
        <f aca="false">IF(L387="","",IFERROR(VLOOKUP(L387,Paramètres!$F$5:$G$8,2,FALSE()),""))</f>
        <v/>
      </c>
      <c r="P387" s="9" t="str">
        <f aca="false">IF(OR(B387="",O387=""),"",IF(N387="",B387,N387)+O387)</f>
        <v/>
      </c>
      <c r="Q387" s="10"/>
      <c r="R387" s="8"/>
      <c r="S387" s="7" t="str">
        <f aca="false">IF(OR(B387="",R387=""),"",R387-B387)</f>
        <v/>
      </c>
      <c r="T387" s="7" t="str">
        <f aca="true">IF(OR(B387="",P387=""),"",IF(R387&lt;&gt;"",IF(R387&gt;P387,"Traité hors délai","Non"),IF(Q387="Classé sans suite","Non",IF(TODAY()&gt;P387,"OUI","Non"))))</f>
        <v/>
      </c>
      <c r="U387" s="11"/>
    </row>
    <row r="388" customFormat="false" ht="15" hidden="false" customHeight="false" outlineLevel="0" collapsed="false">
      <c r="A388" s="7" t="str">
        <f aca="false">IF(B388="","",YEAR(B388)&amp;"/"&amp;TEXT(ROW()-4,"0000"))</f>
        <v/>
      </c>
      <c r="B388" s="8"/>
      <c r="C388" s="7" t="str">
        <f aca="false">IF(B388="","",INT((B388-DATE(YEAR(B388-WEEKDAY(B388-1)+4),1,3)+WEEKDAY(DATE(YEAR(B388-WEEKDAY(B388-1)+4),1,3))+5)/7))</f>
        <v/>
      </c>
      <c r="D388" s="9" t="str">
        <f aca="false">IF(B388="","",B388-WEEKDAY(B388,2)+1)</f>
        <v/>
      </c>
      <c r="E388" s="10"/>
      <c r="F388" s="8"/>
      <c r="G388" s="11"/>
      <c r="H388" s="10"/>
      <c r="I388" s="11"/>
      <c r="J388" s="10"/>
      <c r="K388" s="10"/>
      <c r="L388" s="10"/>
      <c r="M388" s="11"/>
      <c r="N388" s="8"/>
      <c r="O388" s="7" t="str">
        <f aca="false">IF(L388="","",IFERROR(VLOOKUP(L388,Paramètres!$F$5:$G$8,2,FALSE()),""))</f>
        <v/>
      </c>
      <c r="P388" s="9" t="str">
        <f aca="false">IF(OR(B388="",O388=""),"",IF(N388="",B388,N388)+O388)</f>
        <v/>
      </c>
      <c r="Q388" s="10"/>
      <c r="R388" s="8"/>
      <c r="S388" s="7" t="str">
        <f aca="false">IF(OR(B388="",R388=""),"",R388-B388)</f>
        <v/>
      </c>
      <c r="T388" s="7" t="str">
        <f aca="true">IF(OR(B388="",P388=""),"",IF(R388&lt;&gt;"",IF(R388&gt;P388,"Traité hors délai","Non"),IF(Q388="Classé sans suite","Non",IF(TODAY()&gt;P388,"OUI","Non"))))</f>
        <v/>
      </c>
      <c r="U388" s="11"/>
    </row>
    <row r="389" customFormat="false" ht="15" hidden="false" customHeight="false" outlineLevel="0" collapsed="false">
      <c r="A389" s="7" t="str">
        <f aca="false">IF(B389="","",YEAR(B389)&amp;"/"&amp;TEXT(ROW()-4,"0000"))</f>
        <v/>
      </c>
      <c r="B389" s="8"/>
      <c r="C389" s="7" t="str">
        <f aca="false">IF(B389="","",INT((B389-DATE(YEAR(B389-WEEKDAY(B389-1)+4),1,3)+WEEKDAY(DATE(YEAR(B389-WEEKDAY(B389-1)+4),1,3))+5)/7))</f>
        <v/>
      </c>
      <c r="D389" s="9" t="str">
        <f aca="false">IF(B389="","",B389-WEEKDAY(B389,2)+1)</f>
        <v/>
      </c>
      <c r="E389" s="10"/>
      <c r="F389" s="8"/>
      <c r="G389" s="11"/>
      <c r="H389" s="10"/>
      <c r="I389" s="11"/>
      <c r="J389" s="10"/>
      <c r="K389" s="10"/>
      <c r="L389" s="10"/>
      <c r="M389" s="11"/>
      <c r="N389" s="8"/>
      <c r="O389" s="7" t="str">
        <f aca="false">IF(L389="","",IFERROR(VLOOKUP(L389,Paramètres!$F$5:$G$8,2,FALSE()),""))</f>
        <v/>
      </c>
      <c r="P389" s="9" t="str">
        <f aca="false">IF(OR(B389="",O389=""),"",IF(N389="",B389,N389)+O389)</f>
        <v/>
      </c>
      <c r="Q389" s="10"/>
      <c r="R389" s="8"/>
      <c r="S389" s="7" t="str">
        <f aca="false">IF(OR(B389="",R389=""),"",R389-B389)</f>
        <v/>
      </c>
      <c r="T389" s="7" t="str">
        <f aca="true">IF(OR(B389="",P389=""),"",IF(R389&lt;&gt;"",IF(R389&gt;P389,"Traité hors délai","Non"),IF(Q389="Classé sans suite","Non",IF(TODAY()&gt;P389,"OUI","Non"))))</f>
        <v/>
      </c>
      <c r="U389" s="11"/>
    </row>
    <row r="390" customFormat="false" ht="15" hidden="false" customHeight="false" outlineLevel="0" collapsed="false">
      <c r="A390" s="7" t="str">
        <f aca="false">IF(B390="","",YEAR(B390)&amp;"/"&amp;TEXT(ROW()-4,"0000"))</f>
        <v/>
      </c>
      <c r="B390" s="8"/>
      <c r="C390" s="7" t="str">
        <f aca="false">IF(B390="","",INT((B390-DATE(YEAR(B390-WEEKDAY(B390-1)+4),1,3)+WEEKDAY(DATE(YEAR(B390-WEEKDAY(B390-1)+4),1,3))+5)/7))</f>
        <v/>
      </c>
      <c r="D390" s="9" t="str">
        <f aca="false">IF(B390="","",B390-WEEKDAY(B390,2)+1)</f>
        <v/>
      </c>
      <c r="E390" s="10"/>
      <c r="F390" s="8"/>
      <c r="G390" s="11"/>
      <c r="H390" s="10"/>
      <c r="I390" s="11"/>
      <c r="J390" s="10"/>
      <c r="K390" s="10"/>
      <c r="L390" s="10"/>
      <c r="M390" s="11"/>
      <c r="N390" s="8"/>
      <c r="O390" s="7" t="str">
        <f aca="false">IF(L390="","",IFERROR(VLOOKUP(L390,Paramètres!$F$5:$G$8,2,FALSE()),""))</f>
        <v/>
      </c>
      <c r="P390" s="9" t="str">
        <f aca="false">IF(OR(B390="",O390=""),"",IF(N390="",B390,N390)+O390)</f>
        <v/>
      </c>
      <c r="Q390" s="10"/>
      <c r="R390" s="8"/>
      <c r="S390" s="7" t="str">
        <f aca="false">IF(OR(B390="",R390=""),"",R390-B390)</f>
        <v/>
      </c>
      <c r="T390" s="7" t="str">
        <f aca="true">IF(OR(B390="",P390=""),"",IF(R390&lt;&gt;"",IF(R390&gt;P390,"Traité hors délai","Non"),IF(Q390="Classé sans suite","Non",IF(TODAY()&gt;P390,"OUI","Non"))))</f>
        <v/>
      </c>
      <c r="U390" s="11"/>
    </row>
    <row r="391" customFormat="false" ht="15" hidden="false" customHeight="false" outlineLevel="0" collapsed="false">
      <c r="A391" s="7" t="str">
        <f aca="false">IF(B391="","",YEAR(B391)&amp;"/"&amp;TEXT(ROW()-4,"0000"))</f>
        <v/>
      </c>
      <c r="B391" s="8"/>
      <c r="C391" s="7" t="str">
        <f aca="false">IF(B391="","",INT((B391-DATE(YEAR(B391-WEEKDAY(B391-1)+4),1,3)+WEEKDAY(DATE(YEAR(B391-WEEKDAY(B391-1)+4),1,3))+5)/7))</f>
        <v/>
      </c>
      <c r="D391" s="9" t="str">
        <f aca="false">IF(B391="","",B391-WEEKDAY(B391,2)+1)</f>
        <v/>
      </c>
      <c r="E391" s="10"/>
      <c r="F391" s="8"/>
      <c r="G391" s="11"/>
      <c r="H391" s="10"/>
      <c r="I391" s="11"/>
      <c r="J391" s="10"/>
      <c r="K391" s="10"/>
      <c r="L391" s="10"/>
      <c r="M391" s="11"/>
      <c r="N391" s="8"/>
      <c r="O391" s="7" t="str">
        <f aca="false">IF(L391="","",IFERROR(VLOOKUP(L391,Paramètres!$F$5:$G$8,2,FALSE()),""))</f>
        <v/>
      </c>
      <c r="P391" s="9" t="str">
        <f aca="false">IF(OR(B391="",O391=""),"",IF(N391="",B391,N391)+O391)</f>
        <v/>
      </c>
      <c r="Q391" s="10"/>
      <c r="R391" s="8"/>
      <c r="S391" s="7" t="str">
        <f aca="false">IF(OR(B391="",R391=""),"",R391-B391)</f>
        <v/>
      </c>
      <c r="T391" s="7" t="str">
        <f aca="true">IF(OR(B391="",P391=""),"",IF(R391&lt;&gt;"",IF(R391&gt;P391,"Traité hors délai","Non"),IF(Q391="Classé sans suite","Non",IF(TODAY()&gt;P391,"OUI","Non"))))</f>
        <v/>
      </c>
      <c r="U391" s="11"/>
    </row>
    <row r="392" customFormat="false" ht="15" hidden="false" customHeight="false" outlineLevel="0" collapsed="false">
      <c r="A392" s="7" t="str">
        <f aca="false">IF(B392="","",YEAR(B392)&amp;"/"&amp;TEXT(ROW()-4,"0000"))</f>
        <v/>
      </c>
      <c r="B392" s="8"/>
      <c r="C392" s="7" t="str">
        <f aca="false">IF(B392="","",INT((B392-DATE(YEAR(B392-WEEKDAY(B392-1)+4),1,3)+WEEKDAY(DATE(YEAR(B392-WEEKDAY(B392-1)+4),1,3))+5)/7))</f>
        <v/>
      </c>
      <c r="D392" s="9" t="str">
        <f aca="false">IF(B392="","",B392-WEEKDAY(B392,2)+1)</f>
        <v/>
      </c>
      <c r="E392" s="10"/>
      <c r="F392" s="8"/>
      <c r="G392" s="11"/>
      <c r="H392" s="10"/>
      <c r="I392" s="11"/>
      <c r="J392" s="10"/>
      <c r="K392" s="10"/>
      <c r="L392" s="10"/>
      <c r="M392" s="11"/>
      <c r="N392" s="8"/>
      <c r="O392" s="7" t="str">
        <f aca="false">IF(L392="","",IFERROR(VLOOKUP(L392,Paramètres!$F$5:$G$8,2,FALSE()),""))</f>
        <v/>
      </c>
      <c r="P392" s="9" t="str">
        <f aca="false">IF(OR(B392="",O392=""),"",IF(N392="",B392,N392)+O392)</f>
        <v/>
      </c>
      <c r="Q392" s="10"/>
      <c r="R392" s="8"/>
      <c r="S392" s="7" t="str">
        <f aca="false">IF(OR(B392="",R392=""),"",R392-B392)</f>
        <v/>
      </c>
      <c r="T392" s="7" t="str">
        <f aca="true">IF(OR(B392="",P392=""),"",IF(R392&lt;&gt;"",IF(R392&gt;P392,"Traité hors délai","Non"),IF(Q392="Classé sans suite","Non",IF(TODAY()&gt;P392,"OUI","Non"))))</f>
        <v/>
      </c>
      <c r="U392" s="11"/>
    </row>
    <row r="393" customFormat="false" ht="15" hidden="false" customHeight="false" outlineLevel="0" collapsed="false">
      <c r="A393" s="7" t="str">
        <f aca="false">IF(B393="","",YEAR(B393)&amp;"/"&amp;TEXT(ROW()-4,"0000"))</f>
        <v/>
      </c>
      <c r="B393" s="8"/>
      <c r="C393" s="7" t="str">
        <f aca="false">IF(B393="","",INT((B393-DATE(YEAR(B393-WEEKDAY(B393-1)+4),1,3)+WEEKDAY(DATE(YEAR(B393-WEEKDAY(B393-1)+4),1,3))+5)/7))</f>
        <v/>
      </c>
      <c r="D393" s="9" t="str">
        <f aca="false">IF(B393="","",B393-WEEKDAY(B393,2)+1)</f>
        <v/>
      </c>
      <c r="E393" s="10"/>
      <c r="F393" s="8"/>
      <c r="G393" s="11"/>
      <c r="H393" s="10"/>
      <c r="I393" s="11"/>
      <c r="J393" s="10"/>
      <c r="K393" s="10"/>
      <c r="L393" s="10"/>
      <c r="M393" s="11"/>
      <c r="N393" s="8"/>
      <c r="O393" s="7" t="str">
        <f aca="false">IF(L393="","",IFERROR(VLOOKUP(L393,Paramètres!$F$5:$G$8,2,FALSE()),""))</f>
        <v/>
      </c>
      <c r="P393" s="9" t="str">
        <f aca="false">IF(OR(B393="",O393=""),"",IF(N393="",B393,N393)+O393)</f>
        <v/>
      </c>
      <c r="Q393" s="10"/>
      <c r="R393" s="8"/>
      <c r="S393" s="7" t="str">
        <f aca="false">IF(OR(B393="",R393=""),"",R393-B393)</f>
        <v/>
      </c>
      <c r="T393" s="7" t="str">
        <f aca="true">IF(OR(B393="",P393=""),"",IF(R393&lt;&gt;"",IF(R393&gt;P393,"Traité hors délai","Non"),IF(Q393="Classé sans suite","Non",IF(TODAY()&gt;P393,"OUI","Non"))))</f>
        <v/>
      </c>
      <c r="U393" s="11"/>
    </row>
    <row r="394" customFormat="false" ht="15" hidden="false" customHeight="false" outlineLevel="0" collapsed="false">
      <c r="A394" s="7" t="str">
        <f aca="false">IF(B394="","",YEAR(B394)&amp;"/"&amp;TEXT(ROW()-4,"0000"))</f>
        <v/>
      </c>
      <c r="B394" s="8"/>
      <c r="C394" s="7" t="str">
        <f aca="false">IF(B394="","",INT((B394-DATE(YEAR(B394-WEEKDAY(B394-1)+4),1,3)+WEEKDAY(DATE(YEAR(B394-WEEKDAY(B394-1)+4),1,3))+5)/7))</f>
        <v/>
      </c>
      <c r="D394" s="9" t="str">
        <f aca="false">IF(B394="","",B394-WEEKDAY(B394,2)+1)</f>
        <v/>
      </c>
      <c r="E394" s="10"/>
      <c r="F394" s="8"/>
      <c r="G394" s="11"/>
      <c r="H394" s="10"/>
      <c r="I394" s="11"/>
      <c r="J394" s="10"/>
      <c r="K394" s="10"/>
      <c r="L394" s="10"/>
      <c r="M394" s="11"/>
      <c r="N394" s="8"/>
      <c r="O394" s="7" t="str">
        <f aca="false">IF(L394="","",IFERROR(VLOOKUP(L394,Paramètres!$F$5:$G$8,2,FALSE()),""))</f>
        <v/>
      </c>
      <c r="P394" s="9" t="str">
        <f aca="false">IF(OR(B394="",O394=""),"",IF(N394="",B394,N394)+O394)</f>
        <v/>
      </c>
      <c r="Q394" s="10"/>
      <c r="R394" s="8"/>
      <c r="S394" s="7" t="str">
        <f aca="false">IF(OR(B394="",R394=""),"",R394-B394)</f>
        <v/>
      </c>
      <c r="T394" s="7" t="str">
        <f aca="true">IF(OR(B394="",P394=""),"",IF(R394&lt;&gt;"",IF(R394&gt;P394,"Traité hors délai","Non"),IF(Q394="Classé sans suite","Non",IF(TODAY()&gt;P394,"OUI","Non"))))</f>
        <v/>
      </c>
      <c r="U394" s="11"/>
    </row>
    <row r="395" customFormat="false" ht="15" hidden="false" customHeight="false" outlineLevel="0" collapsed="false">
      <c r="A395" s="7" t="str">
        <f aca="false">IF(B395="","",YEAR(B395)&amp;"/"&amp;TEXT(ROW()-4,"0000"))</f>
        <v/>
      </c>
      <c r="B395" s="8"/>
      <c r="C395" s="7" t="str">
        <f aca="false">IF(B395="","",INT((B395-DATE(YEAR(B395-WEEKDAY(B395-1)+4),1,3)+WEEKDAY(DATE(YEAR(B395-WEEKDAY(B395-1)+4),1,3))+5)/7))</f>
        <v/>
      </c>
      <c r="D395" s="9" t="str">
        <f aca="false">IF(B395="","",B395-WEEKDAY(B395,2)+1)</f>
        <v/>
      </c>
      <c r="E395" s="10"/>
      <c r="F395" s="8"/>
      <c r="G395" s="11"/>
      <c r="H395" s="10"/>
      <c r="I395" s="11"/>
      <c r="J395" s="10"/>
      <c r="K395" s="10"/>
      <c r="L395" s="10"/>
      <c r="M395" s="11"/>
      <c r="N395" s="8"/>
      <c r="O395" s="7" t="str">
        <f aca="false">IF(L395="","",IFERROR(VLOOKUP(L395,Paramètres!$F$5:$G$8,2,FALSE()),""))</f>
        <v/>
      </c>
      <c r="P395" s="9" t="str">
        <f aca="false">IF(OR(B395="",O395=""),"",IF(N395="",B395,N395)+O395)</f>
        <v/>
      </c>
      <c r="Q395" s="10"/>
      <c r="R395" s="8"/>
      <c r="S395" s="7" t="str">
        <f aca="false">IF(OR(B395="",R395=""),"",R395-B395)</f>
        <v/>
      </c>
      <c r="T395" s="7" t="str">
        <f aca="true">IF(OR(B395="",P395=""),"",IF(R395&lt;&gt;"",IF(R395&gt;P395,"Traité hors délai","Non"),IF(Q395="Classé sans suite","Non",IF(TODAY()&gt;P395,"OUI","Non"))))</f>
        <v/>
      </c>
      <c r="U395" s="11"/>
    </row>
    <row r="396" customFormat="false" ht="15" hidden="false" customHeight="false" outlineLevel="0" collapsed="false">
      <c r="A396" s="7" t="str">
        <f aca="false">IF(B396="","",YEAR(B396)&amp;"/"&amp;TEXT(ROW()-4,"0000"))</f>
        <v/>
      </c>
      <c r="B396" s="8"/>
      <c r="C396" s="7" t="str">
        <f aca="false">IF(B396="","",INT((B396-DATE(YEAR(B396-WEEKDAY(B396-1)+4),1,3)+WEEKDAY(DATE(YEAR(B396-WEEKDAY(B396-1)+4),1,3))+5)/7))</f>
        <v/>
      </c>
      <c r="D396" s="9" t="str">
        <f aca="false">IF(B396="","",B396-WEEKDAY(B396,2)+1)</f>
        <v/>
      </c>
      <c r="E396" s="10"/>
      <c r="F396" s="8"/>
      <c r="G396" s="11"/>
      <c r="H396" s="10"/>
      <c r="I396" s="11"/>
      <c r="J396" s="10"/>
      <c r="K396" s="10"/>
      <c r="L396" s="10"/>
      <c r="M396" s="11"/>
      <c r="N396" s="8"/>
      <c r="O396" s="7" t="str">
        <f aca="false">IF(L396="","",IFERROR(VLOOKUP(L396,Paramètres!$F$5:$G$8,2,FALSE()),""))</f>
        <v/>
      </c>
      <c r="P396" s="9" t="str">
        <f aca="false">IF(OR(B396="",O396=""),"",IF(N396="",B396,N396)+O396)</f>
        <v/>
      </c>
      <c r="Q396" s="10"/>
      <c r="R396" s="8"/>
      <c r="S396" s="7" t="str">
        <f aca="false">IF(OR(B396="",R396=""),"",R396-B396)</f>
        <v/>
      </c>
      <c r="T396" s="7" t="str">
        <f aca="true">IF(OR(B396="",P396=""),"",IF(R396&lt;&gt;"",IF(R396&gt;P396,"Traité hors délai","Non"),IF(Q396="Classé sans suite","Non",IF(TODAY()&gt;P396,"OUI","Non"))))</f>
        <v/>
      </c>
      <c r="U396" s="11"/>
    </row>
    <row r="397" customFormat="false" ht="15" hidden="false" customHeight="false" outlineLevel="0" collapsed="false">
      <c r="A397" s="7" t="str">
        <f aca="false">IF(B397="","",YEAR(B397)&amp;"/"&amp;TEXT(ROW()-4,"0000"))</f>
        <v/>
      </c>
      <c r="B397" s="8"/>
      <c r="C397" s="7" t="str">
        <f aca="false">IF(B397="","",INT((B397-DATE(YEAR(B397-WEEKDAY(B397-1)+4),1,3)+WEEKDAY(DATE(YEAR(B397-WEEKDAY(B397-1)+4),1,3))+5)/7))</f>
        <v/>
      </c>
      <c r="D397" s="9" t="str">
        <f aca="false">IF(B397="","",B397-WEEKDAY(B397,2)+1)</f>
        <v/>
      </c>
      <c r="E397" s="10"/>
      <c r="F397" s="8"/>
      <c r="G397" s="11"/>
      <c r="H397" s="10"/>
      <c r="I397" s="11"/>
      <c r="J397" s="10"/>
      <c r="K397" s="10"/>
      <c r="L397" s="10"/>
      <c r="M397" s="11"/>
      <c r="N397" s="8"/>
      <c r="O397" s="7" t="str">
        <f aca="false">IF(L397="","",IFERROR(VLOOKUP(L397,Paramètres!$F$5:$G$8,2,FALSE()),""))</f>
        <v/>
      </c>
      <c r="P397" s="9" t="str">
        <f aca="false">IF(OR(B397="",O397=""),"",IF(N397="",B397,N397)+O397)</f>
        <v/>
      </c>
      <c r="Q397" s="10"/>
      <c r="R397" s="8"/>
      <c r="S397" s="7" t="str">
        <f aca="false">IF(OR(B397="",R397=""),"",R397-B397)</f>
        <v/>
      </c>
      <c r="T397" s="7" t="str">
        <f aca="true">IF(OR(B397="",P397=""),"",IF(R397&lt;&gt;"",IF(R397&gt;P397,"Traité hors délai","Non"),IF(Q397="Classé sans suite","Non",IF(TODAY()&gt;P397,"OUI","Non"))))</f>
        <v/>
      </c>
      <c r="U397" s="11"/>
    </row>
    <row r="398" customFormat="false" ht="15" hidden="false" customHeight="false" outlineLevel="0" collapsed="false">
      <c r="A398" s="7" t="str">
        <f aca="false">IF(B398="","",YEAR(B398)&amp;"/"&amp;TEXT(ROW()-4,"0000"))</f>
        <v/>
      </c>
      <c r="B398" s="8"/>
      <c r="C398" s="7" t="str">
        <f aca="false">IF(B398="","",INT((B398-DATE(YEAR(B398-WEEKDAY(B398-1)+4),1,3)+WEEKDAY(DATE(YEAR(B398-WEEKDAY(B398-1)+4),1,3))+5)/7))</f>
        <v/>
      </c>
      <c r="D398" s="9" t="str">
        <f aca="false">IF(B398="","",B398-WEEKDAY(B398,2)+1)</f>
        <v/>
      </c>
      <c r="E398" s="10"/>
      <c r="F398" s="8"/>
      <c r="G398" s="11"/>
      <c r="H398" s="10"/>
      <c r="I398" s="11"/>
      <c r="J398" s="10"/>
      <c r="K398" s="10"/>
      <c r="L398" s="10"/>
      <c r="M398" s="11"/>
      <c r="N398" s="8"/>
      <c r="O398" s="7" t="str">
        <f aca="false">IF(L398="","",IFERROR(VLOOKUP(L398,Paramètres!$F$5:$G$8,2,FALSE()),""))</f>
        <v/>
      </c>
      <c r="P398" s="9" t="str">
        <f aca="false">IF(OR(B398="",O398=""),"",IF(N398="",B398,N398)+O398)</f>
        <v/>
      </c>
      <c r="Q398" s="10"/>
      <c r="R398" s="8"/>
      <c r="S398" s="7" t="str">
        <f aca="false">IF(OR(B398="",R398=""),"",R398-B398)</f>
        <v/>
      </c>
      <c r="T398" s="7" t="str">
        <f aca="true">IF(OR(B398="",P398=""),"",IF(R398&lt;&gt;"",IF(R398&gt;P398,"Traité hors délai","Non"),IF(Q398="Classé sans suite","Non",IF(TODAY()&gt;P398,"OUI","Non"))))</f>
        <v/>
      </c>
      <c r="U398" s="11"/>
    </row>
    <row r="399" customFormat="false" ht="15" hidden="false" customHeight="false" outlineLevel="0" collapsed="false">
      <c r="A399" s="7" t="str">
        <f aca="false">IF(B399="","",YEAR(B399)&amp;"/"&amp;TEXT(ROW()-4,"0000"))</f>
        <v/>
      </c>
      <c r="B399" s="8"/>
      <c r="C399" s="7" t="str">
        <f aca="false">IF(B399="","",INT((B399-DATE(YEAR(B399-WEEKDAY(B399-1)+4),1,3)+WEEKDAY(DATE(YEAR(B399-WEEKDAY(B399-1)+4),1,3))+5)/7))</f>
        <v/>
      </c>
      <c r="D399" s="9" t="str">
        <f aca="false">IF(B399="","",B399-WEEKDAY(B399,2)+1)</f>
        <v/>
      </c>
      <c r="E399" s="10"/>
      <c r="F399" s="8"/>
      <c r="G399" s="11"/>
      <c r="H399" s="10"/>
      <c r="I399" s="11"/>
      <c r="J399" s="10"/>
      <c r="K399" s="10"/>
      <c r="L399" s="10"/>
      <c r="M399" s="11"/>
      <c r="N399" s="8"/>
      <c r="O399" s="7" t="str">
        <f aca="false">IF(L399="","",IFERROR(VLOOKUP(L399,Paramètres!$F$5:$G$8,2,FALSE()),""))</f>
        <v/>
      </c>
      <c r="P399" s="9" t="str">
        <f aca="false">IF(OR(B399="",O399=""),"",IF(N399="",B399,N399)+O399)</f>
        <v/>
      </c>
      <c r="Q399" s="10"/>
      <c r="R399" s="8"/>
      <c r="S399" s="7" t="str">
        <f aca="false">IF(OR(B399="",R399=""),"",R399-B399)</f>
        <v/>
      </c>
      <c r="T399" s="7" t="str">
        <f aca="true">IF(OR(B399="",P399=""),"",IF(R399&lt;&gt;"",IF(R399&gt;P399,"Traité hors délai","Non"),IF(Q399="Classé sans suite","Non",IF(TODAY()&gt;P399,"OUI","Non"))))</f>
        <v/>
      </c>
      <c r="U399" s="11"/>
    </row>
    <row r="400" customFormat="false" ht="15" hidden="false" customHeight="false" outlineLevel="0" collapsed="false">
      <c r="A400" s="7" t="str">
        <f aca="false">IF(B400="","",YEAR(B400)&amp;"/"&amp;TEXT(ROW()-4,"0000"))</f>
        <v/>
      </c>
      <c r="B400" s="8"/>
      <c r="C400" s="7" t="str">
        <f aca="false">IF(B400="","",INT((B400-DATE(YEAR(B400-WEEKDAY(B400-1)+4),1,3)+WEEKDAY(DATE(YEAR(B400-WEEKDAY(B400-1)+4),1,3))+5)/7))</f>
        <v/>
      </c>
      <c r="D400" s="9" t="str">
        <f aca="false">IF(B400="","",B400-WEEKDAY(B400,2)+1)</f>
        <v/>
      </c>
      <c r="E400" s="10"/>
      <c r="F400" s="8"/>
      <c r="G400" s="11"/>
      <c r="H400" s="10"/>
      <c r="I400" s="11"/>
      <c r="J400" s="10"/>
      <c r="K400" s="10"/>
      <c r="L400" s="10"/>
      <c r="M400" s="11"/>
      <c r="N400" s="8"/>
      <c r="O400" s="7" t="str">
        <f aca="false">IF(L400="","",IFERROR(VLOOKUP(L400,Paramètres!$F$5:$G$8,2,FALSE()),""))</f>
        <v/>
      </c>
      <c r="P400" s="9" t="str">
        <f aca="false">IF(OR(B400="",O400=""),"",IF(N400="",B400,N400)+O400)</f>
        <v/>
      </c>
      <c r="Q400" s="10"/>
      <c r="R400" s="8"/>
      <c r="S400" s="7" t="str">
        <f aca="false">IF(OR(B400="",R400=""),"",R400-B400)</f>
        <v/>
      </c>
      <c r="T400" s="7" t="str">
        <f aca="true">IF(OR(B400="",P400=""),"",IF(R400&lt;&gt;"",IF(R400&gt;P400,"Traité hors délai","Non"),IF(Q400="Classé sans suite","Non",IF(TODAY()&gt;P400,"OUI","Non"))))</f>
        <v/>
      </c>
      <c r="U400" s="11"/>
    </row>
    <row r="401" customFormat="false" ht="15" hidden="false" customHeight="false" outlineLevel="0" collapsed="false">
      <c r="A401" s="7" t="str">
        <f aca="false">IF(B401="","",YEAR(B401)&amp;"/"&amp;TEXT(ROW()-4,"0000"))</f>
        <v/>
      </c>
      <c r="B401" s="8"/>
      <c r="C401" s="7" t="str">
        <f aca="false">IF(B401="","",INT((B401-DATE(YEAR(B401-WEEKDAY(B401-1)+4),1,3)+WEEKDAY(DATE(YEAR(B401-WEEKDAY(B401-1)+4),1,3))+5)/7))</f>
        <v/>
      </c>
      <c r="D401" s="9" t="str">
        <f aca="false">IF(B401="","",B401-WEEKDAY(B401,2)+1)</f>
        <v/>
      </c>
      <c r="E401" s="10"/>
      <c r="F401" s="8"/>
      <c r="G401" s="11"/>
      <c r="H401" s="10"/>
      <c r="I401" s="11"/>
      <c r="J401" s="10"/>
      <c r="K401" s="10"/>
      <c r="L401" s="10"/>
      <c r="M401" s="11"/>
      <c r="N401" s="8"/>
      <c r="O401" s="7" t="str">
        <f aca="false">IF(L401="","",IFERROR(VLOOKUP(L401,Paramètres!$F$5:$G$8,2,FALSE()),""))</f>
        <v/>
      </c>
      <c r="P401" s="9" t="str">
        <f aca="false">IF(OR(B401="",O401=""),"",IF(N401="",B401,N401)+O401)</f>
        <v/>
      </c>
      <c r="Q401" s="10"/>
      <c r="R401" s="8"/>
      <c r="S401" s="7" t="str">
        <f aca="false">IF(OR(B401="",R401=""),"",R401-B401)</f>
        <v/>
      </c>
      <c r="T401" s="7" t="str">
        <f aca="true">IF(OR(B401="",P401=""),"",IF(R401&lt;&gt;"",IF(R401&gt;P401,"Traité hors délai","Non"),IF(Q401="Classé sans suite","Non",IF(TODAY()&gt;P401,"OUI","Non"))))</f>
        <v/>
      </c>
      <c r="U401" s="11"/>
    </row>
    <row r="402" customFormat="false" ht="15" hidden="false" customHeight="false" outlineLevel="0" collapsed="false">
      <c r="A402" s="7" t="str">
        <f aca="false">IF(B402="","",YEAR(B402)&amp;"/"&amp;TEXT(ROW()-4,"0000"))</f>
        <v/>
      </c>
      <c r="B402" s="8"/>
      <c r="C402" s="7" t="str">
        <f aca="false">IF(B402="","",INT((B402-DATE(YEAR(B402-WEEKDAY(B402-1)+4),1,3)+WEEKDAY(DATE(YEAR(B402-WEEKDAY(B402-1)+4),1,3))+5)/7))</f>
        <v/>
      </c>
      <c r="D402" s="9" t="str">
        <f aca="false">IF(B402="","",B402-WEEKDAY(B402,2)+1)</f>
        <v/>
      </c>
      <c r="E402" s="10"/>
      <c r="F402" s="8"/>
      <c r="G402" s="11"/>
      <c r="H402" s="10"/>
      <c r="I402" s="11"/>
      <c r="J402" s="10"/>
      <c r="K402" s="10"/>
      <c r="L402" s="10"/>
      <c r="M402" s="11"/>
      <c r="N402" s="8"/>
      <c r="O402" s="7" t="str">
        <f aca="false">IF(L402="","",IFERROR(VLOOKUP(L402,Paramètres!$F$5:$G$8,2,FALSE()),""))</f>
        <v/>
      </c>
      <c r="P402" s="9" t="str">
        <f aca="false">IF(OR(B402="",O402=""),"",IF(N402="",B402,N402)+O402)</f>
        <v/>
      </c>
      <c r="Q402" s="10"/>
      <c r="R402" s="8"/>
      <c r="S402" s="7" t="str">
        <f aca="false">IF(OR(B402="",R402=""),"",R402-B402)</f>
        <v/>
      </c>
      <c r="T402" s="7" t="str">
        <f aca="true">IF(OR(B402="",P402=""),"",IF(R402&lt;&gt;"",IF(R402&gt;P402,"Traité hors délai","Non"),IF(Q402="Classé sans suite","Non",IF(TODAY()&gt;P402,"OUI","Non"))))</f>
        <v/>
      </c>
      <c r="U402" s="11"/>
    </row>
    <row r="403" customFormat="false" ht="15" hidden="false" customHeight="false" outlineLevel="0" collapsed="false">
      <c r="A403" s="7" t="str">
        <f aca="false">IF(B403="","",YEAR(B403)&amp;"/"&amp;TEXT(ROW()-4,"0000"))</f>
        <v/>
      </c>
      <c r="B403" s="8"/>
      <c r="C403" s="7" t="str">
        <f aca="false">IF(B403="","",INT((B403-DATE(YEAR(B403-WEEKDAY(B403-1)+4),1,3)+WEEKDAY(DATE(YEAR(B403-WEEKDAY(B403-1)+4),1,3))+5)/7))</f>
        <v/>
      </c>
      <c r="D403" s="9" t="str">
        <f aca="false">IF(B403="","",B403-WEEKDAY(B403,2)+1)</f>
        <v/>
      </c>
      <c r="E403" s="10"/>
      <c r="F403" s="8"/>
      <c r="G403" s="11"/>
      <c r="H403" s="10"/>
      <c r="I403" s="11"/>
      <c r="J403" s="10"/>
      <c r="K403" s="10"/>
      <c r="L403" s="10"/>
      <c r="M403" s="11"/>
      <c r="N403" s="8"/>
      <c r="O403" s="7" t="str">
        <f aca="false">IF(L403="","",IFERROR(VLOOKUP(L403,Paramètres!$F$5:$G$8,2,FALSE()),""))</f>
        <v/>
      </c>
      <c r="P403" s="9" t="str">
        <f aca="false">IF(OR(B403="",O403=""),"",IF(N403="",B403,N403)+O403)</f>
        <v/>
      </c>
      <c r="Q403" s="10"/>
      <c r="R403" s="8"/>
      <c r="S403" s="7" t="str">
        <f aca="false">IF(OR(B403="",R403=""),"",R403-B403)</f>
        <v/>
      </c>
      <c r="T403" s="7" t="str">
        <f aca="true">IF(OR(B403="",P403=""),"",IF(R403&lt;&gt;"",IF(R403&gt;P403,"Traité hors délai","Non"),IF(Q403="Classé sans suite","Non",IF(TODAY()&gt;P403,"OUI","Non"))))</f>
        <v/>
      </c>
      <c r="U403" s="11"/>
    </row>
    <row r="404" customFormat="false" ht="15" hidden="false" customHeight="false" outlineLevel="0" collapsed="false">
      <c r="A404" s="7" t="str">
        <f aca="false">IF(B404="","",YEAR(B404)&amp;"/"&amp;TEXT(ROW()-4,"0000"))</f>
        <v/>
      </c>
      <c r="B404" s="8"/>
      <c r="C404" s="7" t="str">
        <f aca="false">IF(B404="","",INT((B404-DATE(YEAR(B404-WEEKDAY(B404-1)+4),1,3)+WEEKDAY(DATE(YEAR(B404-WEEKDAY(B404-1)+4),1,3))+5)/7))</f>
        <v/>
      </c>
      <c r="D404" s="9" t="str">
        <f aca="false">IF(B404="","",B404-WEEKDAY(B404,2)+1)</f>
        <v/>
      </c>
      <c r="E404" s="10"/>
      <c r="F404" s="8"/>
      <c r="G404" s="11"/>
      <c r="H404" s="10"/>
      <c r="I404" s="11"/>
      <c r="J404" s="10"/>
      <c r="K404" s="10"/>
      <c r="L404" s="10"/>
      <c r="M404" s="11"/>
      <c r="N404" s="8"/>
      <c r="O404" s="7" t="str">
        <f aca="false">IF(L404="","",IFERROR(VLOOKUP(L404,Paramètres!$F$5:$G$8,2,FALSE()),""))</f>
        <v/>
      </c>
      <c r="P404" s="9" t="str">
        <f aca="false">IF(OR(B404="",O404=""),"",IF(N404="",B404,N404)+O404)</f>
        <v/>
      </c>
      <c r="Q404" s="10"/>
      <c r="R404" s="8"/>
      <c r="S404" s="7" t="str">
        <f aca="false">IF(OR(B404="",R404=""),"",R404-B404)</f>
        <v/>
      </c>
      <c r="T404" s="7" t="str">
        <f aca="true">IF(OR(B404="",P404=""),"",IF(R404&lt;&gt;"",IF(R404&gt;P404,"Traité hors délai","Non"),IF(Q404="Classé sans suite","Non",IF(TODAY()&gt;P404,"OUI","Non"))))</f>
        <v/>
      </c>
      <c r="U404" s="11"/>
    </row>
    <row r="405" customFormat="false" ht="15" hidden="false" customHeight="false" outlineLevel="0" collapsed="false">
      <c r="A405" s="7" t="str">
        <f aca="false">IF(B405="","",YEAR(B405)&amp;"/"&amp;TEXT(ROW()-4,"0000"))</f>
        <v/>
      </c>
      <c r="B405" s="8"/>
      <c r="C405" s="7" t="str">
        <f aca="false">IF(B405="","",INT((B405-DATE(YEAR(B405-WEEKDAY(B405-1)+4),1,3)+WEEKDAY(DATE(YEAR(B405-WEEKDAY(B405-1)+4),1,3))+5)/7))</f>
        <v/>
      </c>
      <c r="D405" s="9" t="str">
        <f aca="false">IF(B405="","",B405-WEEKDAY(B405,2)+1)</f>
        <v/>
      </c>
      <c r="E405" s="10"/>
      <c r="F405" s="8"/>
      <c r="G405" s="11"/>
      <c r="H405" s="10"/>
      <c r="I405" s="11"/>
      <c r="J405" s="10"/>
      <c r="K405" s="10"/>
      <c r="L405" s="10"/>
      <c r="M405" s="11"/>
      <c r="N405" s="8"/>
      <c r="O405" s="7" t="str">
        <f aca="false">IF(L405="","",IFERROR(VLOOKUP(L405,Paramètres!$F$5:$G$8,2,FALSE()),""))</f>
        <v/>
      </c>
      <c r="P405" s="9" t="str">
        <f aca="false">IF(OR(B405="",O405=""),"",IF(N405="",B405,N405)+O405)</f>
        <v/>
      </c>
      <c r="Q405" s="10"/>
      <c r="R405" s="8"/>
      <c r="S405" s="7" t="str">
        <f aca="false">IF(OR(B405="",R405=""),"",R405-B405)</f>
        <v/>
      </c>
      <c r="T405" s="7" t="str">
        <f aca="true">IF(OR(B405="",P405=""),"",IF(R405&lt;&gt;"",IF(R405&gt;P405,"Traité hors délai","Non"),IF(Q405="Classé sans suite","Non",IF(TODAY()&gt;P405,"OUI","Non"))))</f>
        <v/>
      </c>
      <c r="U405" s="11"/>
    </row>
    <row r="406" customFormat="false" ht="15" hidden="false" customHeight="false" outlineLevel="0" collapsed="false">
      <c r="A406" s="7" t="str">
        <f aca="false">IF(B406="","",YEAR(B406)&amp;"/"&amp;TEXT(ROW()-4,"0000"))</f>
        <v/>
      </c>
      <c r="B406" s="8"/>
      <c r="C406" s="7" t="str">
        <f aca="false">IF(B406="","",INT((B406-DATE(YEAR(B406-WEEKDAY(B406-1)+4),1,3)+WEEKDAY(DATE(YEAR(B406-WEEKDAY(B406-1)+4),1,3))+5)/7))</f>
        <v/>
      </c>
      <c r="D406" s="9" t="str">
        <f aca="false">IF(B406="","",B406-WEEKDAY(B406,2)+1)</f>
        <v/>
      </c>
      <c r="E406" s="10"/>
      <c r="F406" s="8"/>
      <c r="G406" s="11"/>
      <c r="H406" s="10"/>
      <c r="I406" s="11"/>
      <c r="J406" s="10"/>
      <c r="K406" s="10"/>
      <c r="L406" s="10"/>
      <c r="M406" s="11"/>
      <c r="N406" s="8"/>
      <c r="O406" s="7" t="str">
        <f aca="false">IF(L406="","",IFERROR(VLOOKUP(L406,Paramètres!$F$5:$G$8,2,FALSE()),""))</f>
        <v/>
      </c>
      <c r="P406" s="9" t="str">
        <f aca="false">IF(OR(B406="",O406=""),"",IF(N406="",B406,N406)+O406)</f>
        <v/>
      </c>
      <c r="Q406" s="10"/>
      <c r="R406" s="8"/>
      <c r="S406" s="7" t="str">
        <f aca="false">IF(OR(B406="",R406=""),"",R406-B406)</f>
        <v/>
      </c>
      <c r="T406" s="7" t="str">
        <f aca="true">IF(OR(B406="",P406=""),"",IF(R406&lt;&gt;"",IF(R406&gt;P406,"Traité hors délai","Non"),IF(Q406="Classé sans suite","Non",IF(TODAY()&gt;P406,"OUI","Non"))))</f>
        <v/>
      </c>
      <c r="U406" s="11"/>
    </row>
    <row r="407" customFormat="false" ht="15" hidden="false" customHeight="false" outlineLevel="0" collapsed="false">
      <c r="A407" s="7" t="str">
        <f aca="false">IF(B407="","",YEAR(B407)&amp;"/"&amp;TEXT(ROW()-4,"0000"))</f>
        <v/>
      </c>
      <c r="B407" s="8"/>
      <c r="C407" s="7" t="str">
        <f aca="false">IF(B407="","",INT((B407-DATE(YEAR(B407-WEEKDAY(B407-1)+4),1,3)+WEEKDAY(DATE(YEAR(B407-WEEKDAY(B407-1)+4),1,3))+5)/7))</f>
        <v/>
      </c>
      <c r="D407" s="9" t="str">
        <f aca="false">IF(B407="","",B407-WEEKDAY(B407,2)+1)</f>
        <v/>
      </c>
      <c r="E407" s="10"/>
      <c r="F407" s="8"/>
      <c r="G407" s="11"/>
      <c r="H407" s="10"/>
      <c r="I407" s="11"/>
      <c r="J407" s="10"/>
      <c r="K407" s="10"/>
      <c r="L407" s="10"/>
      <c r="M407" s="11"/>
      <c r="N407" s="8"/>
      <c r="O407" s="7" t="str">
        <f aca="false">IF(L407="","",IFERROR(VLOOKUP(L407,Paramètres!$F$5:$G$8,2,FALSE()),""))</f>
        <v/>
      </c>
      <c r="P407" s="9" t="str">
        <f aca="false">IF(OR(B407="",O407=""),"",IF(N407="",B407,N407)+O407)</f>
        <v/>
      </c>
      <c r="Q407" s="10"/>
      <c r="R407" s="8"/>
      <c r="S407" s="7" t="str">
        <f aca="false">IF(OR(B407="",R407=""),"",R407-B407)</f>
        <v/>
      </c>
      <c r="T407" s="7" t="str">
        <f aca="true">IF(OR(B407="",P407=""),"",IF(R407&lt;&gt;"",IF(R407&gt;P407,"Traité hors délai","Non"),IF(Q407="Classé sans suite","Non",IF(TODAY()&gt;P407,"OUI","Non"))))</f>
        <v/>
      </c>
      <c r="U407" s="11"/>
    </row>
    <row r="408" customFormat="false" ht="15" hidden="false" customHeight="false" outlineLevel="0" collapsed="false">
      <c r="A408" s="7" t="str">
        <f aca="false">IF(B408="","",YEAR(B408)&amp;"/"&amp;TEXT(ROW()-4,"0000"))</f>
        <v/>
      </c>
      <c r="B408" s="8"/>
      <c r="C408" s="7" t="str">
        <f aca="false">IF(B408="","",INT((B408-DATE(YEAR(B408-WEEKDAY(B408-1)+4),1,3)+WEEKDAY(DATE(YEAR(B408-WEEKDAY(B408-1)+4),1,3))+5)/7))</f>
        <v/>
      </c>
      <c r="D408" s="9" t="str">
        <f aca="false">IF(B408="","",B408-WEEKDAY(B408,2)+1)</f>
        <v/>
      </c>
      <c r="E408" s="10"/>
      <c r="F408" s="8"/>
      <c r="G408" s="11"/>
      <c r="H408" s="10"/>
      <c r="I408" s="11"/>
      <c r="J408" s="10"/>
      <c r="K408" s="10"/>
      <c r="L408" s="10"/>
      <c r="M408" s="11"/>
      <c r="N408" s="8"/>
      <c r="O408" s="7" t="str">
        <f aca="false">IF(L408="","",IFERROR(VLOOKUP(L408,Paramètres!$F$5:$G$8,2,FALSE()),""))</f>
        <v/>
      </c>
      <c r="P408" s="9" t="str">
        <f aca="false">IF(OR(B408="",O408=""),"",IF(N408="",B408,N408)+O408)</f>
        <v/>
      </c>
      <c r="Q408" s="10"/>
      <c r="R408" s="8"/>
      <c r="S408" s="7" t="str">
        <f aca="false">IF(OR(B408="",R408=""),"",R408-B408)</f>
        <v/>
      </c>
      <c r="T408" s="7" t="str">
        <f aca="true">IF(OR(B408="",P408=""),"",IF(R408&lt;&gt;"",IF(R408&gt;P408,"Traité hors délai","Non"),IF(Q408="Classé sans suite","Non",IF(TODAY()&gt;P408,"OUI","Non"))))</f>
        <v/>
      </c>
      <c r="U408" s="11"/>
    </row>
    <row r="409" customFormat="false" ht="15" hidden="false" customHeight="false" outlineLevel="0" collapsed="false">
      <c r="A409" s="7" t="str">
        <f aca="false">IF(B409="","",YEAR(B409)&amp;"/"&amp;TEXT(ROW()-4,"0000"))</f>
        <v/>
      </c>
      <c r="B409" s="8"/>
      <c r="C409" s="7" t="str">
        <f aca="false">IF(B409="","",INT((B409-DATE(YEAR(B409-WEEKDAY(B409-1)+4),1,3)+WEEKDAY(DATE(YEAR(B409-WEEKDAY(B409-1)+4),1,3))+5)/7))</f>
        <v/>
      </c>
      <c r="D409" s="9" t="str">
        <f aca="false">IF(B409="","",B409-WEEKDAY(B409,2)+1)</f>
        <v/>
      </c>
      <c r="E409" s="10"/>
      <c r="F409" s="8"/>
      <c r="G409" s="11"/>
      <c r="H409" s="10"/>
      <c r="I409" s="11"/>
      <c r="J409" s="10"/>
      <c r="K409" s="10"/>
      <c r="L409" s="10"/>
      <c r="M409" s="11"/>
      <c r="N409" s="8"/>
      <c r="O409" s="7" t="str">
        <f aca="false">IF(L409="","",IFERROR(VLOOKUP(L409,Paramètres!$F$5:$G$8,2,FALSE()),""))</f>
        <v/>
      </c>
      <c r="P409" s="9" t="str">
        <f aca="false">IF(OR(B409="",O409=""),"",IF(N409="",B409,N409)+O409)</f>
        <v/>
      </c>
      <c r="Q409" s="10"/>
      <c r="R409" s="8"/>
      <c r="S409" s="7" t="str">
        <f aca="false">IF(OR(B409="",R409=""),"",R409-B409)</f>
        <v/>
      </c>
      <c r="T409" s="7" t="str">
        <f aca="true">IF(OR(B409="",P409=""),"",IF(R409&lt;&gt;"",IF(R409&gt;P409,"Traité hors délai","Non"),IF(Q409="Classé sans suite","Non",IF(TODAY()&gt;P409,"OUI","Non"))))</f>
        <v/>
      </c>
      <c r="U409" s="11"/>
    </row>
    <row r="410" customFormat="false" ht="15" hidden="false" customHeight="false" outlineLevel="0" collapsed="false">
      <c r="A410" s="7" t="str">
        <f aca="false">IF(B410="","",YEAR(B410)&amp;"/"&amp;TEXT(ROW()-4,"0000"))</f>
        <v/>
      </c>
      <c r="B410" s="8"/>
      <c r="C410" s="7" t="str">
        <f aca="false">IF(B410="","",INT((B410-DATE(YEAR(B410-WEEKDAY(B410-1)+4),1,3)+WEEKDAY(DATE(YEAR(B410-WEEKDAY(B410-1)+4),1,3))+5)/7))</f>
        <v/>
      </c>
      <c r="D410" s="9" t="str">
        <f aca="false">IF(B410="","",B410-WEEKDAY(B410,2)+1)</f>
        <v/>
      </c>
      <c r="E410" s="10"/>
      <c r="F410" s="8"/>
      <c r="G410" s="11"/>
      <c r="H410" s="10"/>
      <c r="I410" s="11"/>
      <c r="J410" s="10"/>
      <c r="K410" s="10"/>
      <c r="L410" s="10"/>
      <c r="M410" s="11"/>
      <c r="N410" s="8"/>
      <c r="O410" s="7" t="str">
        <f aca="false">IF(L410="","",IFERROR(VLOOKUP(L410,Paramètres!$F$5:$G$8,2,FALSE()),""))</f>
        <v/>
      </c>
      <c r="P410" s="9" t="str">
        <f aca="false">IF(OR(B410="",O410=""),"",IF(N410="",B410,N410)+O410)</f>
        <v/>
      </c>
      <c r="Q410" s="10"/>
      <c r="R410" s="8"/>
      <c r="S410" s="7" t="str">
        <f aca="false">IF(OR(B410="",R410=""),"",R410-B410)</f>
        <v/>
      </c>
      <c r="T410" s="7" t="str">
        <f aca="true">IF(OR(B410="",P410=""),"",IF(R410&lt;&gt;"",IF(R410&gt;P410,"Traité hors délai","Non"),IF(Q410="Classé sans suite","Non",IF(TODAY()&gt;P410,"OUI","Non"))))</f>
        <v/>
      </c>
      <c r="U410" s="11"/>
    </row>
    <row r="411" customFormat="false" ht="15" hidden="false" customHeight="false" outlineLevel="0" collapsed="false">
      <c r="A411" s="7" t="str">
        <f aca="false">IF(B411="","",YEAR(B411)&amp;"/"&amp;TEXT(ROW()-4,"0000"))</f>
        <v/>
      </c>
      <c r="B411" s="8"/>
      <c r="C411" s="7" t="str">
        <f aca="false">IF(B411="","",INT((B411-DATE(YEAR(B411-WEEKDAY(B411-1)+4),1,3)+WEEKDAY(DATE(YEAR(B411-WEEKDAY(B411-1)+4),1,3))+5)/7))</f>
        <v/>
      </c>
      <c r="D411" s="9" t="str">
        <f aca="false">IF(B411="","",B411-WEEKDAY(B411,2)+1)</f>
        <v/>
      </c>
      <c r="E411" s="10"/>
      <c r="F411" s="8"/>
      <c r="G411" s="11"/>
      <c r="H411" s="10"/>
      <c r="I411" s="11"/>
      <c r="J411" s="10"/>
      <c r="K411" s="10"/>
      <c r="L411" s="10"/>
      <c r="M411" s="11"/>
      <c r="N411" s="8"/>
      <c r="O411" s="7" t="str">
        <f aca="false">IF(L411="","",IFERROR(VLOOKUP(L411,Paramètres!$F$5:$G$8,2,FALSE()),""))</f>
        <v/>
      </c>
      <c r="P411" s="9" t="str">
        <f aca="false">IF(OR(B411="",O411=""),"",IF(N411="",B411,N411)+O411)</f>
        <v/>
      </c>
      <c r="Q411" s="10"/>
      <c r="R411" s="8"/>
      <c r="S411" s="7" t="str">
        <f aca="false">IF(OR(B411="",R411=""),"",R411-B411)</f>
        <v/>
      </c>
      <c r="T411" s="7" t="str">
        <f aca="true">IF(OR(B411="",P411=""),"",IF(R411&lt;&gt;"",IF(R411&gt;P411,"Traité hors délai","Non"),IF(Q411="Classé sans suite","Non",IF(TODAY()&gt;P411,"OUI","Non"))))</f>
        <v/>
      </c>
      <c r="U411" s="11"/>
    </row>
    <row r="412" customFormat="false" ht="15" hidden="false" customHeight="false" outlineLevel="0" collapsed="false">
      <c r="A412" s="7" t="str">
        <f aca="false">IF(B412="","",YEAR(B412)&amp;"/"&amp;TEXT(ROW()-4,"0000"))</f>
        <v/>
      </c>
      <c r="B412" s="8"/>
      <c r="C412" s="7" t="str">
        <f aca="false">IF(B412="","",INT((B412-DATE(YEAR(B412-WEEKDAY(B412-1)+4),1,3)+WEEKDAY(DATE(YEAR(B412-WEEKDAY(B412-1)+4),1,3))+5)/7))</f>
        <v/>
      </c>
      <c r="D412" s="9" t="str">
        <f aca="false">IF(B412="","",B412-WEEKDAY(B412,2)+1)</f>
        <v/>
      </c>
      <c r="E412" s="10"/>
      <c r="F412" s="8"/>
      <c r="G412" s="11"/>
      <c r="H412" s="10"/>
      <c r="I412" s="11"/>
      <c r="J412" s="10"/>
      <c r="K412" s="10"/>
      <c r="L412" s="10"/>
      <c r="M412" s="11"/>
      <c r="N412" s="8"/>
      <c r="O412" s="7" t="str">
        <f aca="false">IF(L412="","",IFERROR(VLOOKUP(L412,Paramètres!$F$5:$G$8,2,FALSE()),""))</f>
        <v/>
      </c>
      <c r="P412" s="9" t="str">
        <f aca="false">IF(OR(B412="",O412=""),"",IF(N412="",B412,N412)+O412)</f>
        <v/>
      </c>
      <c r="Q412" s="10"/>
      <c r="R412" s="8"/>
      <c r="S412" s="7" t="str">
        <f aca="false">IF(OR(B412="",R412=""),"",R412-B412)</f>
        <v/>
      </c>
      <c r="T412" s="7" t="str">
        <f aca="true">IF(OR(B412="",P412=""),"",IF(R412&lt;&gt;"",IF(R412&gt;P412,"Traité hors délai","Non"),IF(Q412="Classé sans suite","Non",IF(TODAY()&gt;P412,"OUI","Non"))))</f>
        <v/>
      </c>
      <c r="U412" s="11"/>
    </row>
    <row r="413" customFormat="false" ht="15" hidden="false" customHeight="false" outlineLevel="0" collapsed="false">
      <c r="A413" s="7" t="str">
        <f aca="false">IF(B413="","",YEAR(B413)&amp;"/"&amp;TEXT(ROW()-4,"0000"))</f>
        <v/>
      </c>
      <c r="B413" s="8"/>
      <c r="C413" s="7" t="str">
        <f aca="false">IF(B413="","",INT((B413-DATE(YEAR(B413-WEEKDAY(B413-1)+4),1,3)+WEEKDAY(DATE(YEAR(B413-WEEKDAY(B413-1)+4),1,3))+5)/7))</f>
        <v/>
      </c>
      <c r="D413" s="9" t="str">
        <f aca="false">IF(B413="","",B413-WEEKDAY(B413,2)+1)</f>
        <v/>
      </c>
      <c r="E413" s="10"/>
      <c r="F413" s="8"/>
      <c r="G413" s="11"/>
      <c r="H413" s="10"/>
      <c r="I413" s="11"/>
      <c r="J413" s="10"/>
      <c r="K413" s="10"/>
      <c r="L413" s="10"/>
      <c r="M413" s="11"/>
      <c r="N413" s="8"/>
      <c r="O413" s="7" t="str">
        <f aca="false">IF(L413="","",IFERROR(VLOOKUP(L413,Paramètres!$F$5:$G$8,2,FALSE()),""))</f>
        <v/>
      </c>
      <c r="P413" s="9" t="str">
        <f aca="false">IF(OR(B413="",O413=""),"",IF(N413="",B413,N413)+O413)</f>
        <v/>
      </c>
      <c r="Q413" s="10"/>
      <c r="R413" s="8"/>
      <c r="S413" s="7" t="str">
        <f aca="false">IF(OR(B413="",R413=""),"",R413-B413)</f>
        <v/>
      </c>
      <c r="T413" s="7" t="str">
        <f aca="true">IF(OR(B413="",P413=""),"",IF(R413&lt;&gt;"",IF(R413&gt;P413,"Traité hors délai","Non"),IF(Q413="Classé sans suite","Non",IF(TODAY()&gt;P413,"OUI","Non"))))</f>
        <v/>
      </c>
      <c r="U413" s="11"/>
    </row>
    <row r="414" customFormat="false" ht="15" hidden="false" customHeight="false" outlineLevel="0" collapsed="false">
      <c r="A414" s="7" t="str">
        <f aca="false">IF(B414="","",YEAR(B414)&amp;"/"&amp;TEXT(ROW()-4,"0000"))</f>
        <v/>
      </c>
      <c r="B414" s="8"/>
      <c r="C414" s="7" t="str">
        <f aca="false">IF(B414="","",INT((B414-DATE(YEAR(B414-WEEKDAY(B414-1)+4),1,3)+WEEKDAY(DATE(YEAR(B414-WEEKDAY(B414-1)+4),1,3))+5)/7))</f>
        <v/>
      </c>
      <c r="D414" s="9" t="str">
        <f aca="false">IF(B414="","",B414-WEEKDAY(B414,2)+1)</f>
        <v/>
      </c>
      <c r="E414" s="10"/>
      <c r="F414" s="8"/>
      <c r="G414" s="11"/>
      <c r="H414" s="10"/>
      <c r="I414" s="11"/>
      <c r="J414" s="10"/>
      <c r="K414" s="10"/>
      <c r="L414" s="10"/>
      <c r="M414" s="11"/>
      <c r="N414" s="8"/>
      <c r="O414" s="7" t="str">
        <f aca="false">IF(L414="","",IFERROR(VLOOKUP(L414,Paramètres!$F$5:$G$8,2,FALSE()),""))</f>
        <v/>
      </c>
      <c r="P414" s="9" t="str">
        <f aca="false">IF(OR(B414="",O414=""),"",IF(N414="",B414,N414)+O414)</f>
        <v/>
      </c>
      <c r="Q414" s="10"/>
      <c r="R414" s="8"/>
      <c r="S414" s="7" t="str">
        <f aca="false">IF(OR(B414="",R414=""),"",R414-B414)</f>
        <v/>
      </c>
      <c r="T414" s="7" t="str">
        <f aca="true">IF(OR(B414="",P414=""),"",IF(R414&lt;&gt;"",IF(R414&gt;P414,"Traité hors délai","Non"),IF(Q414="Classé sans suite","Non",IF(TODAY()&gt;P414,"OUI","Non"))))</f>
        <v/>
      </c>
      <c r="U414" s="11"/>
    </row>
    <row r="415" customFormat="false" ht="15" hidden="false" customHeight="false" outlineLevel="0" collapsed="false">
      <c r="A415" s="7" t="str">
        <f aca="false">IF(B415="","",YEAR(B415)&amp;"/"&amp;TEXT(ROW()-4,"0000"))</f>
        <v/>
      </c>
      <c r="B415" s="8"/>
      <c r="C415" s="7" t="str">
        <f aca="false">IF(B415="","",INT((B415-DATE(YEAR(B415-WEEKDAY(B415-1)+4),1,3)+WEEKDAY(DATE(YEAR(B415-WEEKDAY(B415-1)+4),1,3))+5)/7))</f>
        <v/>
      </c>
      <c r="D415" s="9" t="str">
        <f aca="false">IF(B415="","",B415-WEEKDAY(B415,2)+1)</f>
        <v/>
      </c>
      <c r="E415" s="10"/>
      <c r="F415" s="8"/>
      <c r="G415" s="11"/>
      <c r="H415" s="10"/>
      <c r="I415" s="11"/>
      <c r="J415" s="10"/>
      <c r="K415" s="10"/>
      <c r="L415" s="10"/>
      <c r="M415" s="11"/>
      <c r="N415" s="8"/>
      <c r="O415" s="7" t="str">
        <f aca="false">IF(L415="","",IFERROR(VLOOKUP(L415,Paramètres!$F$5:$G$8,2,FALSE()),""))</f>
        <v/>
      </c>
      <c r="P415" s="9" t="str">
        <f aca="false">IF(OR(B415="",O415=""),"",IF(N415="",B415,N415)+O415)</f>
        <v/>
      </c>
      <c r="Q415" s="10"/>
      <c r="R415" s="8"/>
      <c r="S415" s="7" t="str">
        <f aca="false">IF(OR(B415="",R415=""),"",R415-B415)</f>
        <v/>
      </c>
      <c r="T415" s="7" t="str">
        <f aca="true">IF(OR(B415="",P415=""),"",IF(R415&lt;&gt;"",IF(R415&gt;P415,"Traité hors délai","Non"),IF(Q415="Classé sans suite","Non",IF(TODAY()&gt;P415,"OUI","Non"))))</f>
        <v/>
      </c>
      <c r="U415" s="11"/>
    </row>
    <row r="416" customFormat="false" ht="15" hidden="false" customHeight="false" outlineLevel="0" collapsed="false">
      <c r="A416" s="7" t="str">
        <f aca="false">IF(B416="","",YEAR(B416)&amp;"/"&amp;TEXT(ROW()-4,"0000"))</f>
        <v/>
      </c>
      <c r="B416" s="8"/>
      <c r="C416" s="7" t="str">
        <f aca="false">IF(B416="","",INT((B416-DATE(YEAR(B416-WEEKDAY(B416-1)+4),1,3)+WEEKDAY(DATE(YEAR(B416-WEEKDAY(B416-1)+4),1,3))+5)/7))</f>
        <v/>
      </c>
      <c r="D416" s="9" t="str">
        <f aca="false">IF(B416="","",B416-WEEKDAY(B416,2)+1)</f>
        <v/>
      </c>
      <c r="E416" s="10"/>
      <c r="F416" s="8"/>
      <c r="G416" s="11"/>
      <c r="H416" s="10"/>
      <c r="I416" s="11"/>
      <c r="J416" s="10"/>
      <c r="K416" s="10"/>
      <c r="L416" s="10"/>
      <c r="M416" s="11"/>
      <c r="N416" s="8"/>
      <c r="O416" s="7" t="str">
        <f aca="false">IF(L416="","",IFERROR(VLOOKUP(L416,Paramètres!$F$5:$G$8,2,FALSE()),""))</f>
        <v/>
      </c>
      <c r="P416" s="9" t="str">
        <f aca="false">IF(OR(B416="",O416=""),"",IF(N416="",B416,N416)+O416)</f>
        <v/>
      </c>
      <c r="Q416" s="10"/>
      <c r="R416" s="8"/>
      <c r="S416" s="7" t="str">
        <f aca="false">IF(OR(B416="",R416=""),"",R416-B416)</f>
        <v/>
      </c>
      <c r="T416" s="7" t="str">
        <f aca="true">IF(OR(B416="",P416=""),"",IF(R416&lt;&gt;"",IF(R416&gt;P416,"Traité hors délai","Non"),IF(Q416="Classé sans suite","Non",IF(TODAY()&gt;P416,"OUI","Non"))))</f>
        <v/>
      </c>
      <c r="U416" s="11"/>
    </row>
    <row r="417" customFormat="false" ht="15" hidden="false" customHeight="false" outlineLevel="0" collapsed="false">
      <c r="A417" s="7" t="str">
        <f aca="false">IF(B417="","",YEAR(B417)&amp;"/"&amp;TEXT(ROW()-4,"0000"))</f>
        <v/>
      </c>
      <c r="B417" s="8"/>
      <c r="C417" s="7" t="str">
        <f aca="false">IF(B417="","",INT((B417-DATE(YEAR(B417-WEEKDAY(B417-1)+4),1,3)+WEEKDAY(DATE(YEAR(B417-WEEKDAY(B417-1)+4),1,3))+5)/7))</f>
        <v/>
      </c>
      <c r="D417" s="9" t="str">
        <f aca="false">IF(B417="","",B417-WEEKDAY(B417,2)+1)</f>
        <v/>
      </c>
      <c r="E417" s="10"/>
      <c r="F417" s="8"/>
      <c r="G417" s="11"/>
      <c r="H417" s="10"/>
      <c r="I417" s="11"/>
      <c r="J417" s="10"/>
      <c r="K417" s="10"/>
      <c r="L417" s="10"/>
      <c r="M417" s="11"/>
      <c r="N417" s="8"/>
      <c r="O417" s="7" t="str">
        <f aca="false">IF(L417="","",IFERROR(VLOOKUP(L417,Paramètres!$F$5:$G$8,2,FALSE()),""))</f>
        <v/>
      </c>
      <c r="P417" s="9" t="str">
        <f aca="false">IF(OR(B417="",O417=""),"",IF(N417="",B417,N417)+O417)</f>
        <v/>
      </c>
      <c r="Q417" s="10"/>
      <c r="R417" s="8"/>
      <c r="S417" s="7" t="str">
        <f aca="false">IF(OR(B417="",R417=""),"",R417-B417)</f>
        <v/>
      </c>
      <c r="T417" s="7" t="str">
        <f aca="true">IF(OR(B417="",P417=""),"",IF(R417&lt;&gt;"",IF(R417&gt;P417,"Traité hors délai","Non"),IF(Q417="Classé sans suite","Non",IF(TODAY()&gt;P417,"OUI","Non"))))</f>
        <v/>
      </c>
      <c r="U417" s="11"/>
    </row>
    <row r="418" customFormat="false" ht="15" hidden="false" customHeight="false" outlineLevel="0" collapsed="false">
      <c r="A418" s="7" t="str">
        <f aca="false">IF(B418="","",YEAR(B418)&amp;"/"&amp;TEXT(ROW()-4,"0000"))</f>
        <v/>
      </c>
      <c r="B418" s="8"/>
      <c r="C418" s="7" t="str">
        <f aca="false">IF(B418="","",INT((B418-DATE(YEAR(B418-WEEKDAY(B418-1)+4),1,3)+WEEKDAY(DATE(YEAR(B418-WEEKDAY(B418-1)+4),1,3))+5)/7))</f>
        <v/>
      </c>
      <c r="D418" s="9" t="str">
        <f aca="false">IF(B418="","",B418-WEEKDAY(B418,2)+1)</f>
        <v/>
      </c>
      <c r="E418" s="10"/>
      <c r="F418" s="8"/>
      <c r="G418" s="11"/>
      <c r="H418" s="10"/>
      <c r="I418" s="11"/>
      <c r="J418" s="10"/>
      <c r="K418" s="10"/>
      <c r="L418" s="10"/>
      <c r="M418" s="11"/>
      <c r="N418" s="8"/>
      <c r="O418" s="7" t="str">
        <f aca="false">IF(L418="","",IFERROR(VLOOKUP(L418,Paramètres!$F$5:$G$8,2,FALSE()),""))</f>
        <v/>
      </c>
      <c r="P418" s="9" t="str">
        <f aca="false">IF(OR(B418="",O418=""),"",IF(N418="",B418,N418)+O418)</f>
        <v/>
      </c>
      <c r="Q418" s="10"/>
      <c r="R418" s="8"/>
      <c r="S418" s="7" t="str">
        <f aca="false">IF(OR(B418="",R418=""),"",R418-B418)</f>
        <v/>
      </c>
      <c r="T418" s="7" t="str">
        <f aca="true">IF(OR(B418="",P418=""),"",IF(R418&lt;&gt;"",IF(R418&gt;P418,"Traité hors délai","Non"),IF(Q418="Classé sans suite","Non",IF(TODAY()&gt;P418,"OUI","Non"))))</f>
        <v/>
      </c>
      <c r="U418" s="11"/>
    </row>
    <row r="419" customFormat="false" ht="15" hidden="false" customHeight="false" outlineLevel="0" collapsed="false">
      <c r="A419" s="7" t="str">
        <f aca="false">IF(B419="","",YEAR(B419)&amp;"/"&amp;TEXT(ROW()-4,"0000"))</f>
        <v/>
      </c>
      <c r="B419" s="8"/>
      <c r="C419" s="7" t="str">
        <f aca="false">IF(B419="","",INT((B419-DATE(YEAR(B419-WEEKDAY(B419-1)+4),1,3)+WEEKDAY(DATE(YEAR(B419-WEEKDAY(B419-1)+4),1,3))+5)/7))</f>
        <v/>
      </c>
      <c r="D419" s="9" t="str">
        <f aca="false">IF(B419="","",B419-WEEKDAY(B419,2)+1)</f>
        <v/>
      </c>
      <c r="E419" s="10"/>
      <c r="F419" s="8"/>
      <c r="G419" s="11"/>
      <c r="H419" s="10"/>
      <c r="I419" s="11"/>
      <c r="J419" s="10"/>
      <c r="K419" s="10"/>
      <c r="L419" s="10"/>
      <c r="M419" s="11"/>
      <c r="N419" s="8"/>
      <c r="O419" s="7" t="str">
        <f aca="false">IF(L419="","",IFERROR(VLOOKUP(L419,Paramètres!$F$5:$G$8,2,FALSE()),""))</f>
        <v/>
      </c>
      <c r="P419" s="9" t="str">
        <f aca="false">IF(OR(B419="",O419=""),"",IF(N419="",B419,N419)+O419)</f>
        <v/>
      </c>
      <c r="Q419" s="10"/>
      <c r="R419" s="8"/>
      <c r="S419" s="7" t="str">
        <f aca="false">IF(OR(B419="",R419=""),"",R419-B419)</f>
        <v/>
      </c>
      <c r="T419" s="7" t="str">
        <f aca="true">IF(OR(B419="",P419=""),"",IF(R419&lt;&gt;"",IF(R419&gt;P419,"Traité hors délai","Non"),IF(Q419="Classé sans suite","Non",IF(TODAY()&gt;P419,"OUI","Non"))))</f>
        <v/>
      </c>
      <c r="U419" s="11"/>
    </row>
    <row r="420" customFormat="false" ht="15" hidden="false" customHeight="false" outlineLevel="0" collapsed="false">
      <c r="A420" s="7" t="str">
        <f aca="false">IF(B420="","",YEAR(B420)&amp;"/"&amp;TEXT(ROW()-4,"0000"))</f>
        <v/>
      </c>
      <c r="B420" s="8"/>
      <c r="C420" s="7" t="str">
        <f aca="false">IF(B420="","",INT((B420-DATE(YEAR(B420-WEEKDAY(B420-1)+4),1,3)+WEEKDAY(DATE(YEAR(B420-WEEKDAY(B420-1)+4),1,3))+5)/7))</f>
        <v/>
      </c>
      <c r="D420" s="9" t="str">
        <f aca="false">IF(B420="","",B420-WEEKDAY(B420,2)+1)</f>
        <v/>
      </c>
      <c r="E420" s="10"/>
      <c r="F420" s="8"/>
      <c r="G420" s="11"/>
      <c r="H420" s="10"/>
      <c r="I420" s="11"/>
      <c r="J420" s="10"/>
      <c r="K420" s="10"/>
      <c r="L420" s="10"/>
      <c r="M420" s="11"/>
      <c r="N420" s="8"/>
      <c r="O420" s="7" t="str">
        <f aca="false">IF(L420="","",IFERROR(VLOOKUP(L420,Paramètres!$F$5:$G$8,2,FALSE()),""))</f>
        <v/>
      </c>
      <c r="P420" s="9" t="str">
        <f aca="false">IF(OR(B420="",O420=""),"",IF(N420="",B420,N420)+O420)</f>
        <v/>
      </c>
      <c r="Q420" s="10"/>
      <c r="R420" s="8"/>
      <c r="S420" s="7" t="str">
        <f aca="false">IF(OR(B420="",R420=""),"",R420-B420)</f>
        <v/>
      </c>
      <c r="T420" s="7" t="str">
        <f aca="true">IF(OR(B420="",P420=""),"",IF(R420&lt;&gt;"",IF(R420&gt;P420,"Traité hors délai","Non"),IF(Q420="Classé sans suite","Non",IF(TODAY()&gt;P420,"OUI","Non"))))</f>
        <v/>
      </c>
      <c r="U420" s="11"/>
    </row>
    <row r="421" customFormat="false" ht="15" hidden="false" customHeight="false" outlineLevel="0" collapsed="false">
      <c r="A421" s="7" t="str">
        <f aca="false">IF(B421="","",YEAR(B421)&amp;"/"&amp;TEXT(ROW()-4,"0000"))</f>
        <v/>
      </c>
      <c r="B421" s="8"/>
      <c r="C421" s="7" t="str">
        <f aca="false">IF(B421="","",INT((B421-DATE(YEAR(B421-WEEKDAY(B421-1)+4),1,3)+WEEKDAY(DATE(YEAR(B421-WEEKDAY(B421-1)+4),1,3))+5)/7))</f>
        <v/>
      </c>
      <c r="D421" s="9" t="str">
        <f aca="false">IF(B421="","",B421-WEEKDAY(B421,2)+1)</f>
        <v/>
      </c>
      <c r="E421" s="10"/>
      <c r="F421" s="8"/>
      <c r="G421" s="11"/>
      <c r="H421" s="10"/>
      <c r="I421" s="11"/>
      <c r="J421" s="10"/>
      <c r="K421" s="10"/>
      <c r="L421" s="10"/>
      <c r="M421" s="11"/>
      <c r="N421" s="8"/>
      <c r="O421" s="7" t="str">
        <f aca="false">IF(L421="","",IFERROR(VLOOKUP(L421,Paramètres!$F$5:$G$8,2,FALSE()),""))</f>
        <v/>
      </c>
      <c r="P421" s="9" t="str">
        <f aca="false">IF(OR(B421="",O421=""),"",IF(N421="",B421,N421)+O421)</f>
        <v/>
      </c>
      <c r="Q421" s="10"/>
      <c r="R421" s="8"/>
      <c r="S421" s="7" t="str">
        <f aca="false">IF(OR(B421="",R421=""),"",R421-B421)</f>
        <v/>
      </c>
      <c r="T421" s="7" t="str">
        <f aca="true">IF(OR(B421="",P421=""),"",IF(R421&lt;&gt;"",IF(R421&gt;P421,"Traité hors délai","Non"),IF(Q421="Classé sans suite","Non",IF(TODAY()&gt;P421,"OUI","Non"))))</f>
        <v/>
      </c>
      <c r="U421" s="11"/>
    </row>
    <row r="422" customFormat="false" ht="15" hidden="false" customHeight="false" outlineLevel="0" collapsed="false">
      <c r="A422" s="7" t="str">
        <f aca="false">IF(B422="","",YEAR(B422)&amp;"/"&amp;TEXT(ROW()-4,"0000"))</f>
        <v/>
      </c>
      <c r="B422" s="8"/>
      <c r="C422" s="7" t="str">
        <f aca="false">IF(B422="","",INT((B422-DATE(YEAR(B422-WEEKDAY(B422-1)+4),1,3)+WEEKDAY(DATE(YEAR(B422-WEEKDAY(B422-1)+4),1,3))+5)/7))</f>
        <v/>
      </c>
      <c r="D422" s="9" t="str">
        <f aca="false">IF(B422="","",B422-WEEKDAY(B422,2)+1)</f>
        <v/>
      </c>
      <c r="E422" s="10"/>
      <c r="F422" s="8"/>
      <c r="G422" s="11"/>
      <c r="H422" s="10"/>
      <c r="I422" s="11"/>
      <c r="J422" s="10"/>
      <c r="K422" s="10"/>
      <c r="L422" s="10"/>
      <c r="M422" s="11"/>
      <c r="N422" s="8"/>
      <c r="O422" s="7" t="str">
        <f aca="false">IF(L422="","",IFERROR(VLOOKUP(L422,Paramètres!$F$5:$G$8,2,FALSE()),""))</f>
        <v/>
      </c>
      <c r="P422" s="9" t="str">
        <f aca="false">IF(OR(B422="",O422=""),"",IF(N422="",B422,N422)+O422)</f>
        <v/>
      </c>
      <c r="Q422" s="10"/>
      <c r="R422" s="8"/>
      <c r="S422" s="7" t="str">
        <f aca="false">IF(OR(B422="",R422=""),"",R422-B422)</f>
        <v/>
      </c>
      <c r="T422" s="7" t="str">
        <f aca="true">IF(OR(B422="",P422=""),"",IF(R422&lt;&gt;"",IF(R422&gt;P422,"Traité hors délai","Non"),IF(Q422="Classé sans suite","Non",IF(TODAY()&gt;P422,"OUI","Non"))))</f>
        <v/>
      </c>
      <c r="U422" s="11"/>
    </row>
    <row r="423" customFormat="false" ht="15" hidden="false" customHeight="false" outlineLevel="0" collapsed="false">
      <c r="A423" s="7" t="str">
        <f aca="false">IF(B423="","",YEAR(B423)&amp;"/"&amp;TEXT(ROW()-4,"0000"))</f>
        <v/>
      </c>
      <c r="B423" s="8"/>
      <c r="C423" s="7" t="str">
        <f aca="false">IF(B423="","",INT((B423-DATE(YEAR(B423-WEEKDAY(B423-1)+4),1,3)+WEEKDAY(DATE(YEAR(B423-WEEKDAY(B423-1)+4),1,3))+5)/7))</f>
        <v/>
      </c>
      <c r="D423" s="9" t="str">
        <f aca="false">IF(B423="","",B423-WEEKDAY(B423,2)+1)</f>
        <v/>
      </c>
      <c r="E423" s="10"/>
      <c r="F423" s="8"/>
      <c r="G423" s="11"/>
      <c r="H423" s="10"/>
      <c r="I423" s="11"/>
      <c r="J423" s="10"/>
      <c r="K423" s="10"/>
      <c r="L423" s="10"/>
      <c r="M423" s="11"/>
      <c r="N423" s="8"/>
      <c r="O423" s="7" t="str">
        <f aca="false">IF(L423="","",IFERROR(VLOOKUP(L423,Paramètres!$F$5:$G$8,2,FALSE()),""))</f>
        <v/>
      </c>
      <c r="P423" s="9" t="str">
        <f aca="false">IF(OR(B423="",O423=""),"",IF(N423="",B423,N423)+O423)</f>
        <v/>
      </c>
      <c r="Q423" s="10"/>
      <c r="R423" s="8"/>
      <c r="S423" s="7" t="str">
        <f aca="false">IF(OR(B423="",R423=""),"",R423-B423)</f>
        <v/>
      </c>
      <c r="T423" s="7" t="str">
        <f aca="true">IF(OR(B423="",P423=""),"",IF(R423&lt;&gt;"",IF(R423&gt;P423,"Traité hors délai","Non"),IF(Q423="Classé sans suite","Non",IF(TODAY()&gt;P423,"OUI","Non"))))</f>
        <v/>
      </c>
      <c r="U423" s="11"/>
    </row>
    <row r="424" customFormat="false" ht="15" hidden="false" customHeight="false" outlineLevel="0" collapsed="false">
      <c r="A424" s="7" t="str">
        <f aca="false">IF(B424="","",YEAR(B424)&amp;"/"&amp;TEXT(ROW()-4,"0000"))</f>
        <v/>
      </c>
      <c r="B424" s="8"/>
      <c r="C424" s="7" t="str">
        <f aca="false">IF(B424="","",INT((B424-DATE(YEAR(B424-WEEKDAY(B424-1)+4),1,3)+WEEKDAY(DATE(YEAR(B424-WEEKDAY(B424-1)+4),1,3))+5)/7))</f>
        <v/>
      </c>
      <c r="D424" s="9" t="str">
        <f aca="false">IF(B424="","",B424-WEEKDAY(B424,2)+1)</f>
        <v/>
      </c>
      <c r="E424" s="10"/>
      <c r="F424" s="8"/>
      <c r="G424" s="11"/>
      <c r="H424" s="10"/>
      <c r="I424" s="11"/>
      <c r="J424" s="10"/>
      <c r="K424" s="10"/>
      <c r="L424" s="10"/>
      <c r="M424" s="11"/>
      <c r="N424" s="8"/>
      <c r="O424" s="7" t="str">
        <f aca="false">IF(L424="","",IFERROR(VLOOKUP(L424,Paramètres!$F$5:$G$8,2,FALSE()),""))</f>
        <v/>
      </c>
      <c r="P424" s="9" t="str">
        <f aca="false">IF(OR(B424="",O424=""),"",IF(N424="",B424,N424)+O424)</f>
        <v/>
      </c>
      <c r="Q424" s="10"/>
      <c r="R424" s="8"/>
      <c r="S424" s="7" t="str">
        <f aca="false">IF(OR(B424="",R424=""),"",R424-B424)</f>
        <v/>
      </c>
      <c r="T424" s="7" t="str">
        <f aca="true">IF(OR(B424="",P424=""),"",IF(R424&lt;&gt;"",IF(R424&gt;P424,"Traité hors délai","Non"),IF(Q424="Classé sans suite","Non",IF(TODAY()&gt;P424,"OUI","Non"))))</f>
        <v/>
      </c>
      <c r="U424" s="11"/>
    </row>
    <row r="425" customFormat="false" ht="15" hidden="false" customHeight="false" outlineLevel="0" collapsed="false">
      <c r="A425" s="7" t="str">
        <f aca="false">IF(B425="","",YEAR(B425)&amp;"/"&amp;TEXT(ROW()-4,"0000"))</f>
        <v/>
      </c>
      <c r="B425" s="8"/>
      <c r="C425" s="7" t="str">
        <f aca="false">IF(B425="","",INT((B425-DATE(YEAR(B425-WEEKDAY(B425-1)+4),1,3)+WEEKDAY(DATE(YEAR(B425-WEEKDAY(B425-1)+4),1,3))+5)/7))</f>
        <v/>
      </c>
      <c r="D425" s="9" t="str">
        <f aca="false">IF(B425="","",B425-WEEKDAY(B425,2)+1)</f>
        <v/>
      </c>
      <c r="E425" s="10"/>
      <c r="F425" s="8"/>
      <c r="G425" s="11"/>
      <c r="H425" s="10"/>
      <c r="I425" s="11"/>
      <c r="J425" s="10"/>
      <c r="K425" s="10"/>
      <c r="L425" s="10"/>
      <c r="M425" s="11"/>
      <c r="N425" s="8"/>
      <c r="O425" s="7" t="str">
        <f aca="false">IF(L425="","",IFERROR(VLOOKUP(L425,Paramètres!$F$5:$G$8,2,FALSE()),""))</f>
        <v/>
      </c>
      <c r="P425" s="9" t="str">
        <f aca="false">IF(OR(B425="",O425=""),"",IF(N425="",B425,N425)+O425)</f>
        <v/>
      </c>
      <c r="Q425" s="10"/>
      <c r="R425" s="8"/>
      <c r="S425" s="7" t="str">
        <f aca="false">IF(OR(B425="",R425=""),"",R425-B425)</f>
        <v/>
      </c>
      <c r="T425" s="7" t="str">
        <f aca="true">IF(OR(B425="",P425=""),"",IF(R425&lt;&gt;"",IF(R425&gt;P425,"Traité hors délai","Non"),IF(Q425="Classé sans suite","Non",IF(TODAY()&gt;P425,"OUI","Non"))))</f>
        <v/>
      </c>
      <c r="U425" s="11"/>
    </row>
    <row r="426" customFormat="false" ht="15" hidden="false" customHeight="false" outlineLevel="0" collapsed="false">
      <c r="A426" s="7" t="str">
        <f aca="false">IF(B426="","",YEAR(B426)&amp;"/"&amp;TEXT(ROW()-4,"0000"))</f>
        <v/>
      </c>
      <c r="B426" s="8"/>
      <c r="C426" s="7" t="str">
        <f aca="false">IF(B426="","",INT((B426-DATE(YEAR(B426-WEEKDAY(B426-1)+4),1,3)+WEEKDAY(DATE(YEAR(B426-WEEKDAY(B426-1)+4),1,3))+5)/7))</f>
        <v/>
      </c>
      <c r="D426" s="9" t="str">
        <f aca="false">IF(B426="","",B426-WEEKDAY(B426,2)+1)</f>
        <v/>
      </c>
      <c r="E426" s="10"/>
      <c r="F426" s="8"/>
      <c r="G426" s="11"/>
      <c r="H426" s="10"/>
      <c r="I426" s="11"/>
      <c r="J426" s="10"/>
      <c r="K426" s="10"/>
      <c r="L426" s="10"/>
      <c r="M426" s="11"/>
      <c r="N426" s="8"/>
      <c r="O426" s="7" t="str">
        <f aca="false">IF(L426="","",IFERROR(VLOOKUP(L426,Paramètres!$F$5:$G$8,2,FALSE()),""))</f>
        <v/>
      </c>
      <c r="P426" s="9" t="str">
        <f aca="false">IF(OR(B426="",O426=""),"",IF(N426="",B426,N426)+O426)</f>
        <v/>
      </c>
      <c r="Q426" s="10"/>
      <c r="R426" s="8"/>
      <c r="S426" s="7" t="str">
        <f aca="false">IF(OR(B426="",R426=""),"",R426-B426)</f>
        <v/>
      </c>
      <c r="T426" s="7" t="str">
        <f aca="true">IF(OR(B426="",P426=""),"",IF(R426&lt;&gt;"",IF(R426&gt;P426,"Traité hors délai","Non"),IF(Q426="Classé sans suite","Non",IF(TODAY()&gt;P426,"OUI","Non"))))</f>
        <v/>
      </c>
      <c r="U426" s="11"/>
    </row>
    <row r="427" customFormat="false" ht="15" hidden="false" customHeight="false" outlineLevel="0" collapsed="false">
      <c r="A427" s="7" t="str">
        <f aca="false">IF(B427="","",YEAR(B427)&amp;"/"&amp;TEXT(ROW()-4,"0000"))</f>
        <v/>
      </c>
      <c r="B427" s="8"/>
      <c r="C427" s="7" t="str">
        <f aca="false">IF(B427="","",INT((B427-DATE(YEAR(B427-WEEKDAY(B427-1)+4),1,3)+WEEKDAY(DATE(YEAR(B427-WEEKDAY(B427-1)+4),1,3))+5)/7))</f>
        <v/>
      </c>
      <c r="D427" s="9" t="str">
        <f aca="false">IF(B427="","",B427-WEEKDAY(B427,2)+1)</f>
        <v/>
      </c>
      <c r="E427" s="10"/>
      <c r="F427" s="8"/>
      <c r="G427" s="11"/>
      <c r="H427" s="10"/>
      <c r="I427" s="11"/>
      <c r="J427" s="10"/>
      <c r="K427" s="10"/>
      <c r="L427" s="10"/>
      <c r="M427" s="11"/>
      <c r="N427" s="8"/>
      <c r="O427" s="7" t="str">
        <f aca="false">IF(L427="","",IFERROR(VLOOKUP(L427,Paramètres!$F$5:$G$8,2,FALSE()),""))</f>
        <v/>
      </c>
      <c r="P427" s="9" t="str">
        <f aca="false">IF(OR(B427="",O427=""),"",IF(N427="",B427,N427)+O427)</f>
        <v/>
      </c>
      <c r="Q427" s="10"/>
      <c r="R427" s="8"/>
      <c r="S427" s="7" t="str">
        <f aca="false">IF(OR(B427="",R427=""),"",R427-B427)</f>
        <v/>
      </c>
      <c r="T427" s="7" t="str">
        <f aca="true">IF(OR(B427="",P427=""),"",IF(R427&lt;&gt;"",IF(R427&gt;P427,"Traité hors délai","Non"),IF(Q427="Classé sans suite","Non",IF(TODAY()&gt;P427,"OUI","Non"))))</f>
        <v/>
      </c>
      <c r="U427" s="11"/>
    </row>
    <row r="428" customFormat="false" ht="15" hidden="false" customHeight="false" outlineLevel="0" collapsed="false">
      <c r="A428" s="7" t="str">
        <f aca="false">IF(B428="","",YEAR(B428)&amp;"/"&amp;TEXT(ROW()-4,"0000"))</f>
        <v/>
      </c>
      <c r="B428" s="8"/>
      <c r="C428" s="7" t="str">
        <f aca="false">IF(B428="","",INT((B428-DATE(YEAR(B428-WEEKDAY(B428-1)+4),1,3)+WEEKDAY(DATE(YEAR(B428-WEEKDAY(B428-1)+4),1,3))+5)/7))</f>
        <v/>
      </c>
      <c r="D428" s="9" t="str">
        <f aca="false">IF(B428="","",B428-WEEKDAY(B428,2)+1)</f>
        <v/>
      </c>
      <c r="E428" s="10"/>
      <c r="F428" s="8"/>
      <c r="G428" s="11"/>
      <c r="H428" s="10"/>
      <c r="I428" s="11"/>
      <c r="J428" s="10"/>
      <c r="K428" s="10"/>
      <c r="L428" s="10"/>
      <c r="M428" s="11"/>
      <c r="N428" s="8"/>
      <c r="O428" s="7" t="str">
        <f aca="false">IF(L428="","",IFERROR(VLOOKUP(L428,Paramètres!$F$5:$G$8,2,FALSE()),""))</f>
        <v/>
      </c>
      <c r="P428" s="9" t="str">
        <f aca="false">IF(OR(B428="",O428=""),"",IF(N428="",B428,N428)+O428)</f>
        <v/>
      </c>
      <c r="Q428" s="10"/>
      <c r="R428" s="8"/>
      <c r="S428" s="7" t="str">
        <f aca="false">IF(OR(B428="",R428=""),"",R428-B428)</f>
        <v/>
      </c>
      <c r="T428" s="7" t="str">
        <f aca="true">IF(OR(B428="",P428=""),"",IF(R428&lt;&gt;"",IF(R428&gt;P428,"Traité hors délai","Non"),IF(Q428="Classé sans suite","Non",IF(TODAY()&gt;P428,"OUI","Non"))))</f>
        <v/>
      </c>
      <c r="U428" s="11"/>
    </row>
    <row r="429" customFormat="false" ht="15" hidden="false" customHeight="false" outlineLevel="0" collapsed="false">
      <c r="A429" s="7" t="str">
        <f aca="false">IF(B429="","",YEAR(B429)&amp;"/"&amp;TEXT(ROW()-4,"0000"))</f>
        <v/>
      </c>
      <c r="B429" s="8"/>
      <c r="C429" s="7" t="str">
        <f aca="false">IF(B429="","",INT((B429-DATE(YEAR(B429-WEEKDAY(B429-1)+4),1,3)+WEEKDAY(DATE(YEAR(B429-WEEKDAY(B429-1)+4),1,3))+5)/7))</f>
        <v/>
      </c>
      <c r="D429" s="9" t="str">
        <f aca="false">IF(B429="","",B429-WEEKDAY(B429,2)+1)</f>
        <v/>
      </c>
      <c r="E429" s="10"/>
      <c r="F429" s="8"/>
      <c r="G429" s="11"/>
      <c r="H429" s="10"/>
      <c r="I429" s="11"/>
      <c r="J429" s="10"/>
      <c r="K429" s="10"/>
      <c r="L429" s="10"/>
      <c r="M429" s="11"/>
      <c r="N429" s="8"/>
      <c r="O429" s="7" t="str">
        <f aca="false">IF(L429="","",IFERROR(VLOOKUP(L429,Paramètres!$F$5:$G$8,2,FALSE()),""))</f>
        <v/>
      </c>
      <c r="P429" s="9" t="str">
        <f aca="false">IF(OR(B429="",O429=""),"",IF(N429="",B429,N429)+O429)</f>
        <v/>
      </c>
      <c r="Q429" s="10"/>
      <c r="R429" s="8"/>
      <c r="S429" s="7" t="str">
        <f aca="false">IF(OR(B429="",R429=""),"",R429-B429)</f>
        <v/>
      </c>
      <c r="T429" s="7" t="str">
        <f aca="true">IF(OR(B429="",P429=""),"",IF(R429&lt;&gt;"",IF(R429&gt;P429,"Traité hors délai","Non"),IF(Q429="Classé sans suite","Non",IF(TODAY()&gt;P429,"OUI","Non"))))</f>
        <v/>
      </c>
      <c r="U429" s="11"/>
    </row>
    <row r="430" customFormat="false" ht="15" hidden="false" customHeight="false" outlineLevel="0" collapsed="false">
      <c r="A430" s="7" t="str">
        <f aca="false">IF(B430="","",YEAR(B430)&amp;"/"&amp;TEXT(ROW()-4,"0000"))</f>
        <v/>
      </c>
      <c r="B430" s="8"/>
      <c r="C430" s="7" t="str">
        <f aca="false">IF(B430="","",INT((B430-DATE(YEAR(B430-WEEKDAY(B430-1)+4),1,3)+WEEKDAY(DATE(YEAR(B430-WEEKDAY(B430-1)+4),1,3))+5)/7))</f>
        <v/>
      </c>
      <c r="D430" s="9" t="str">
        <f aca="false">IF(B430="","",B430-WEEKDAY(B430,2)+1)</f>
        <v/>
      </c>
      <c r="E430" s="10"/>
      <c r="F430" s="8"/>
      <c r="G430" s="11"/>
      <c r="H430" s="10"/>
      <c r="I430" s="11"/>
      <c r="J430" s="10"/>
      <c r="K430" s="10"/>
      <c r="L430" s="10"/>
      <c r="M430" s="11"/>
      <c r="N430" s="8"/>
      <c r="O430" s="7" t="str">
        <f aca="false">IF(L430="","",IFERROR(VLOOKUP(L430,Paramètres!$F$5:$G$8,2,FALSE()),""))</f>
        <v/>
      </c>
      <c r="P430" s="9" t="str">
        <f aca="false">IF(OR(B430="",O430=""),"",IF(N430="",B430,N430)+O430)</f>
        <v/>
      </c>
      <c r="Q430" s="10"/>
      <c r="R430" s="8"/>
      <c r="S430" s="7" t="str">
        <f aca="false">IF(OR(B430="",R430=""),"",R430-B430)</f>
        <v/>
      </c>
      <c r="T430" s="7" t="str">
        <f aca="true">IF(OR(B430="",P430=""),"",IF(R430&lt;&gt;"",IF(R430&gt;P430,"Traité hors délai","Non"),IF(Q430="Classé sans suite","Non",IF(TODAY()&gt;P430,"OUI","Non"))))</f>
        <v/>
      </c>
      <c r="U430" s="11"/>
    </row>
    <row r="431" customFormat="false" ht="15" hidden="false" customHeight="false" outlineLevel="0" collapsed="false">
      <c r="A431" s="7" t="str">
        <f aca="false">IF(B431="","",YEAR(B431)&amp;"/"&amp;TEXT(ROW()-4,"0000"))</f>
        <v/>
      </c>
      <c r="B431" s="8"/>
      <c r="C431" s="7" t="str">
        <f aca="false">IF(B431="","",INT((B431-DATE(YEAR(B431-WEEKDAY(B431-1)+4),1,3)+WEEKDAY(DATE(YEAR(B431-WEEKDAY(B431-1)+4),1,3))+5)/7))</f>
        <v/>
      </c>
      <c r="D431" s="9" t="str">
        <f aca="false">IF(B431="","",B431-WEEKDAY(B431,2)+1)</f>
        <v/>
      </c>
      <c r="E431" s="10"/>
      <c r="F431" s="8"/>
      <c r="G431" s="11"/>
      <c r="H431" s="10"/>
      <c r="I431" s="11"/>
      <c r="J431" s="10"/>
      <c r="K431" s="10"/>
      <c r="L431" s="10"/>
      <c r="M431" s="11"/>
      <c r="N431" s="8"/>
      <c r="O431" s="7" t="str">
        <f aca="false">IF(L431="","",IFERROR(VLOOKUP(L431,Paramètres!$F$5:$G$8,2,FALSE()),""))</f>
        <v/>
      </c>
      <c r="P431" s="9" t="str">
        <f aca="false">IF(OR(B431="",O431=""),"",IF(N431="",B431,N431)+O431)</f>
        <v/>
      </c>
      <c r="Q431" s="10"/>
      <c r="R431" s="8"/>
      <c r="S431" s="7" t="str">
        <f aca="false">IF(OR(B431="",R431=""),"",R431-B431)</f>
        <v/>
      </c>
      <c r="T431" s="7" t="str">
        <f aca="true">IF(OR(B431="",P431=""),"",IF(R431&lt;&gt;"",IF(R431&gt;P431,"Traité hors délai","Non"),IF(Q431="Classé sans suite","Non",IF(TODAY()&gt;P431,"OUI","Non"))))</f>
        <v/>
      </c>
      <c r="U431" s="11"/>
    </row>
    <row r="432" customFormat="false" ht="15" hidden="false" customHeight="false" outlineLevel="0" collapsed="false">
      <c r="A432" s="7" t="str">
        <f aca="false">IF(B432="","",YEAR(B432)&amp;"/"&amp;TEXT(ROW()-4,"0000"))</f>
        <v/>
      </c>
      <c r="B432" s="8"/>
      <c r="C432" s="7" t="str">
        <f aca="false">IF(B432="","",INT((B432-DATE(YEAR(B432-WEEKDAY(B432-1)+4),1,3)+WEEKDAY(DATE(YEAR(B432-WEEKDAY(B432-1)+4),1,3))+5)/7))</f>
        <v/>
      </c>
      <c r="D432" s="9" t="str">
        <f aca="false">IF(B432="","",B432-WEEKDAY(B432,2)+1)</f>
        <v/>
      </c>
      <c r="E432" s="10"/>
      <c r="F432" s="8"/>
      <c r="G432" s="11"/>
      <c r="H432" s="10"/>
      <c r="I432" s="11"/>
      <c r="J432" s="10"/>
      <c r="K432" s="10"/>
      <c r="L432" s="10"/>
      <c r="M432" s="11"/>
      <c r="N432" s="8"/>
      <c r="O432" s="7" t="str">
        <f aca="false">IF(L432="","",IFERROR(VLOOKUP(L432,Paramètres!$F$5:$G$8,2,FALSE()),""))</f>
        <v/>
      </c>
      <c r="P432" s="9" t="str">
        <f aca="false">IF(OR(B432="",O432=""),"",IF(N432="",B432,N432)+O432)</f>
        <v/>
      </c>
      <c r="Q432" s="10"/>
      <c r="R432" s="8"/>
      <c r="S432" s="7" t="str">
        <f aca="false">IF(OR(B432="",R432=""),"",R432-B432)</f>
        <v/>
      </c>
      <c r="T432" s="7" t="str">
        <f aca="true">IF(OR(B432="",P432=""),"",IF(R432&lt;&gt;"",IF(R432&gt;P432,"Traité hors délai","Non"),IF(Q432="Classé sans suite","Non",IF(TODAY()&gt;P432,"OUI","Non"))))</f>
        <v/>
      </c>
      <c r="U432" s="11"/>
    </row>
    <row r="433" customFormat="false" ht="15" hidden="false" customHeight="false" outlineLevel="0" collapsed="false">
      <c r="A433" s="7" t="str">
        <f aca="false">IF(B433="","",YEAR(B433)&amp;"/"&amp;TEXT(ROW()-4,"0000"))</f>
        <v/>
      </c>
      <c r="B433" s="8"/>
      <c r="C433" s="7" t="str">
        <f aca="false">IF(B433="","",INT((B433-DATE(YEAR(B433-WEEKDAY(B433-1)+4),1,3)+WEEKDAY(DATE(YEAR(B433-WEEKDAY(B433-1)+4),1,3))+5)/7))</f>
        <v/>
      </c>
      <c r="D433" s="9" t="str">
        <f aca="false">IF(B433="","",B433-WEEKDAY(B433,2)+1)</f>
        <v/>
      </c>
      <c r="E433" s="10"/>
      <c r="F433" s="8"/>
      <c r="G433" s="11"/>
      <c r="H433" s="10"/>
      <c r="I433" s="11"/>
      <c r="J433" s="10"/>
      <c r="K433" s="10"/>
      <c r="L433" s="10"/>
      <c r="M433" s="11"/>
      <c r="N433" s="8"/>
      <c r="O433" s="7" t="str">
        <f aca="false">IF(L433="","",IFERROR(VLOOKUP(L433,Paramètres!$F$5:$G$8,2,FALSE()),""))</f>
        <v/>
      </c>
      <c r="P433" s="9" t="str">
        <f aca="false">IF(OR(B433="",O433=""),"",IF(N433="",B433,N433)+O433)</f>
        <v/>
      </c>
      <c r="Q433" s="10"/>
      <c r="R433" s="8"/>
      <c r="S433" s="7" t="str">
        <f aca="false">IF(OR(B433="",R433=""),"",R433-B433)</f>
        <v/>
      </c>
      <c r="T433" s="7" t="str">
        <f aca="true">IF(OR(B433="",P433=""),"",IF(R433&lt;&gt;"",IF(R433&gt;P433,"Traité hors délai","Non"),IF(Q433="Classé sans suite","Non",IF(TODAY()&gt;P433,"OUI","Non"))))</f>
        <v/>
      </c>
      <c r="U433" s="11"/>
    </row>
    <row r="434" customFormat="false" ht="15" hidden="false" customHeight="false" outlineLevel="0" collapsed="false">
      <c r="A434" s="7" t="str">
        <f aca="false">IF(B434="","",YEAR(B434)&amp;"/"&amp;TEXT(ROW()-4,"0000"))</f>
        <v/>
      </c>
      <c r="B434" s="8"/>
      <c r="C434" s="7" t="str">
        <f aca="false">IF(B434="","",INT((B434-DATE(YEAR(B434-WEEKDAY(B434-1)+4),1,3)+WEEKDAY(DATE(YEAR(B434-WEEKDAY(B434-1)+4),1,3))+5)/7))</f>
        <v/>
      </c>
      <c r="D434" s="9" t="str">
        <f aca="false">IF(B434="","",B434-WEEKDAY(B434,2)+1)</f>
        <v/>
      </c>
      <c r="E434" s="10"/>
      <c r="F434" s="8"/>
      <c r="G434" s="11"/>
      <c r="H434" s="10"/>
      <c r="I434" s="11"/>
      <c r="J434" s="10"/>
      <c r="K434" s="10"/>
      <c r="L434" s="10"/>
      <c r="M434" s="11"/>
      <c r="N434" s="8"/>
      <c r="O434" s="7" t="str">
        <f aca="false">IF(L434="","",IFERROR(VLOOKUP(L434,Paramètres!$F$5:$G$8,2,FALSE()),""))</f>
        <v/>
      </c>
      <c r="P434" s="9" t="str">
        <f aca="false">IF(OR(B434="",O434=""),"",IF(N434="",B434,N434)+O434)</f>
        <v/>
      </c>
      <c r="Q434" s="10"/>
      <c r="R434" s="8"/>
      <c r="S434" s="7" t="str">
        <f aca="false">IF(OR(B434="",R434=""),"",R434-B434)</f>
        <v/>
      </c>
      <c r="T434" s="7" t="str">
        <f aca="true">IF(OR(B434="",P434=""),"",IF(R434&lt;&gt;"",IF(R434&gt;P434,"Traité hors délai","Non"),IF(Q434="Classé sans suite","Non",IF(TODAY()&gt;P434,"OUI","Non"))))</f>
        <v/>
      </c>
      <c r="U434" s="11"/>
    </row>
    <row r="435" customFormat="false" ht="15" hidden="false" customHeight="false" outlineLevel="0" collapsed="false">
      <c r="A435" s="7" t="str">
        <f aca="false">IF(B435="","",YEAR(B435)&amp;"/"&amp;TEXT(ROW()-4,"0000"))</f>
        <v/>
      </c>
      <c r="B435" s="8"/>
      <c r="C435" s="7" t="str">
        <f aca="false">IF(B435="","",INT((B435-DATE(YEAR(B435-WEEKDAY(B435-1)+4),1,3)+WEEKDAY(DATE(YEAR(B435-WEEKDAY(B435-1)+4),1,3))+5)/7))</f>
        <v/>
      </c>
      <c r="D435" s="9" t="str">
        <f aca="false">IF(B435="","",B435-WEEKDAY(B435,2)+1)</f>
        <v/>
      </c>
      <c r="E435" s="10"/>
      <c r="F435" s="8"/>
      <c r="G435" s="11"/>
      <c r="H435" s="10"/>
      <c r="I435" s="11"/>
      <c r="J435" s="10"/>
      <c r="K435" s="10"/>
      <c r="L435" s="10"/>
      <c r="M435" s="11"/>
      <c r="N435" s="8"/>
      <c r="O435" s="7" t="str">
        <f aca="false">IF(L435="","",IFERROR(VLOOKUP(L435,Paramètres!$F$5:$G$8,2,FALSE()),""))</f>
        <v/>
      </c>
      <c r="P435" s="9" t="str">
        <f aca="false">IF(OR(B435="",O435=""),"",IF(N435="",B435,N435)+O435)</f>
        <v/>
      </c>
      <c r="Q435" s="10"/>
      <c r="R435" s="8"/>
      <c r="S435" s="7" t="str">
        <f aca="false">IF(OR(B435="",R435=""),"",R435-B435)</f>
        <v/>
      </c>
      <c r="T435" s="7" t="str">
        <f aca="true">IF(OR(B435="",P435=""),"",IF(R435&lt;&gt;"",IF(R435&gt;P435,"Traité hors délai","Non"),IF(Q435="Classé sans suite","Non",IF(TODAY()&gt;P435,"OUI","Non"))))</f>
        <v/>
      </c>
      <c r="U435" s="11"/>
    </row>
    <row r="436" customFormat="false" ht="15" hidden="false" customHeight="false" outlineLevel="0" collapsed="false">
      <c r="A436" s="7" t="str">
        <f aca="false">IF(B436="","",YEAR(B436)&amp;"/"&amp;TEXT(ROW()-4,"0000"))</f>
        <v/>
      </c>
      <c r="B436" s="8"/>
      <c r="C436" s="7" t="str">
        <f aca="false">IF(B436="","",INT((B436-DATE(YEAR(B436-WEEKDAY(B436-1)+4),1,3)+WEEKDAY(DATE(YEAR(B436-WEEKDAY(B436-1)+4),1,3))+5)/7))</f>
        <v/>
      </c>
      <c r="D436" s="9" t="str">
        <f aca="false">IF(B436="","",B436-WEEKDAY(B436,2)+1)</f>
        <v/>
      </c>
      <c r="E436" s="10"/>
      <c r="F436" s="8"/>
      <c r="G436" s="11"/>
      <c r="H436" s="10"/>
      <c r="I436" s="11"/>
      <c r="J436" s="10"/>
      <c r="K436" s="10"/>
      <c r="L436" s="10"/>
      <c r="M436" s="11"/>
      <c r="N436" s="8"/>
      <c r="O436" s="7" t="str">
        <f aca="false">IF(L436="","",IFERROR(VLOOKUP(L436,Paramètres!$F$5:$G$8,2,FALSE()),""))</f>
        <v/>
      </c>
      <c r="P436" s="9" t="str">
        <f aca="false">IF(OR(B436="",O436=""),"",IF(N436="",B436,N436)+O436)</f>
        <v/>
      </c>
      <c r="Q436" s="10"/>
      <c r="R436" s="8"/>
      <c r="S436" s="7" t="str">
        <f aca="false">IF(OR(B436="",R436=""),"",R436-B436)</f>
        <v/>
      </c>
      <c r="T436" s="7" t="str">
        <f aca="true">IF(OR(B436="",P436=""),"",IF(R436&lt;&gt;"",IF(R436&gt;P436,"Traité hors délai","Non"),IF(Q436="Classé sans suite","Non",IF(TODAY()&gt;P436,"OUI","Non"))))</f>
        <v/>
      </c>
      <c r="U436" s="11"/>
    </row>
    <row r="437" customFormat="false" ht="15" hidden="false" customHeight="false" outlineLevel="0" collapsed="false">
      <c r="A437" s="7" t="str">
        <f aca="false">IF(B437="","",YEAR(B437)&amp;"/"&amp;TEXT(ROW()-4,"0000"))</f>
        <v/>
      </c>
      <c r="B437" s="8"/>
      <c r="C437" s="7" t="str">
        <f aca="false">IF(B437="","",INT((B437-DATE(YEAR(B437-WEEKDAY(B437-1)+4),1,3)+WEEKDAY(DATE(YEAR(B437-WEEKDAY(B437-1)+4),1,3))+5)/7))</f>
        <v/>
      </c>
      <c r="D437" s="9" t="str">
        <f aca="false">IF(B437="","",B437-WEEKDAY(B437,2)+1)</f>
        <v/>
      </c>
      <c r="E437" s="10"/>
      <c r="F437" s="8"/>
      <c r="G437" s="11"/>
      <c r="H437" s="10"/>
      <c r="I437" s="11"/>
      <c r="J437" s="10"/>
      <c r="K437" s="10"/>
      <c r="L437" s="10"/>
      <c r="M437" s="11"/>
      <c r="N437" s="8"/>
      <c r="O437" s="7" t="str">
        <f aca="false">IF(L437="","",IFERROR(VLOOKUP(L437,Paramètres!$F$5:$G$8,2,FALSE()),""))</f>
        <v/>
      </c>
      <c r="P437" s="9" t="str">
        <f aca="false">IF(OR(B437="",O437=""),"",IF(N437="",B437,N437)+O437)</f>
        <v/>
      </c>
      <c r="Q437" s="10"/>
      <c r="R437" s="8"/>
      <c r="S437" s="7" t="str">
        <f aca="false">IF(OR(B437="",R437=""),"",R437-B437)</f>
        <v/>
      </c>
      <c r="T437" s="7" t="str">
        <f aca="true">IF(OR(B437="",P437=""),"",IF(R437&lt;&gt;"",IF(R437&gt;P437,"Traité hors délai","Non"),IF(Q437="Classé sans suite","Non",IF(TODAY()&gt;P437,"OUI","Non"))))</f>
        <v/>
      </c>
      <c r="U437" s="11"/>
    </row>
    <row r="438" customFormat="false" ht="15" hidden="false" customHeight="false" outlineLevel="0" collapsed="false">
      <c r="A438" s="7" t="str">
        <f aca="false">IF(B438="","",YEAR(B438)&amp;"/"&amp;TEXT(ROW()-4,"0000"))</f>
        <v/>
      </c>
      <c r="B438" s="8"/>
      <c r="C438" s="7" t="str">
        <f aca="false">IF(B438="","",INT((B438-DATE(YEAR(B438-WEEKDAY(B438-1)+4),1,3)+WEEKDAY(DATE(YEAR(B438-WEEKDAY(B438-1)+4),1,3))+5)/7))</f>
        <v/>
      </c>
      <c r="D438" s="9" t="str">
        <f aca="false">IF(B438="","",B438-WEEKDAY(B438,2)+1)</f>
        <v/>
      </c>
      <c r="E438" s="10"/>
      <c r="F438" s="8"/>
      <c r="G438" s="11"/>
      <c r="H438" s="10"/>
      <c r="I438" s="11"/>
      <c r="J438" s="10"/>
      <c r="K438" s="10"/>
      <c r="L438" s="10"/>
      <c r="M438" s="11"/>
      <c r="N438" s="8"/>
      <c r="O438" s="7" t="str">
        <f aca="false">IF(L438="","",IFERROR(VLOOKUP(L438,Paramètres!$F$5:$G$8,2,FALSE()),""))</f>
        <v/>
      </c>
      <c r="P438" s="9" t="str">
        <f aca="false">IF(OR(B438="",O438=""),"",IF(N438="",B438,N438)+O438)</f>
        <v/>
      </c>
      <c r="Q438" s="10"/>
      <c r="R438" s="8"/>
      <c r="S438" s="7" t="str">
        <f aca="false">IF(OR(B438="",R438=""),"",R438-B438)</f>
        <v/>
      </c>
      <c r="T438" s="7" t="str">
        <f aca="true">IF(OR(B438="",P438=""),"",IF(R438&lt;&gt;"",IF(R438&gt;P438,"Traité hors délai","Non"),IF(Q438="Classé sans suite","Non",IF(TODAY()&gt;P438,"OUI","Non"))))</f>
        <v/>
      </c>
      <c r="U438" s="11"/>
    </row>
    <row r="439" customFormat="false" ht="15" hidden="false" customHeight="false" outlineLevel="0" collapsed="false">
      <c r="A439" s="7" t="str">
        <f aca="false">IF(B439="","",YEAR(B439)&amp;"/"&amp;TEXT(ROW()-4,"0000"))</f>
        <v/>
      </c>
      <c r="B439" s="8"/>
      <c r="C439" s="7" t="str">
        <f aca="false">IF(B439="","",INT((B439-DATE(YEAR(B439-WEEKDAY(B439-1)+4),1,3)+WEEKDAY(DATE(YEAR(B439-WEEKDAY(B439-1)+4),1,3))+5)/7))</f>
        <v/>
      </c>
      <c r="D439" s="9" t="str">
        <f aca="false">IF(B439="","",B439-WEEKDAY(B439,2)+1)</f>
        <v/>
      </c>
      <c r="E439" s="10"/>
      <c r="F439" s="8"/>
      <c r="G439" s="11"/>
      <c r="H439" s="10"/>
      <c r="I439" s="11"/>
      <c r="J439" s="10"/>
      <c r="K439" s="10"/>
      <c r="L439" s="10"/>
      <c r="M439" s="11"/>
      <c r="N439" s="8"/>
      <c r="O439" s="7" t="str">
        <f aca="false">IF(L439="","",IFERROR(VLOOKUP(L439,Paramètres!$F$5:$G$8,2,FALSE()),""))</f>
        <v/>
      </c>
      <c r="P439" s="9" t="str">
        <f aca="false">IF(OR(B439="",O439=""),"",IF(N439="",B439,N439)+O439)</f>
        <v/>
      </c>
      <c r="Q439" s="10"/>
      <c r="R439" s="8"/>
      <c r="S439" s="7" t="str">
        <f aca="false">IF(OR(B439="",R439=""),"",R439-B439)</f>
        <v/>
      </c>
      <c r="T439" s="7" t="str">
        <f aca="true">IF(OR(B439="",P439=""),"",IF(R439&lt;&gt;"",IF(R439&gt;P439,"Traité hors délai","Non"),IF(Q439="Classé sans suite","Non",IF(TODAY()&gt;P439,"OUI","Non"))))</f>
        <v/>
      </c>
      <c r="U439" s="11"/>
    </row>
    <row r="440" customFormat="false" ht="15" hidden="false" customHeight="false" outlineLevel="0" collapsed="false">
      <c r="A440" s="7" t="str">
        <f aca="false">IF(B440="","",YEAR(B440)&amp;"/"&amp;TEXT(ROW()-4,"0000"))</f>
        <v/>
      </c>
      <c r="B440" s="8"/>
      <c r="C440" s="7" t="str">
        <f aca="false">IF(B440="","",INT((B440-DATE(YEAR(B440-WEEKDAY(B440-1)+4),1,3)+WEEKDAY(DATE(YEAR(B440-WEEKDAY(B440-1)+4),1,3))+5)/7))</f>
        <v/>
      </c>
      <c r="D440" s="9" t="str">
        <f aca="false">IF(B440="","",B440-WEEKDAY(B440,2)+1)</f>
        <v/>
      </c>
      <c r="E440" s="10"/>
      <c r="F440" s="8"/>
      <c r="G440" s="11"/>
      <c r="H440" s="10"/>
      <c r="I440" s="11"/>
      <c r="J440" s="10"/>
      <c r="K440" s="10"/>
      <c r="L440" s="10"/>
      <c r="M440" s="11"/>
      <c r="N440" s="8"/>
      <c r="O440" s="7" t="str">
        <f aca="false">IF(L440="","",IFERROR(VLOOKUP(L440,Paramètres!$F$5:$G$8,2,FALSE()),""))</f>
        <v/>
      </c>
      <c r="P440" s="9" t="str">
        <f aca="false">IF(OR(B440="",O440=""),"",IF(N440="",B440,N440)+O440)</f>
        <v/>
      </c>
      <c r="Q440" s="10"/>
      <c r="R440" s="8"/>
      <c r="S440" s="7" t="str">
        <f aca="false">IF(OR(B440="",R440=""),"",R440-B440)</f>
        <v/>
      </c>
      <c r="T440" s="7" t="str">
        <f aca="true">IF(OR(B440="",P440=""),"",IF(R440&lt;&gt;"",IF(R440&gt;P440,"Traité hors délai","Non"),IF(Q440="Classé sans suite","Non",IF(TODAY()&gt;P440,"OUI","Non"))))</f>
        <v/>
      </c>
      <c r="U440" s="11"/>
    </row>
    <row r="441" customFormat="false" ht="15" hidden="false" customHeight="false" outlineLevel="0" collapsed="false">
      <c r="A441" s="7" t="str">
        <f aca="false">IF(B441="","",YEAR(B441)&amp;"/"&amp;TEXT(ROW()-4,"0000"))</f>
        <v/>
      </c>
      <c r="B441" s="8"/>
      <c r="C441" s="7" t="str">
        <f aca="false">IF(B441="","",INT((B441-DATE(YEAR(B441-WEEKDAY(B441-1)+4),1,3)+WEEKDAY(DATE(YEAR(B441-WEEKDAY(B441-1)+4),1,3))+5)/7))</f>
        <v/>
      </c>
      <c r="D441" s="9" t="str">
        <f aca="false">IF(B441="","",B441-WEEKDAY(B441,2)+1)</f>
        <v/>
      </c>
      <c r="E441" s="10"/>
      <c r="F441" s="8"/>
      <c r="G441" s="11"/>
      <c r="H441" s="10"/>
      <c r="I441" s="11"/>
      <c r="J441" s="10"/>
      <c r="K441" s="10"/>
      <c r="L441" s="10"/>
      <c r="M441" s="11"/>
      <c r="N441" s="8"/>
      <c r="O441" s="7" t="str">
        <f aca="false">IF(L441="","",IFERROR(VLOOKUP(L441,Paramètres!$F$5:$G$8,2,FALSE()),""))</f>
        <v/>
      </c>
      <c r="P441" s="9" t="str">
        <f aca="false">IF(OR(B441="",O441=""),"",IF(N441="",B441,N441)+O441)</f>
        <v/>
      </c>
      <c r="Q441" s="10"/>
      <c r="R441" s="8"/>
      <c r="S441" s="7" t="str">
        <f aca="false">IF(OR(B441="",R441=""),"",R441-B441)</f>
        <v/>
      </c>
      <c r="T441" s="7" t="str">
        <f aca="true">IF(OR(B441="",P441=""),"",IF(R441&lt;&gt;"",IF(R441&gt;P441,"Traité hors délai","Non"),IF(Q441="Classé sans suite","Non",IF(TODAY()&gt;P441,"OUI","Non"))))</f>
        <v/>
      </c>
      <c r="U441" s="11"/>
    </row>
    <row r="442" customFormat="false" ht="15" hidden="false" customHeight="false" outlineLevel="0" collapsed="false">
      <c r="A442" s="7" t="str">
        <f aca="false">IF(B442="","",YEAR(B442)&amp;"/"&amp;TEXT(ROW()-4,"0000"))</f>
        <v/>
      </c>
      <c r="B442" s="8"/>
      <c r="C442" s="7" t="str">
        <f aca="false">IF(B442="","",INT((B442-DATE(YEAR(B442-WEEKDAY(B442-1)+4),1,3)+WEEKDAY(DATE(YEAR(B442-WEEKDAY(B442-1)+4),1,3))+5)/7))</f>
        <v/>
      </c>
      <c r="D442" s="9" t="str">
        <f aca="false">IF(B442="","",B442-WEEKDAY(B442,2)+1)</f>
        <v/>
      </c>
      <c r="E442" s="10"/>
      <c r="F442" s="8"/>
      <c r="G442" s="11"/>
      <c r="H442" s="10"/>
      <c r="I442" s="11"/>
      <c r="J442" s="10"/>
      <c r="K442" s="10"/>
      <c r="L442" s="10"/>
      <c r="M442" s="11"/>
      <c r="N442" s="8"/>
      <c r="O442" s="7" t="str">
        <f aca="false">IF(L442="","",IFERROR(VLOOKUP(L442,Paramètres!$F$5:$G$8,2,FALSE()),""))</f>
        <v/>
      </c>
      <c r="P442" s="9" t="str">
        <f aca="false">IF(OR(B442="",O442=""),"",IF(N442="",B442,N442)+O442)</f>
        <v/>
      </c>
      <c r="Q442" s="10"/>
      <c r="R442" s="8"/>
      <c r="S442" s="7" t="str">
        <f aca="false">IF(OR(B442="",R442=""),"",R442-B442)</f>
        <v/>
      </c>
      <c r="T442" s="7" t="str">
        <f aca="true">IF(OR(B442="",P442=""),"",IF(R442&lt;&gt;"",IF(R442&gt;P442,"Traité hors délai","Non"),IF(Q442="Classé sans suite","Non",IF(TODAY()&gt;P442,"OUI","Non"))))</f>
        <v/>
      </c>
      <c r="U442" s="11"/>
    </row>
    <row r="443" customFormat="false" ht="15" hidden="false" customHeight="false" outlineLevel="0" collapsed="false">
      <c r="A443" s="7" t="str">
        <f aca="false">IF(B443="","",YEAR(B443)&amp;"/"&amp;TEXT(ROW()-4,"0000"))</f>
        <v/>
      </c>
      <c r="B443" s="8"/>
      <c r="C443" s="7" t="str">
        <f aca="false">IF(B443="","",INT((B443-DATE(YEAR(B443-WEEKDAY(B443-1)+4),1,3)+WEEKDAY(DATE(YEAR(B443-WEEKDAY(B443-1)+4),1,3))+5)/7))</f>
        <v/>
      </c>
      <c r="D443" s="9" t="str">
        <f aca="false">IF(B443="","",B443-WEEKDAY(B443,2)+1)</f>
        <v/>
      </c>
      <c r="E443" s="10"/>
      <c r="F443" s="8"/>
      <c r="G443" s="11"/>
      <c r="H443" s="10"/>
      <c r="I443" s="11"/>
      <c r="J443" s="10"/>
      <c r="K443" s="10"/>
      <c r="L443" s="10"/>
      <c r="M443" s="11"/>
      <c r="N443" s="8"/>
      <c r="O443" s="7" t="str">
        <f aca="false">IF(L443="","",IFERROR(VLOOKUP(L443,Paramètres!$F$5:$G$8,2,FALSE()),""))</f>
        <v/>
      </c>
      <c r="P443" s="9" t="str">
        <f aca="false">IF(OR(B443="",O443=""),"",IF(N443="",B443,N443)+O443)</f>
        <v/>
      </c>
      <c r="Q443" s="10"/>
      <c r="R443" s="8"/>
      <c r="S443" s="7" t="str">
        <f aca="false">IF(OR(B443="",R443=""),"",R443-B443)</f>
        <v/>
      </c>
      <c r="T443" s="7" t="str">
        <f aca="true">IF(OR(B443="",P443=""),"",IF(R443&lt;&gt;"",IF(R443&gt;P443,"Traité hors délai","Non"),IF(Q443="Classé sans suite","Non",IF(TODAY()&gt;P443,"OUI","Non"))))</f>
        <v/>
      </c>
      <c r="U443" s="11"/>
    </row>
    <row r="444" customFormat="false" ht="15" hidden="false" customHeight="false" outlineLevel="0" collapsed="false">
      <c r="A444" s="7" t="str">
        <f aca="false">IF(B444="","",YEAR(B444)&amp;"/"&amp;TEXT(ROW()-4,"0000"))</f>
        <v/>
      </c>
      <c r="B444" s="8"/>
      <c r="C444" s="7" t="str">
        <f aca="false">IF(B444="","",INT((B444-DATE(YEAR(B444-WEEKDAY(B444-1)+4),1,3)+WEEKDAY(DATE(YEAR(B444-WEEKDAY(B444-1)+4),1,3))+5)/7))</f>
        <v/>
      </c>
      <c r="D444" s="9" t="str">
        <f aca="false">IF(B444="","",B444-WEEKDAY(B444,2)+1)</f>
        <v/>
      </c>
      <c r="E444" s="10"/>
      <c r="F444" s="8"/>
      <c r="G444" s="11"/>
      <c r="H444" s="10"/>
      <c r="I444" s="11"/>
      <c r="J444" s="10"/>
      <c r="K444" s="10"/>
      <c r="L444" s="10"/>
      <c r="M444" s="11"/>
      <c r="N444" s="8"/>
      <c r="O444" s="7" t="str">
        <f aca="false">IF(L444="","",IFERROR(VLOOKUP(L444,Paramètres!$F$5:$G$8,2,FALSE()),""))</f>
        <v/>
      </c>
      <c r="P444" s="9" t="str">
        <f aca="false">IF(OR(B444="",O444=""),"",IF(N444="",B444,N444)+O444)</f>
        <v/>
      </c>
      <c r="Q444" s="10"/>
      <c r="R444" s="8"/>
      <c r="S444" s="7" t="str">
        <f aca="false">IF(OR(B444="",R444=""),"",R444-B444)</f>
        <v/>
      </c>
      <c r="T444" s="7" t="str">
        <f aca="true">IF(OR(B444="",P444=""),"",IF(R444&lt;&gt;"",IF(R444&gt;P444,"Traité hors délai","Non"),IF(Q444="Classé sans suite","Non",IF(TODAY()&gt;P444,"OUI","Non"))))</f>
        <v/>
      </c>
      <c r="U444" s="11"/>
    </row>
    <row r="445" customFormat="false" ht="15" hidden="false" customHeight="false" outlineLevel="0" collapsed="false">
      <c r="A445" s="7" t="str">
        <f aca="false">IF(B445="","",YEAR(B445)&amp;"/"&amp;TEXT(ROW()-4,"0000"))</f>
        <v/>
      </c>
      <c r="B445" s="8"/>
      <c r="C445" s="7" t="str">
        <f aca="false">IF(B445="","",INT((B445-DATE(YEAR(B445-WEEKDAY(B445-1)+4),1,3)+WEEKDAY(DATE(YEAR(B445-WEEKDAY(B445-1)+4),1,3))+5)/7))</f>
        <v/>
      </c>
      <c r="D445" s="9" t="str">
        <f aca="false">IF(B445="","",B445-WEEKDAY(B445,2)+1)</f>
        <v/>
      </c>
      <c r="E445" s="10"/>
      <c r="F445" s="8"/>
      <c r="G445" s="11"/>
      <c r="H445" s="10"/>
      <c r="I445" s="11"/>
      <c r="J445" s="10"/>
      <c r="K445" s="10"/>
      <c r="L445" s="10"/>
      <c r="M445" s="11"/>
      <c r="N445" s="8"/>
      <c r="O445" s="7" t="str">
        <f aca="false">IF(L445="","",IFERROR(VLOOKUP(L445,Paramètres!$F$5:$G$8,2,FALSE()),""))</f>
        <v/>
      </c>
      <c r="P445" s="9" t="str">
        <f aca="false">IF(OR(B445="",O445=""),"",IF(N445="",B445,N445)+O445)</f>
        <v/>
      </c>
      <c r="Q445" s="10"/>
      <c r="R445" s="8"/>
      <c r="S445" s="7" t="str">
        <f aca="false">IF(OR(B445="",R445=""),"",R445-B445)</f>
        <v/>
      </c>
      <c r="T445" s="7" t="str">
        <f aca="true">IF(OR(B445="",P445=""),"",IF(R445&lt;&gt;"",IF(R445&gt;P445,"Traité hors délai","Non"),IF(Q445="Classé sans suite","Non",IF(TODAY()&gt;P445,"OUI","Non"))))</f>
        <v/>
      </c>
      <c r="U445" s="11"/>
    </row>
    <row r="446" customFormat="false" ht="15" hidden="false" customHeight="false" outlineLevel="0" collapsed="false">
      <c r="A446" s="7" t="str">
        <f aca="false">IF(B446="","",YEAR(B446)&amp;"/"&amp;TEXT(ROW()-4,"0000"))</f>
        <v/>
      </c>
      <c r="B446" s="8"/>
      <c r="C446" s="7" t="str">
        <f aca="false">IF(B446="","",INT((B446-DATE(YEAR(B446-WEEKDAY(B446-1)+4),1,3)+WEEKDAY(DATE(YEAR(B446-WEEKDAY(B446-1)+4),1,3))+5)/7))</f>
        <v/>
      </c>
      <c r="D446" s="9" t="str">
        <f aca="false">IF(B446="","",B446-WEEKDAY(B446,2)+1)</f>
        <v/>
      </c>
      <c r="E446" s="10"/>
      <c r="F446" s="8"/>
      <c r="G446" s="11"/>
      <c r="H446" s="10"/>
      <c r="I446" s="11"/>
      <c r="J446" s="10"/>
      <c r="K446" s="10"/>
      <c r="L446" s="10"/>
      <c r="M446" s="11"/>
      <c r="N446" s="8"/>
      <c r="O446" s="7" t="str">
        <f aca="false">IF(L446="","",IFERROR(VLOOKUP(L446,Paramètres!$F$5:$G$8,2,FALSE()),""))</f>
        <v/>
      </c>
      <c r="P446" s="9" t="str">
        <f aca="false">IF(OR(B446="",O446=""),"",IF(N446="",B446,N446)+O446)</f>
        <v/>
      </c>
      <c r="Q446" s="10"/>
      <c r="R446" s="8"/>
      <c r="S446" s="7" t="str">
        <f aca="false">IF(OR(B446="",R446=""),"",R446-B446)</f>
        <v/>
      </c>
      <c r="T446" s="7" t="str">
        <f aca="true">IF(OR(B446="",P446=""),"",IF(R446&lt;&gt;"",IF(R446&gt;P446,"Traité hors délai","Non"),IF(Q446="Classé sans suite","Non",IF(TODAY()&gt;P446,"OUI","Non"))))</f>
        <v/>
      </c>
      <c r="U446" s="11"/>
    </row>
    <row r="447" customFormat="false" ht="15" hidden="false" customHeight="false" outlineLevel="0" collapsed="false">
      <c r="A447" s="7" t="str">
        <f aca="false">IF(B447="","",YEAR(B447)&amp;"/"&amp;TEXT(ROW()-4,"0000"))</f>
        <v/>
      </c>
      <c r="B447" s="8"/>
      <c r="C447" s="7" t="str">
        <f aca="false">IF(B447="","",INT((B447-DATE(YEAR(B447-WEEKDAY(B447-1)+4),1,3)+WEEKDAY(DATE(YEAR(B447-WEEKDAY(B447-1)+4),1,3))+5)/7))</f>
        <v/>
      </c>
      <c r="D447" s="9" t="str">
        <f aca="false">IF(B447="","",B447-WEEKDAY(B447,2)+1)</f>
        <v/>
      </c>
      <c r="E447" s="10"/>
      <c r="F447" s="8"/>
      <c r="G447" s="11"/>
      <c r="H447" s="10"/>
      <c r="I447" s="11"/>
      <c r="J447" s="10"/>
      <c r="K447" s="10"/>
      <c r="L447" s="10"/>
      <c r="M447" s="11"/>
      <c r="N447" s="8"/>
      <c r="O447" s="7" t="str">
        <f aca="false">IF(L447="","",IFERROR(VLOOKUP(L447,Paramètres!$F$5:$G$8,2,FALSE()),""))</f>
        <v/>
      </c>
      <c r="P447" s="9" t="str">
        <f aca="false">IF(OR(B447="",O447=""),"",IF(N447="",B447,N447)+O447)</f>
        <v/>
      </c>
      <c r="Q447" s="10"/>
      <c r="R447" s="8"/>
      <c r="S447" s="7" t="str">
        <f aca="false">IF(OR(B447="",R447=""),"",R447-B447)</f>
        <v/>
      </c>
      <c r="T447" s="7" t="str">
        <f aca="true">IF(OR(B447="",P447=""),"",IF(R447&lt;&gt;"",IF(R447&gt;P447,"Traité hors délai","Non"),IF(Q447="Classé sans suite","Non",IF(TODAY()&gt;P447,"OUI","Non"))))</f>
        <v/>
      </c>
      <c r="U447" s="11"/>
    </row>
    <row r="448" customFormat="false" ht="15" hidden="false" customHeight="false" outlineLevel="0" collapsed="false">
      <c r="A448" s="7" t="str">
        <f aca="false">IF(B448="","",YEAR(B448)&amp;"/"&amp;TEXT(ROW()-4,"0000"))</f>
        <v/>
      </c>
      <c r="B448" s="8"/>
      <c r="C448" s="7" t="str">
        <f aca="false">IF(B448="","",INT((B448-DATE(YEAR(B448-WEEKDAY(B448-1)+4),1,3)+WEEKDAY(DATE(YEAR(B448-WEEKDAY(B448-1)+4),1,3))+5)/7))</f>
        <v/>
      </c>
      <c r="D448" s="9" t="str">
        <f aca="false">IF(B448="","",B448-WEEKDAY(B448,2)+1)</f>
        <v/>
      </c>
      <c r="E448" s="10"/>
      <c r="F448" s="8"/>
      <c r="G448" s="11"/>
      <c r="H448" s="10"/>
      <c r="I448" s="11"/>
      <c r="J448" s="10"/>
      <c r="K448" s="10"/>
      <c r="L448" s="10"/>
      <c r="M448" s="11"/>
      <c r="N448" s="8"/>
      <c r="O448" s="7" t="str">
        <f aca="false">IF(L448="","",IFERROR(VLOOKUP(L448,Paramètres!$F$5:$G$8,2,FALSE()),""))</f>
        <v/>
      </c>
      <c r="P448" s="9" t="str">
        <f aca="false">IF(OR(B448="",O448=""),"",IF(N448="",B448,N448)+O448)</f>
        <v/>
      </c>
      <c r="Q448" s="10"/>
      <c r="R448" s="8"/>
      <c r="S448" s="7" t="str">
        <f aca="false">IF(OR(B448="",R448=""),"",R448-B448)</f>
        <v/>
      </c>
      <c r="T448" s="7" t="str">
        <f aca="true">IF(OR(B448="",P448=""),"",IF(R448&lt;&gt;"",IF(R448&gt;P448,"Traité hors délai","Non"),IF(Q448="Classé sans suite","Non",IF(TODAY()&gt;P448,"OUI","Non"))))</f>
        <v/>
      </c>
      <c r="U448" s="11"/>
    </row>
    <row r="449" customFormat="false" ht="15" hidden="false" customHeight="false" outlineLevel="0" collapsed="false">
      <c r="A449" s="7" t="str">
        <f aca="false">IF(B449="","",YEAR(B449)&amp;"/"&amp;TEXT(ROW()-4,"0000"))</f>
        <v/>
      </c>
      <c r="B449" s="8"/>
      <c r="C449" s="7" t="str">
        <f aca="false">IF(B449="","",INT((B449-DATE(YEAR(B449-WEEKDAY(B449-1)+4),1,3)+WEEKDAY(DATE(YEAR(B449-WEEKDAY(B449-1)+4),1,3))+5)/7))</f>
        <v/>
      </c>
      <c r="D449" s="9" t="str">
        <f aca="false">IF(B449="","",B449-WEEKDAY(B449,2)+1)</f>
        <v/>
      </c>
      <c r="E449" s="10"/>
      <c r="F449" s="8"/>
      <c r="G449" s="11"/>
      <c r="H449" s="10"/>
      <c r="I449" s="11"/>
      <c r="J449" s="10"/>
      <c r="K449" s="10"/>
      <c r="L449" s="10"/>
      <c r="M449" s="11"/>
      <c r="N449" s="8"/>
      <c r="O449" s="7" t="str">
        <f aca="false">IF(L449="","",IFERROR(VLOOKUP(L449,Paramètres!$F$5:$G$8,2,FALSE()),""))</f>
        <v/>
      </c>
      <c r="P449" s="9" t="str">
        <f aca="false">IF(OR(B449="",O449=""),"",IF(N449="",B449,N449)+O449)</f>
        <v/>
      </c>
      <c r="Q449" s="10"/>
      <c r="R449" s="8"/>
      <c r="S449" s="7" t="str">
        <f aca="false">IF(OR(B449="",R449=""),"",R449-B449)</f>
        <v/>
      </c>
      <c r="T449" s="7" t="str">
        <f aca="true">IF(OR(B449="",P449=""),"",IF(R449&lt;&gt;"",IF(R449&gt;P449,"Traité hors délai","Non"),IF(Q449="Classé sans suite","Non",IF(TODAY()&gt;P449,"OUI","Non"))))</f>
        <v/>
      </c>
      <c r="U449" s="11"/>
    </row>
    <row r="450" customFormat="false" ht="15" hidden="false" customHeight="false" outlineLevel="0" collapsed="false">
      <c r="A450" s="7" t="str">
        <f aca="false">IF(B450="","",YEAR(B450)&amp;"/"&amp;TEXT(ROW()-4,"0000"))</f>
        <v/>
      </c>
      <c r="B450" s="8"/>
      <c r="C450" s="7" t="str">
        <f aca="false">IF(B450="","",INT((B450-DATE(YEAR(B450-WEEKDAY(B450-1)+4),1,3)+WEEKDAY(DATE(YEAR(B450-WEEKDAY(B450-1)+4),1,3))+5)/7))</f>
        <v/>
      </c>
      <c r="D450" s="9" t="str">
        <f aca="false">IF(B450="","",B450-WEEKDAY(B450,2)+1)</f>
        <v/>
      </c>
      <c r="E450" s="10"/>
      <c r="F450" s="8"/>
      <c r="G450" s="11"/>
      <c r="H450" s="10"/>
      <c r="I450" s="11"/>
      <c r="J450" s="10"/>
      <c r="K450" s="10"/>
      <c r="L450" s="10"/>
      <c r="M450" s="11"/>
      <c r="N450" s="8"/>
      <c r="O450" s="7" t="str">
        <f aca="false">IF(L450="","",IFERROR(VLOOKUP(L450,Paramètres!$F$5:$G$8,2,FALSE()),""))</f>
        <v/>
      </c>
      <c r="P450" s="9" t="str">
        <f aca="false">IF(OR(B450="",O450=""),"",IF(N450="",B450,N450)+O450)</f>
        <v/>
      </c>
      <c r="Q450" s="10"/>
      <c r="R450" s="8"/>
      <c r="S450" s="7" t="str">
        <f aca="false">IF(OR(B450="",R450=""),"",R450-B450)</f>
        <v/>
      </c>
      <c r="T450" s="7" t="str">
        <f aca="true">IF(OR(B450="",P450=""),"",IF(R450&lt;&gt;"",IF(R450&gt;P450,"Traité hors délai","Non"),IF(Q450="Classé sans suite","Non",IF(TODAY()&gt;P450,"OUI","Non"))))</f>
        <v/>
      </c>
      <c r="U450" s="11"/>
    </row>
    <row r="451" customFormat="false" ht="15" hidden="false" customHeight="false" outlineLevel="0" collapsed="false">
      <c r="A451" s="7" t="str">
        <f aca="false">IF(B451="","",YEAR(B451)&amp;"/"&amp;TEXT(ROW()-4,"0000"))</f>
        <v/>
      </c>
      <c r="B451" s="8"/>
      <c r="C451" s="7" t="str">
        <f aca="false">IF(B451="","",INT((B451-DATE(YEAR(B451-WEEKDAY(B451-1)+4),1,3)+WEEKDAY(DATE(YEAR(B451-WEEKDAY(B451-1)+4),1,3))+5)/7))</f>
        <v/>
      </c>
      <c r="D451" s="9" t="str">
        <f aca="false">IF(B451="","",B451-WEEKDAY(B451,2)+1)</f>
        <v/>
      </c>
      <c r="E451" s="10"/>
      <c r="F451" s="8"/>
      <c r="G451" s="11"/>
      <c r="H451" s="10"/>
      <c r="I451" s="11"/>
      <c r="J451" s="10"/>
      <c r="K451" s="10"/>
      <c r="L451" s="10"/>
      <c r="M451" s="11"/>
      <c r="N451" s="8"/>
      <c r="O451" s="7" t="str">
        <f aca="false">IF(L451="","",IFERROR(VLOOKUP(L451,Paramètres!$F$5:$G$8,2,FALSE()),""))</f>
        <v/>
      </c>
      <c r="P451" s="9" t="str">
        <f aca="false">IF(OR(B451="",O451=""),"",IF(N451="",B451,N451)+O451)</f>
        <v/>
      </c>
      <c r="Q451" s="10"/>
      <c r="R451" s="8"/>
      <c r="S451" s="7" t="str">
        <f aca="false">IF(OR(B451="",R451=""),"",R451-B451)</f>
        <v/>
      </c>
      <c r="T451" s="7" t="str">
        <f aca="true">IF(OR(B451="",P451=""),"",IF(R451&lt;&gt;"",IF(R451&gt;P451,"Traité hors délai","Non"),IF(Q451="Classé sans suite","Non",IF(TODAY()&gt;P451,"OUI","Non"))))</f>
        <v/>
      </c>
      <c r="U451" s="11"/>
    </row>
    <row r="452" customFormat="false" ht="15" hidden="false" customHeight="false" outlineLevel="0" collapsed="false">
      <c r="A452" s="7" t="str">
        <f aca="false">IF(B452="","",YEAR(B452)&amp;"/"&amp;TEXT(ROW()-4,"0000"))</f>
        <v/>
      </c>
      <c r="B452" s="8"/>
      <c r="C452" s="7" t="str">
        <f aca="false">IF(B452="","",INT((B452-DATE(YEAR(B452-WEEKDAY(B452-1)+4),1,3)+WEEKDAY(DATE(YEAR(B452-WEEKDAY(B452-1)+4),1,3))+5)/7))</f>
        <v/>
      </c>
      <c r="D452" s="9" t="str">
        <f aca="false">IF(B452="","",B452-WEEKDAY(B452,2)+1)</f>
        <v/>
      </c>
      <c r="E452" s="10"/>
      <c r="F452" s="8"/>
      <c r="G452" s="11"/>
      <c r="H452" s="10"/>
      <c r="I452" s="11"/>
      <c r="J452" s="10"/>
      <c r="K452" s="10"/>
      <c r="L452" s="10"/>
      <c r="M452" s="11"/>
      <c r="N452" s="8"/>
      <c r="O452" s="7" t="str">
        <f aca="false">IF(L452="","",IFERROR(VLOOKUP(L452,Paramètres!$F$5:$G$8,2,FALSE()),""))</f>
        <v/>
      </c>
      <c r="P452" s="9" t="str">
        <f aca="false">IF(OR(B452="",O452=""),"",IF(N452="",B452,N452)+O452)</f>
        <v/>
      </c>
      <c r="Q452" s="10"/>
      <c r="R452" s="8"/>
      <c r="S452" s="7" t="str">
        <f aca="false">IF(OR(B452="",R452=""),"",R452-B452)</f>
        <v/>
      </c>
      <c r="T452" s="7" t="str">
        <f aca="true">IF(OR(B452="",P452=""),"",IF(R452&lt;&gt;"",IF(R452&gt;P452,"Traité hors délai","Non"),IF(Q452="Classé sans suite","Non",IF(TODAY()&gt;P452,"OUI","Non"))))</f>
        <v/>
      </c>
      <c r="U452" s="11"/>
    </row>
    <row r="453" customFormat="false" ht="15" hidden="false" customHeight="false" outlineLevel="0" collapsed="false">
      <c r="A453" s="7" t="str">
        <f aca="false">IF(B453="","",YEAR(B453)&amp;"/"&amp;TEXT(ROW()-4,"0000"))</f>
        <v/>
      </c>
      <c r="B453" s="8"/>
      <c r="C453" s="7" t="str">
        <f aca="false">IF(B453="","",INT((B453-DATE(YEAR(B453-WEEKDAY(B453-1)+4),1,3)+WEEKDAY(DATE(YEAR(B453-WEEKDAY(B453-1)+4),1,3))+5)/7))</f>
        <v/>
      </c>
      <c r="D453" s="9" t="str">
        <f aca="false">IF(B453="","",B453-WEEKDAY(B453,2)+1)</f>
        <v/>
      </c>
      <c r="E453" s="10"/>
      <c r="F453" s="8"/>
      <c r="G453" s="11"/>
      <c r="H453" s="10"/>
      <c r="I453" s="11"/>
      <c r="J453" s="10"/>
      <c r="K453" s="10"/>
      <c r="L453" s="10"/>
      <c r="M453" s="11"/>
      <c r="N453" s="8"/>
      <c r="O453" s="7" t="str">
        <f aca="false">IF(L453="","",IFERROR(VLOOKUP(L453,Paramètres!$F$5:$G$8,2,FALSE()),""))</f>
        <v/>
      </c>
      <c r="P453" s="9" t="str">
        <f aca="false">IF(OR(B453="",O453=""),"",IF(N453="",B453,N453)+O453)</f>
        <v/>
      </c>
      <c r="Q453" s="10"/>
      <c r="R453" s="8"/>
      <c r="S453" s="7" t="str">
        <f aca="false">IF(OR(B453="",R453=""),"",R453-B453)</f>
        <v/>
      </c>
      <c r="T453" s="7" t="str">
        <f aca="true">IF(OR(B453="",P453=""),"",IF(R453&lt;&gt;"",IF(R453&gt;P453,"Traité hors délai","Non"),IF(Q453="Classé sans suite","Non",IF(TODAY()&gt;P453,"OUI","Non"))))</f>
        <v/>
      </c>
      <c r="U453" s="11"/>
    </row>
    <row r="454" customFormat="false" ht="15" hidden="false" customHeight="false" outlineLevel="0" collapsed="false">
      <c r="A454" s="7" t="str">
        <f aca="false">IF(B454="","",YEAR(B454)&amp;"/"&amp;TEXT(ROW()-4,"0000"))</f>
        <v/>
      </c>
      <c r="B454" s="8"/>
      <c r="C454" s="7" t="str">
        <f aca="false">IF(B454="","",INT((B454-DATE(YEAR(B454-WEEKDAY(B454-1)+4),1,3)+WEEKDAY(DATE(YEAR(B454-WEEKDAY(B454-1)+4),1,3))+5)/7))</f>
        <v/>
      </c>
      <c r="D454" s="9" t="str">
        <f aca="false">IF(B454="","",B454-WEEKDAY(B454,2)+1)</f>
        <v/>
      </c>
      <c r="E454" s="10"/>
      <c r="F454" s="8"/>
      <c r="G454" s="11"/>
      <c r="H454" s="10"/>
      <c r="I454" s="11"/>
      <c r="J454" s="10"/>
      <c r="K454" s="10"/>
      <c r="L454" s="10"/>
      <c r="M454" s="11"/>
      <c r="N454" s="8"/>
      <c r="O454" s="7" t="str">
        <f aca="false">IF(L454="","",IFERROR(VLOOKUP(L454,Paramètres!$F$5:$G$8,2,FALSE()),""))</f>
        <v/>
      </c>
      <c r="P454" s="9" t="str">
        <f aca="false">IF(OR(B454="",O454=""),"",IF(N454="",B454,N454)+O454)</f>
        <v/>
      </c>
      <c r="Q454" s="10"/>
      <c r="R454" s="8"/>
      <c r="S454" s="7" t="str">
        <f aca="false">IF(OR(B454="",R454=""),"",R454-B454)</f>
        <v/>
      </c>
      <c r="T454" s="7" t="str">
        <f aca="true">IF(OR(B454="",P454=""),"",IF(R454&lt;&gt;"",IF(R454&gt;P454,"Traité hors délai","Non"),IF(Q454="Classé sans suite","Non",IF(TODAY()&gt;P454,"OUI","Non"))))</f>
        <v/>
      </c>
      <c r="U454" s="11"/>
    </row>
    <row r="455" customFormat="false" ht="15" hidden="false" customHeight="false" outlineLevel="0" collapsed="false">
      <c r="A455" s="7" t="str">
        <f aca="false">IF(B455="","",YEAR(B455)&amp;"/"&amp;TEXT(ROW()-4,"0000"))</f>
        <v/>
      </c>
      <c r="B455" s="8"/>
      <c r="C455" s="7" t="str">
        <f aca="false">IF(B455="","",INT((B455-DATE(YEAR(B455-WEEKDAY(B455-1)+4),1,3)+WEEKDAY(DATE(YEAR(B455-WEEKDAY(B455-1)+4),1,3))+5)/7))</f>
        <v/>
      </c>
      <c r="D455" s="9" t="str">
        <f aca="false">IF(B455="","",B455-WEEKDAY(B455,2)+1)</f>
        <v/>
      </c>
      <c r="E455" s="10"/>
      <c r="F455" s="8"/>
      <c r="G455" s="11"/>
      <c r="H455" s="10"/>
      <c r="I455" s="11"/>
      <c r="J455" s="10"/>
      <c r="K455" s="10"/>
      <c r="L455" s="10"/>
      <c r="M455" s="11"/>
      <c r="N455" s="8"/>
      <c r="O455" s="7" t="str">
        <f aca="false">IF(L455="","",IFERROR(VLOOKUP(L455,Paramètres!$F$5:$G$8,2,FALSE()),""))</f>
        <v/>
      </c>
      <c r="P455" s="9" t="str">
        <f aca="false">IF(OR(B455="",O455=""),"",IF(N455="",B455,N455)+O455)</f>
        <v/>
      </c>
      <c r="Q455" s="10"/>
      <c r="R455" s="8"/>
      <c r="S455" s="7" t="str">
        <f aca="false">IF(OR(B455="",R455=""),"",R455-B455)</f>
        <v/>
      </c>
      <c r="T455" s="7" t="str">
        <f aca="true">IF(OR(B455="",P455=""),"",IF(R455&lt;&gt;"",IF(R455&gt;P455,"Traité hors délai","Non"),IF(Q455="Classé sans suite","Non",IF(TODAY()&gt;P455,"OUI","Non"))))</f>
        <v/>
      </c>
      <c r="U455" s="11"/>
    </row>
    <row r="456" customFormat="false" ht="15" hidden="false" customHeight="false" outlineLevel="0" collapsed="false">
      <c r="A456" s="7" t="str">
        <f aca="false">IF(B456="","",YEAR(B456)&amp;"/"&amp;TEXT(ROW()-4,"0000"))</f>
        <v/>
      </c>
      <c r="B456" s="8"/>
      <c r="C456" s="7" t="str">
        <f aca="false">IF(B456="","",INT((B456-DATE(YEAR(B456-WEEKDAY(B456-1)+4),1,3)+WEEKDAY(DATE(YEAR(B456-WEEKDAY(B456-1)+4),1,3))+5)/7))</f>
        <v/>
      </c>
      <c r="D456" s="9" t="str">
        <f aca="false">IF(B456="","",B456-WEEKDAY(B456,2)+1)</f>
        <v/>
      </c>
      <c r="E456" s="10"/>
      <c r="F456" s="8"/>
      <c r="G456" s="11"/>
      <c r="H456" s="10"/>
      <c r="I456" s="11"/>
      <c r="J456" s="10"/>
      <c r="K456" s="10"/>
      <c r="L456" s="10"/>
      <c r="M456" s="11"/>
      <c r="N456" s="8"/>
      <c r="O456" s="7" t="str">
        <f aca="false">IF(L456="","",IFERROR(VLOOKUP(L456,Paramètres!$F$5:$G$8,2,FALSE()),""))</f>
        <v/>
      </c>
      <c r="P456" s="9" t="str">
        <f aca="false">IF(OR(B456="",O456=""),"",IF(N456="",B456,N456)+O456)</f>
        <v/>
      </c>
      <c r="Q456" s="10"/>
      <c r="R456" s="8"/>
      <c r="S456" s="7" t="str">
        <f aca="false">IF(OR(B456="",R456=""),"",R456-B456)</f>
        <v/>
      </c>
      <c r="T456" s="7" t="str">
        <f aca="true">IF(OR(B456="",P456=""),"",IF(R456&lt;&gt;"",IF(R456&gt;P456,"Traité hors délai","Non"),IF(Q456="Classé sans suite","Non",IF(TODAY()&gt;P456,"OUI","Non"))))</f>
        <v/>
      </c>
      <c r="U456" s="11"/>
    </row>
    <row r="457" customFormat="false" ht="15" hidden="false" customHeight="false" outlineLevel="0" collapsed="false">
      <c r="A457" s="7" t="str">
        <f aca="false">IF(B457="","",YEAR(B457)&amp;"/"&amp;TEXT(ROW()-4,"0000"))</f>
        <v/>
      </c>
      <c r="B457" s="8"/>
      <c r="C457" s="7" t="str">
        <f aca="false">IF(B457="","",INT((B457-DATE(YEAR(B457-WEEKDAY(B457-1)+4),1,3)+WEEKDAY(DATE(YEAR(B457-WEEKDAY(B457-1)+4),1,3))+5)/7))</f>
        <v/>
      </c>
      <c r="D457" s="9" t="str">
        <f aca="false">IF(B457="","",B457-WEEKDAY(B457,2)+1)</f>
        <v/>
      </c>
      <c r="E457" s="10"/>
      <c r="F457" s="8"/>
      <c r="G457" s="11"/>
      <c r="H457" s="10"/>
      <c r="I457" s="11"/>
      <c r="J457" s="10"/>
      <c r="K457" s="10"/>
      <c r="L457" s="10"/>
      <c r="M457" s="11"/>
      <c r="N457" s="8"/>
      <c r="O457" s="7" t="str">
        <f aca="false">IF(L457="","",IFERROR(VLOOKUP(L457,Paramètres!$F$5:$G$8,2,FALSE()),""))</f>
        <v/>
      </c>
      <c r="P457" s="9" t="str">
        <f aca="false">IF(OR(B457="",O457=""),"",IF(N457="",B457,N457)+O457)</f>
        <v/>
      </c>
      <c r="Q457" s="10"/>
      <c r="R457" s="8"/>
      <c r="S457" s="7" t="str">
        <f aca="false">IF(OR(B457="",R457=""),"",R457-B457)</f>
        <v/>
      </c>
      <c r="T457" s="7" t="str">
        <f aca="true">IF(OR(B457="",P457=""),"",IF(R457&lt;&gt;"",IF(R457&gt;P457,"Traité hors délai","Non"),IF(Q457="Classé sans suite","Non",IF(TODAY()&gt;P457,"OUI","Non"))))</f>
        <v/>
      </c>
      <c r="U457" s="11"/>
    </row>
    <row r="458" customFormat="false" ht="15" hidden="false" customHeight="false" outlineLevel="0" collapsed="false">
      <c r="A458" s="7" t="str">
        <f aca="false">IF(B458="","",YEAR(B458)&amp;"/"&amp;TEXT(ROW()-4,"0000"))</f>
        <v/>
      </c>
      <c r="B458" s="8"/>
      <c r="C458" s="7" t="str">
        <f aca="false">IF(B458="","",INT((B458-DATE(YEAR(B458-WEEKDAY(B458-1)+4),1,3)+WEEKDAY(DATE(YEAR(B458-WEEKDAY(B458-1)+4),1,3))+5)/7))</f>
        <v/>
      </c>
      <c r="D458" s="9" t="str">
        <f aca="false">IF(B458="","",B458-WEEKDAY(B458,2)+1)</f>
        <v/>
      </c>
      <c r="E458" s="10"/>
      <c r="F458" s="8"/>
      <c r="G458" s="11"/>
      <c r="H458" s="10"/>
      <c r="I458" s="11"/>
      <c r="J458" s="10"/>
      <c r="K458" s="10"/>
      <c r="L458" s="10"/>
      <c r="M458" s="11"/>
      <c r="N458" s="8"/>
      <c r="O458" s="7" t="str">
        <f aca="false">IF(L458="","",IFERROR(VLOOKUP(L458,Paramètres!$F$5:$G$8,2,FALSE()),""))</f>
        <v/>
      </c>
      <c r="P458" s="9" t="str">
        <f aca="false">IF(OR(B458="",O458=""),"",IF(N458="",B458,N458)+O458)</f>
        <v/>
      </c>
      <c r="Q458" s="10"/>
      <c r="R458" s="8"/>
      <c r="S458" s="7" t="str">
        <f aca="false">IF(OR(B458="",R458=""),"",R458-B458)</f>
        <v/>
      </c>
      <c r="T458" s="7" t="str">
        <f aca="true">IF(OR(B458="",P458=""),"",IF(R458&lt;&gt;"",IF(R458&gt;P458,"Traité hors délai","Non"),IF(Q458="Classé sans suite","Non",IF(TODAY()&gt;P458,"OUI","Non"))))</f>
        <v/>
      </c>
      <c r="U458" s="11"/>
    </row>
    <row r="459" customFormat="false" ht="15" hidden="false" customHeight="false" outlineLevel="0" collapsed="false">
      <c r="A459" s="7" t="str">
        <f aca="false">IF(B459="","",YEAR(B459)&amp;"/"&amp;TEXT(ROW()-4,"0000"))</f>
        <v/>
      </c>
      <c r="B459" s="8"/>
      <c r="C459" s="7" t="str">
        <f aca="false">IF(B459="","",INT((B459-DATE(YEAR(B459-WEEKDAY(B459-1)+4),1,3)+WEEKDAY(DATE(YEAR(B459-WEEKDAY(B459-1)+4),1,3))+5)/7))</f>
        <v/>
      </c>
      <c r="D459" s="9" t="str">
        <f aca="false">IF(B459="","",B459-WEEKDAY(B459,2)+1)</f>
        <v/>
      </c>
      <c r="E459" s="10"/>
      <c r="F459" s="8"/>
      <c r="G459" s="11"/>
      <c r="H459" s="10"/>
      <c r="I459" s="11"/>
      <c r="J459" s="10"/>
      <c r="K459" s="10"/>
      <c r="L459" s="10"/>
      <c r="M459" s="11"/>
      <c r="N459" s="8"/>
      <c r="O459" s="7" t="str">
        <f aca="false">IF(L459="","",IFERROR(VLOOKUP(L459,Paramètres!$F$5:$G$8,2,FALSE()),""))</f>
        <v/>
      </c>
      <c r="P459" s="9" t="str">
        <f aca="false">IF(OR(B459="",O459=""),"",IF(N459="",B459,N459)+O459)</f>
        <v/>
      </c>
      <c r="Q459" s="10"/>
      <c r="R459" s="8"/>
      <c r="S459" s="7" t="str">
        <f aca="false">IF(OR(B459="",R459=""),"",R459-B459)</f>
        <v/>
      </c>
      <c r="T459" s="7" t="str">
        <f aca="true">IF(OR(B459="",P459=""),"",IF(R459&lt;&gt;"",IF(R459&gt;P459,"Traité hors délai","Non"),IF(Q459="Classé sans suite","Non",IF(TODAY()&gt;P459,"OUI","Non"))))</f>
        <v/>
      </c>
      <c r="U459" s="11"/>
    </row>
    <row r="460" customFormat="false" ht="15" hidden="false" customHeight="false" outlineLevel="0" collapsed="false">
      <c r="A460" s="7" t="str">
        <f aca="false">IF(B460="","",YEAR(B460)&amp;"/"&amp;TEXT(ROW()-4,"0000"))</f>
        <v/>
      </c>
      <c r="B460" s="8"/>
      <c r="C460" s="7" t="str">
        <f aca="false">IF(B460="","",INT((B460-DATE(YEAR(B460-WEEKDAY(B460-1)+4),1,3)+WEEKDAY(DATE(YEAR(B460-WEEKDAY(B460-1)+4),1,3))+5)/7))</f>
        <v/>
      </c>
      <c r="D460" s="9" t="str">
        <f aca="false">IF(B460="","",B460-WEEKDAY(B460,2)+1)</f>
        <v/>
      </c>
      <c r="E460" s="10"/>
      <c r="F460" s="8"/>
      <c r="G460" s="11"/>
      <c r="H460" s="10"/>
      <c r="I460" s="11"/>
      <c r="J460" s="10"/>
      <c r="K460" s="10"/>
      <c r="L460" s="10"/>
      <c r="M460" s="11"/>
      <c r="N460" s="8"/>
      <c r="O460" s="7" t="str">
        <f aca="false">IF(L460="","",IFERROR(VLOOKUP(L460,Paramètres!$F$5:$G$8,2,FALSE()),""))</f>
        <v/>
      </c>
      <c r="P460" s="9" t="str">
        <f aca="false">IF(OR(B460="",O460=""),"",IF(N460="",B460,N460)+O460)</f>
        <v/>
      </c>
      <c r="Q460" s="10"/>
      <c r="R460" s="8"/>
      <c r="S460" s="7" t="str">
        <f aca="false">IF(OR(B460="",R460=""),"",R460-B460)</f>
        <v/>
      </c>
      <c r="T460" s="7" t="str">
        <f aca="true">IF(OR(B460="",P460=""),"",IF(R460&lt;&gt;"",IF(R460&gt;P460,"Traité hors délai","Non"),IF(Q460="Classé sans suite","Non",IF(TODAY()&gt;P460,"OUI","Non"))))</f>
        <v/>
      </c>
      <c r="U460" s="11"/>
    </row>
    <row r="461" customFormat="false" ht="15" hidden="false" customHeight="false" outlineLevel="0" collapsed="false">
      <c r="A461" s="7" t="str">
        <f aca="false">IF(B461="","",YEAR(B461)&amp;"/"&amp;TEXT(ROW()-4,"0000"))</f>
        <v/>
      </c>
      <c r="B461" s="8"/>
      <c r="C461" s="7" t="str">
        <f aca="false">IF(B461="","",INT((B461-DATE(YEAR(B461-WEEKDAY(B461-1)+4),1,3)+WEEKDAY(DATE(YEAR(B461-WEEKDAY(B461-1)+4),1,3))+5)/7))</f>
        <v/>
      </c>
      <c r="D461" s="9" t="str">
        <f aca="false">IF(B461="","",B461-WEEKDAY(B461,2)+1)</f>
        <v/>
      </c>
      <c r="E461" s="10"/>
      <c r="F461" s="8"/>
      <c r="G461" s="11"/>
      <c r="H461" s="10"/>
      <c r="I461" s="11"/>
      <c r="J461" s="10"/>
      <c r="K461" s="10"/>
      <c r="L461" s="10"/>
      <c r="M461" s="11"/>
      <c r="N461" s="8"/>
      <c r="O461" s="7" t="str">
        <f aca="false">IF(L461="","",IFERROR(VLOOKUP(L461,Paramètres!$F$5:$G$8,2,FALSE()),""))</f>
        <v/>
      </c>
      <c r="P461" s="9" t="str">
        <f aca="false">IF(OR(B461="",O461=""),"",IF(N461="",B461,N461)+O461)</f>
        <v/>
      </c>
      <c r="Q461" s="10"/>
      <c r="R461" s="8"/>
      <c r="S461" s="7" t="str">
        <f aca="false">IF(OR(B461="",R461=""),"",R461-B461)</f>
        <v/>
      </c>
      <c r="T461" s="7" t="str">
        <f aca="true">IF(OR(B461="",P461=""),"",IF(R461&lt;&gt;"",IF(R461&gt;P461,"Traité hors délai","Non"),IF(Q461="Classé sans suite","Non",IF(TODAY()&gt;P461,"OUI","Non"))))</f>
        <v/>
      </c>
      <c r="U461" s="11"/>
    </row>
    <row r="462" customFormat="false" ht="15" hidden="false" customHeight="false" outlineLevel="0" collapsed="false">
      <c r="A462" s="7" t="str">
        <f aca="false">IF(B462="","",YEAR(B462)&amp;"/"&amp;TEXT(ROW()-4,"0000"))</f>
        <v/>
      </c>
      <c r="B462" s="8"/>
      <c r="C462" s="7" t="str">
        <f aca="false">IF(B462="","",INT((B462-DATE(YEAR(B462-WEEKDAY(B462-1)+4),1,3)+WEEKDAY(DATE(YEAR(B462-WEEKDAY(B462-1)+4),1,3))+5)/7))</f>
        <v/>
      </c>
      <c r="D462" s="9" t="str">
        <f aca="false">IF(B462="","",B462-WEEKDAY(B462,2)+1)</f>
        <v/>
      </c>
      <c r="E462" s="10"/>
      <c r="F462" s="8"/>
      <c r="G462" s="11"/>
      <c r="H462" s="10"/>
      <c r="I462" s="11"/>
      <c r="J462" s="10"/>
      <c r="K462" s="10"/>
      <c r="L462" s="10"/>
      <c r="M462" s="11"/>
      <c r="N462" s="8"/>
      <c r="O462" s="7" t="str">
        <f aca="false">IF(L462="","",IFERROR(VLOOKUP(L462,Paramètres!$F$5:$G$8,2,FALSE()),""))</f>
        <v/>
      </c>
      <c r="P462" s="9" t="str">
        <f aca="false">IF(OR(B462="",O462=""),"",IF(N462="",B462,N462)+O462)</f>
        <v/>
      </c>
      <c r="Q462" s="10"/>
      <c r="R462" s="8"/>
      <c r="S462" s="7" t="str">
        <f aca="false">IF(OR(B462="",R462=""),"",R462-B462)</f>
        <v/>
      </c>
      <c r="T462" s="7" t="str">
        <f aca="true">IF(OR(B462="",P462=""),"",IF(R462&lt;&gt;"",IF(R462&gt;P462,"Traité hors délai","Non"),IF(Q462="Classé sans suite","Non",IF(TODAY()&gt;P462,"OUI","Non"))))</f>
        <v/>
      </c>
      <c r="U462" s="11"/>
    </row>
    <row r="463" customFormat="false" ht="15" hidden="false" customHeight="false" outlineLevel="0" collapsed="false">
      <c r="A463" s="7" t="str">
        <f aca="false">IF(B463="","",YEAR(B463)&amp;"/"&amp;TEXT(ROW()-4,"0000"))</f>
        <v/>
      </c>
      <c r="B463" s="8"/>
      <c r="C463" s="7" t="str">
        <f aca="false">IF(B463="","",INT((B463-DATE(YEAR(B463-WEEKDAY(B463-1)+4),1,3)+WEEKDAY(DATE(YEAR(B463-WEEKDAY(B463-1)+4),1,3))+5)/7))</f>
        <v/>
      </c>
      <c r="D463" s="9" t="str">
        <f aca="false">IF(B463="","",B463-WEEKDAY(B463,2)+1)</f>
        <v/>
      </c>
      <c r="E463" s="10"/>
      <c r="F463" s="8"/>
      <c r="G463" s="11"/>
      <c r="H463" s="10"/>
      <c r="I463" s="11"/>
      <c r="J463" s="10"/>
      <c r="K463" s="10"/>
      <c r="L463" s="10"/>
      <c r="M463" s="11"/>
      <c r="N463" s="8"/>
      <c r="O463" s="7" t="str">
        <f aca="false">IF(L463="","",IFERROR(VLOOKUP(L463,Paramètres!$F$5:$G$8,2,FALSE()),""))</f>
        <v/>
      </c>
      <c r="P463" s="9" t="str">
        <f aca="false">IF(OR(B463="",O463=""),"",IF(N463="",B463,N463)+O463)</f>
        <v/>
      </c>
      <c r="Q463" s="10"/>
      <c r="R463" s="8"/>
      <c r="S463" s="7" t="str">
        <f aca="false">IF(OR(B463="",R463=""),"",R463-B463)</f>
        <v/>
      </c>
      <c r="T463" s="7" t="str">
        <f aca="true">IF(OR(B463="",P463=""),"",IF(R463&lt;&gt;"",IF(R463&gt;P463,"Traité hors délai","Non"),IF(Q463="Classé sans suite","Non",IF(TODAY()&gt;P463,"OUI","Non"))))</f>
        <v/>
      </c>
      <c r="U463" s="11"/>
    </row>
    <row r="464" customFormat="false" ht="15" hidden="false" customHeight="false" outlineLevel="0" collapsed="false">
      <c r="A464" s="7" t="str">
        <f aca="false">IF(B464="","",YEAR(B464)&amp;"/"&amp;TEXT(ROW()-4,"0000"))</f>
        <v/>
      </c>
      <c r="B464" s="8"/>
      <c r="C464" s="7" t="str">
        <f aca="false">IF(B464="","",INT((B464-DATE(YEAR(B464-WEEKDAY(B464-1)+4),1,3)+WEEKDAY(DATE(YEAR(B464-WEEKDAY(B464-1)+4),1,3))+5)/7))</f>
        <v/>
      </c>
      <c r="D464" s="9" t="str">
        <f aca="false">IF(B464="","",B464-WEEKDAY(B464,2)+1)</f>
        <v/>
      </c>
      <c r="E464" s="10"/>
      <c r="F464" s="8"/>
      <c r="G464" s="11"/>
      <c r="H464" s="10"/>
      <c r="I464" s="11"/>
      <c r="J464" s="10"/>
      <c r="K464" s="10"/>
      <c r="L464" s="10"/>
      <c r="M464" s="11"/>
      <c r="N464" s="8"/>
      <c r="O464" s="7" t="str">
        <f aca="false">IF(L464="","",IFERROR(VLOOKUP(L464,Paramètres!$F$5:$G$8,2,FALSE()),""))</f>
        <v/>
      </c>
      <c r="P464" s="9" t="str">
        <f aca="false">IF(OR(B464="",O464=""),"",IF(N464="",B464,N464)+O464)</f>
        <v/>
      </c>
      <c r="Q464" s="10"/>
      <c r="R464" s="8"/>
      <c r="S464" s="7" t="str">
        <f aca="false">IF(OR(B464="",R464=""),"",R464-B464)</f>
        <v/>
      </c>
      <c r="T464" s="7" t="str">
        <f aca="true">IF(OR(B464="",P464=""),"",IF(R464&lt;&gt;"",IF(R464&gt;P464,"Traité hors délai","Non"),IF(Q464="Classé sans suite","Non",IF(TODAY()&gt;P464,"OUI","Non"))))</f>
        <v/>
      </c>
      <c r="U464" s="11"/>
    </row>
    <row r="465" customFormat="false" ht="15" hidden="false" customHeight="false" outlineLevel="0" collapsed="false">
      <c r="A465" s="7" t="str">
        <f aca="false">IF(B465="","",YEAR(B465)&amp;"/"&amp;TEXT(ROW()-4,"0000"))</f>
        <v/>
      </c>
      <c r="B465" s="8"/>
      <c r="C465" s="7" t="str">
        <f aca="false">IF(B465="","",INT((B465-DATE(YEAR(B465-WEEKDAY(B465-1)+4),1,3)+WEEKDAY(DATE(YEAR(B465-WEEKDAY(B465-1)+4),1,3))+5)/7))</f>
        <v/>
      </c>
      <c r="D465" s="9" t="str">
        <f aca="false">IF(B465="","",B465-WEEKDAY(B465,2)+1)</f>
        <v/>
      </c>
      <c r="E465" s="10"/>
      <c r="F465" s="8"/>
      <c r="G465" s="11"/>
      <c r="H465" s="10"/>
      <c r="I465" s="11"/>
      <c r="J465" s="10"/>
      <c r="K465" s="10"/>
      <c r="L465" s="10"/>
      <c r="M465" s="11"/>
      <c r="N465" s="8"/>
      <c r="O465" s="7" t="str">
        <f aca="false">IF(L465="","",IFERROR(VLOOKUP(L465,Paramètres!$F$5:$G$8,2,FALSE()),""))</f>
        <v/>
      </c>
      <c r="P465" s="9" t="str">
        <f aca="false">IF(OR(B465="",O465=""),"",IF(N465="",B465,N465)+O465)</f>
        <v/>
      </c>
      <c r="Q465" s="10"/>
      <c r="R465" s="8"/>
      <c r="S465" s="7" t="str">
        <f aca="false">IF(OR(B465="",R465=""),"",R465-B465)</f>
        <v/>
      </c>
      <c r="T465" s="7" t="str">
        <f aca="true">IF(OR(B465="",P465=""),"",IF(R465&lt;&gt;"",IF(R465&gt;P465,"Traité hors délai","Non"),IF(Q465="Classé sans suite","Non",IF(TODAY()&gt;P465,"OUI","Non"))))</f>
        <v/>
      </c>
      <c r="U465" s="11"/>
    </row>
    <row r="466" customFormat="false" ht="15" hidden="false" customHeight="false" outlineLevel="0" collapsed="false">
      <c r="A466" s="7" t="str">
        <f aca="false">IF(B466="","",YEAR(B466)&amp;"/"&amp;TEXT(ROW()-4,"0000"))</f>
        <v/>
      </c>
      <c r="B466" s="8"/>
      <c r="C466" s="7" t="str">
        <f aca="false">IF(B466="","",INT((B466-DATE(YEAR(B466-WEEKDAY(B466-1)+4),1,3)+WEEKDAY(DATE(YEAR(B466-WEEKDAY(B466-1)+4),1,3))+5)/7))</f>
        <v/>
      </c>
      <c r="D466" s="9" t="str">
        <f aca="false">IF(B466="","",B466-WEEKDAY(B466,2)+1)</f>
        <v/>
      </c>
      <c r="E466" s="10"/>
      <c r="F466" s="8"/>
      <c r="G466" s="11"/>
      <c r="H466" s="10"/>
      <c r="I466" s="11"/>
      <c r="J466" s="10"/>
      <c r="K466" s="10"/>
      <c r="L466" s="10"/>
      <c r="M466" s="11"/>
      <c r="N466" s="8"/>
      <c r="O466" s="7" t="str">
        <f aca="false">IF(L466="","",IFERROR(VLOOKUP(L466,Paramètres!$F$5:$G$8,2,FALSE()),""))</f>
        <v/>
      </c>
      <c r="P466" s="9" t="str">
        <f aca="false">IF(OR(B466="",O466=""),"",IF(N466="",B466,N466)+O466)</f>
        <v/>
      </c>
      <c r="Q466" s="10"/>
      <c r="R466" s="8"/>
      <c r="S466" s="7" t="str">
        <f aca="false">IF(OR(B466="",R466=""),"",R466-B466)</f>
        <v/>
      </c>
      <c r="T466" s="7" t="str">
        <f aca="true">IF(OR(B466="",P466=""),"",IF(R466&lt;&gt;"",IF(R466&gt;P466,"Traité hors délai","Non"),IF(Q466="Classé sans suite","Non",IF(TODAY()&gt;P466,"OUI","Non"))))</f>
        <v/>
      </c>
      <c r="U466" s="11"/>
    </row>
    <row r="467" customFormat="false" ht="15" hidden="false" customHeight="false" outlineLevel="0" collapsed="false">
      <c r="A467" s="7" t="str">
        <f aca="false">IF(B467="","",YEAR(B467)&amp;"/"&amp;TEXT(ROW()-4,"0000"))</f>
        <v/>
      </c>
      <c r="B467" s="8"/>
      <c r="C467" s="7" t="str">
        <f aca="false">IF(B467="","",INT((B467-DATE(YEAR(B467-WEEKDAY(B467-1)+4),1,3)+WEEKDAY(DATE(YEAR(B467-WEEKDAY(B467-1)+4),1,3))+5)/7))</f>
        <v/>
      </c>
      <c r="D467" s="9" t="str">
        <f aca="false">IF(B467="","",B467-WEEKDAY(B467,2)+1)</f>
        <v/>
      </c>
      <c r="E467" s="10"/>
      <c r="F467" s="8"/>
      <c r="G467" s="11"/>
      <c r="H467" s="10"/>
      <c r="I467" s="11"/>
      <c r="J467" s="10"/>
      <c r="K467" s="10"/>
      <c r="L467" s="10"/>
      <c r="M467" s="11"/>
      <c r="N467" s="8"/>
      <c r="O467" s="7" t="str">
        <f aca="false">IF(L467="","",IFERROR(VLOOKUP(L467,Paramètres!$F$5:$G$8,2,FALSE()),""))</f>
        <v/>
      </c>
      <c r="P467" s="9" t="str">
        <f aca="false">IF(OR(B467="",O467=""),"",IF(N467="",B467,N467)+O467)</f>
        <v/>
      </c>
      <c r="Q467" s="10"/>
      <c r="R467" s="8"/>
      <c r="S467" s="7" t="str">
        <f aca="false">IF(OR(B467="",R467=""),"",R467-B467)</f>
        <v/>
      </c>
      <c r="T467" s="7" t="str">
        <f aca="true">IF(OR(B467="",P467=""),"",IF(R467&lt;&gt;"",IF(R467&gt;P467,"Traité hors délai","Non"),IF(Q467="Classé sans suite","Non",IF(TODAY()&gt;P467,"OUI","Non"))))</f>
        <v/>
      </c>
      <c r="U467" s="11"/>
    </row>
    <row r="468" customFormat="false" ht="15" hidden="false" customHeight="false" outlineLevel="0" collapsed="false">
      <c r="A468" s="7" t="str">
        <f aca="false">IF(B468="","",YEAR(B468)&amp;"/"&amp;TEXT(ROW()-4,"0000"))</f>
        <v/>
      </c>
      <c r="B468" s="8"/>
      <c r="C468" s="7" t="str">
        <f aca="false">IF(B468="","",INT((B468-DATE(YEAR(B468-WEEKDAY(B468-1)+4),1,3)+WEEKDAY(DATE(YEAR(B468-WEEKDAY(B468-1)+4),1,3))+5)/7))</f>
        <v/>
      </c>
      <c r="D468" s="9" t="str">
        <f aca="false">IF(B468="","",B468-WEEKDAY(B468,2)+1)</f>
        <v/>
      </c>
      <c r="E468" s="10"/>
      <c r="F468" s="8"/>
      <c r="G468" s="11"/>
      <c r="H468" s="10"/>
      <c r="I468" s="11"/>
      <c r="J468" s="10"/>
      <c r="K468" s="10"/>
      <c r="L468" s="10"/>
      <c r="M468" s="11"/>
      <c r="N468" s="8"/>
      <c r="O468" s="7" t="str">
        <f aca="false">IF(L468="","",IFERROR(VLOOKUP(L468,Paramètres!$F$5:$G$8,2,FALSE()),""))</f>
        <v/>
      </c>
      <c r="P468" s="9" t="str">
        <f aca="false">IF(OR(B468="",O468=""),"",IF(N468="",B468,N468)+O468)</f>
        <v/>
      </c>
      <c r="Q468" s="10"/>
      <c r="R468" s="8"/>
      <c r="S468" s="7" t="str">
        <f aca="false">IF(OR(B468="",R468=""),"",R468-B468)</f>
        <v/>
      </c>
      <c r="T468" s="7" t="str">
        <f aca="true">IF(OR(B468="",P468=""),"",IF(R468&lt;&gt;"",IF(R468&gt;P468,"Traité hors délai","Non"),IF(Q468="Classé sans suite","Non",IF(TODAY()&gt;P468,"OUI","Non"))))</f>
        <v/>
      </c>
      <c r="U468" s="11"/>
    </row>
    <row r="469" customFormat="false" ht="15" hidden="false" customHeight="false" outlineLevel="0" collapsed="false">
      <c r="A469" s="7" t="str">
        <f aca="false">IF(B469="","",YEAR(B469)&amp;"/"&amp;TEXT(ROW()-4,"0000"))</f>
        <v/>
      </c>
      <c r="B469" s="8"/>
      <c r="C469" s="7" t="str">
        <f aca="false">IF(B469="","",INT((B469-DATE(YEAR(B469-WEEKDAY(B469-1)+4),1,3)+WEEKDAY(DATE(YEAR(B469-WEEKDAY(B469-1)+4),1,3))+5)/7))</f>
        <v/>
      </c>
      <c r="D469" s="9" t="str">
        <f aca="false">IF(B469="","",B469-WEEKDAY(B469,2)+1)</f>
        <v/>
      </c>
      <c r="E469" s="10"/>
      <c r="F469" s="8"/>
      <c r="G469" s="11"/>
      <c r="H469" s="10"/>
      <c r="I469" s="11"/>
      <c r="J469" s="10"/>
      <c r="K469" s="10"/>
      <c r="L469" s="10"/>
      <c r="M469" s="11"/>
      <c r="N469" s="8"/>
      <c r="O469" s="7" t="str">
        <f aca="false">IF(L469="","",IFERROR(VLOOKUP(L469,Paramètres!$F$5:$G$8,2,FALSE()),""))</f>
        <v/>
      </c>
      <c r="P469" s="9" t="str">
        <f aca="false">IF(OR(B469="",O469=""),"",IF(N469="",B469,N469)+O469)</f>
        <v/>
      </c>
      <c r="Q469" s="10"/>
      <c r="R469" s="8"/>
      <c r="S469" s="7" t="str">
        <f aca="false">IF(OR(B469="",R469=""),"",R469-B469)</f>
        <v/>
      </c>
      <c r="T469" s="7" t="str">
        <f aca="true">IF(OR(B469="",P469=""),"",IF(R469&lt;&gt;"",IF(R469&gt;P469,"Traité hors délai","Non"),IF(Q469="Classé sans suite","Non",IF(TODAY()&gt;P469,"OUI","Non"))))</f>
        <v/>
      </c>
      <c r="U469" s="11"/>
    </row>
    <row r="470" customFormat="false" ht="15" hidden="false" customHeight="false" outlineLevel="0" collapsed="false">
      <c r="A470" s="7" t="str">
        <f aca="false">IF(B470="","",YEAR(B470)&amp;"/"&amp;TEXT(ROW()-4,"0000"))</f>
        <v/>
      </c>
      <c r="B470" s="8"/>
      <c r="C470" s="7" t="str">
        <f aca="false">IF(B470="","",INT((B470-DATE(YEAR(B470-WEEKDAY(B470-1)+4),1,3)+WEEKDAY(DATE(YEAR(B470-WEEKDAY(B470-1)+4),1,3))+5)/7))</f>
        <v/>
      </c>
      <c r="D470" s="9" t="str">
        <f aca="false">IF(B470="","",B470-WEEKDAY(B470,2)+1)</f>
        <v/>
      </c>
      <c r="E470" s="10"/>
      <c r="F470" s="8"/>
      <c r="G470" s="11"/>
      <c r="H470" s="10"/>
      <c r="I470" s="11"/>
      <c r="J470" s="10"/>
      <c r="K470" s="10"/>
      <c r="L470" s="10"/>
      <c r="M470" s="11"/>
      <c r="N470" s="8"/>
      <c r="O470" s="7" t="str">
        <f aca="false">IF(L470="","",IFERROR(VLOOKUP(L470,Paramètres!$F$5:$G$8,2,FALSE()),""))</f>
        <v/>
      </c>
      <c r="P470" s="9" t="str">
        <f aca="false">IF(OR(B470="",O470=""),"",IF(N470="",B470,N470)+O470)</f>
        <v/>
      </c>
      <c r="Q470" s="10"/>
      <c r="R470" s="8"/>
      <c r="S470" s="7" t="str">
        <f aca="false">IF(OR(B470="",R470=""),"",R470-B470)</f>
        <v/>
      </c>
      <c r="T470" s="7" t="str">
        <f aca="true">IF(OR(B470="",P470=""),"",IF(R470&lt;&gt;"",IF(R470&gt;P470,"Traité hors délai","Non"),IF(Q470="Classé sans suite","Non",IF(TODAY()&gt;P470,"OUI","Non"))))</f>
        <v/>
      </c>
      <c r="U470" s="11"/>
    </row>
    <row r="471" customFormat="false" ht="15" hidden="false" customHeight="false" outlineLevel="0" collapsed="false">
      <c r="A471" s="7" t="str">
        <f aca="false">IF(B471="","",YEAR(B471)&amp;"/"&amp;TEXT(ROW()-4,"0000"))</f>
        <v/>
      </c>
      <c r="B471" s="8"/>
      <c r="C471" s="7" t="str">
        <f aca="false">IF(B471="","",INT((B471-DATE(YEAR(B471-WEEKDAY(B471-1)+4),1,3)+WEEKDAY(DATE(YEAR(B471-WEEKDAY(B471-1)+4),1,3))+5)/7))</f>
        <v/>
      </c>
      <c r="D471" s="9" t="str">
        <f aca="false">IF(B471="","",B471-WEEKDAY(B471,2)+1)</f>
        <v/>
      </c>
      <c r="E471" s="10"/>
      <c r="F471" s="8"/>
      <c r="G471" s="11"/>
      <c r="H471" s="10"/>
      <c r="I471" s="11"/>
      <c r="J471" s="10"/>
      <c r="K471" s="10"/>
      <c r="L471" s="10"/>
      <c r="M471" s="11"/>
      <c r="N471" s="8"/>
      <c r="O471" s="7" t="str">
        <f aca="false">IF(L471="","",IFERROR(VLOOKUP(L471,Paramètres!$F$5:$G$8,2,FALSE()),""))</f>
        <v/>
      </c>
      <c r="P471" s="9" t="str">
        <f aca="false">IF(OR(B471="",O471=""),"",IF(N471="",B471,N471)+O471)</f>
        <v/>
      </c>
      <c r="Q471" s="10"/>
      <c r="R471" s="8"/>
      <c r="S471" s="7" t="str">
        <f aca="false">IF(OR(B471="",R471=""),"",R471-B471)</f>
        <v/>
      </c>
      <c r="T471" s="7" t="str">
        <f aca="true">IF(OR(B471="",P471=""),"",IF(R471&lt;&gt;"",IF(R471&gt;P471,"Traité hors délai","Non"),IF(Q471="Classé sans suite","Non",IF(TODAY()&gt;P471,"OUI","Non"))))</f>
        <v/>
      </c>
      <c r="U471" s="11"/>
    </row>
    <row r="472" customFormat="false" ht="15" hidden="false" customHeight="false" outlineLevel="0" collapsed="false">
      <c r="A472" s="7" t="str">
        <f aca="false">IF(B472="","",YEAR(B472)&amp;"/"&amp;TEXT(ROW()-4,"0000"))</f>
        <v/>
      </c>
      <c r="B472" s="8"/>
      <c r="C472" s="7" t="str">
        <f aca="false">IF(B472="","",INT((B472-DATE(YEAR(B472-WEEKDAY(B472-1)+4),1,3)+WEEKDAY(DATE(YEAR(B472-WEEKDAY(B472-1)+4),1,3))+5)/7))</f>
        <v/>
      </c>
      <c r="D472" s="9" t="str">
        <f aca="false">IF(B472="","",B472-WEEKDAY(B472,2)+1)</f>
        <v/>
      </c>
      <c r="E472" s="10"/>
      <c r="F472" s="8"/>
      <c r="G472" s="11"/>
      <c r="H472" s="10"/>
      <c r="I472" s="11"/>
      <c r="J472" s="10"/>
      <c r="K472" s="10"/>
      <c r="L472" s="10"/>
      <c r="M472" s="11"/>
      <c r="N472" s="8"/>
      <c r="O472" s="7" t="str">
        <f aca="false">IF(L472="","",IFERROR(VLOOKUP(L472,Paramètres!$F$5:$G$8,2,FALSE()),""))</f>
        <v/>
      </c>
      <c r="P472" s="9" t="str">
        <f aca="false">IF(OR(B472="",O472=""),"",IF(N472="",B472,N472)+O472)</f>
        <v/>
      </c>
      <c r="Q472" s="10"/>
      <c r="R472" s="8"/>
      <c r="S472" s="7" t="str">
        <f aca="false">IF(OR(B472="",R472=""),"",R472-B472)</f>
        <v/>
      </c>
      <c r="T472" s="7" t="str">
        <f aca="true">IF(OR(B472="",P472=""),"",IF(R472&lt;&gt;"",IF(R472&gt;P472,"Traité hors délai","Non"),IF(Q472="Classé sans suite","Non",IF(TODAY()&gt;P472,"OUI","Non"))))</f>
        <v/>
      </c>
      <c r="U472" s="11"/>
    </row>
    <row r="473" customFormat="false" ht="15" hidden="false" customHeight="false" outlineLevel="0" collapsed="false">
      <c r="A473" s="7" t="str">
        <f aca="false">IF(B473="","",YEAR(B473)&amp;"/"&amp;TEXT(ROW()-4,"0000"))</f>
        <v/>
      </c>
      <c r="B473" s="8"/>
      <c r="C473" s="7" t="str">
        <f aca="false">IF(B473="","",INT((B473-DATE(YEAR(B473-WEEKDAY(B473-1)+4),1,3)+WEEKDAY(DATE(YEAR(B473-WEEKDAY(B473-1)+4),1,3))+5)/7))</f>
        <v/>
      </c>
      <c r="D473" s="9" t="str">
        <f aca="false">IF(B473="","",B473-WEEKDAY(B473,2)+1)</f>
        <v/>
      </c>
      <c r="E473" s="10"/>
      <c r="F473" s="8"/>
      <c r="G473" s="11"/>
      <c r="H473" s="10"/>
      <c r="I473" s="11"/>
      <c r="J473" s="10"/>
      <c r="K473" s="10"/>
      <c r="L473" s="10"/>
      <c r="M473" s="11"/>
      <c r="N473" s="8"/>
      <c r="O473" s="7" t="str">
        <f aca="false">IF(L473="","",IFERROR(VLOOKUP(L473,Paramètres!$F$5:$G$8,2,FALSE()),""))</f>
        <v/>
      </c>
      <c r="P473" s="9" t="str">
        <f aca="false">IF(OR(B473="",O473=""),"",IF(N473="",B473,N473)+O473)</f>
        <v/>
      </c>
      <c r="Q473" s="10"/>
      <c r="R473" s="8"/>
      <c r="S473" s="7" t="str">
        <f aca="false">IF(OR(B473="",R473=""),"",R473-B473)</f>
        <v/>
      </c>
      <c r="T473" s="7" t="str">
        <f aca="true">IF(OR(B473="",P473=""),"",IF(R473&lt;&gt;"",IF(R473&gt;P473,"Traité hors délai","Non"),IF(Q473="Classé sans suite","Non",IF(TODAY()&gt;P473,"OUI","Non"))))</f>
        <v/>
      </c>
      <c r="U473" s="11"/>
    </row>
    <row r="474" customFormat="false" ht="15" hidden="false" customHeight="false" outlineLevel="0" collapsed="false">
      <c r="A474" s="7" t="str">
        <f aca="false">IF(B474="","",YEAR(B474)&amp;"/"&amp;TEXT(ROW()-4,"0000"))</f>
        <v/>
      </c>
      <c r="B474" s="8"/>
      <c r="C474" s="7" t="str">
        <f aca="false">IF(B474="","",INT((B474-DATE(YEAR(B474-WEEKDAY(B474-1)+4),1,3)+WEEKDAY(DATE(YEAR(B474-WEEKDAY(B474-1)+4),1,3))+5)/7))</f>
        <v/>
      </c>
      <c r="D474" s="9" t="str">
        <f aca="false">IF(B474="","",B474-WEEKDAY(B474,2)+1)</f>
        <v/>
      </c>
      <c r="E474" s="10"/>
      <c r="F474" s="8"/>
      <c r="G474" s="11"/>
      <c r="H474" s="10"/>
      <c r="I474" s="11"/>
      <c r="J474" s="10"/>
      <c r="K474" s="10"/>
      <c r="L474" s="10"/>
      <c r="M474" s="11"/>
      <c r="N474" s="8"/>
      <c r="O474" s="7" t="str">
        <f aca="false">IF(L474="","",IFERROR(VLOOKUP(L474,Paramètres!$F$5:$G$8,2,FALSE()),""))</f>
        <v/>
      </c>
      <c r="P474" s="9" t="str">
        <f aca="false">IF(OR(B474="",O474=""),"",IF(N474="",B474,N474)+O474)</f>
        <v/>
      </c>
      <c r="Q474" s="10"/>
      <c r="R474" s="8"/>
      <c r="S474" s="7" t="str">
        <f aca="false">IF(OR(B474="",R474=""),"",R474-B474)</f>
        <v/>
      </c>
      <c r="T474" s="7" t="str">
        <f aca="true">IF(OR(B474="",P474=""),"",IF(R474&lt;&gt;"",IF(R474&gt;P474,"Traité hors délai","Non"),IF(Q474="Classé sans suite","Non",IF(TODAY()&gt;P474,"OUI","Non"))))</f>
        <v/>
      </c>
      <c r="U474" s="11"/>
    </row>
    <row r="475" customFormat="false" ht="15" hidden="false" customHeight="false" outlineLevel="0" collapsed="false">
      <c r="A475" s="7" t="str">
        <f aca="false">IF(B475="","",YEAR(B475)&amp;"/"&amp;TEXT(ROW()-4,"0000"))</f>
        <v/>
      </c>
      <c r="B475" s="8"/>
      <c r="C475" s="7" t="str">
        <f aca="false">IF(B475="","",INT((B475-DATE(YEAR(B475-WEEKDAY(B475-1)+4),1,3)+WEEKDAY(DATE(YEAR(B475-WEEKDAY(B475-1)+4),1,3))+5)/7))</f>
        <v/>
      </c>
      <c r="D475" s="9" t="str">
        <f aca="false">IF(B475="","",B475-WEEKDAY(B475,2)+1)</f>
        <v/>
      </c>
      <c r="E475" s="10"/>
      <c r="F475" s="8"/>
      <c r="G475" s="11"/>
      <c r="H475" s="10"/>
      <c r="I475" s="11"/>
      <c r="J475" s="10"/>
      <c r="K475" s="10"/>
      <c r="L475" s="10"/>
      <c r="M475" s="11"/>
      <c r="N475" s="8"/>
      <c r="O475" s="7" t="str">
        <f aca="false">IF(L475="","",IFERROR(VLOOKUP(L475,Paramètres!$F$5:$G$8,2,FALSE()),""))</f>
        <v/>
      </c>
      <c r="P475" s="9" t="str">
        <f aca="false">IF(OR(B475="",O475=""),"",IF(N475="",B475,N475)+O475)</f>
        <v/>
      </c>
      <c r="Q475" s="10"/>
      <c r="R475" s="8"/>
      <c r="S475" s="7" t="str">
        <f aca="false">IF(OR(B475="",R475=""),"",R475-B475)</f>
        <v/>
      </c>
      <c r="T475" s="7" t="str">
        <f aca="true">IF(OR(B475="",P475=""),"",IF(R475&lt;&gt;"",IF(R475&gt;P475,"Traité hors délai","Non"),IF(Q475="Classé sans suite","Non",IF(TODAY()&gt;P475,"OUI","Non"))))</f>
        <v/>
      </c>
      <c r="U475" s="11"/>
    </row>
    <row r="476" customFormat="false" ht="15" hidden="false" customHeight="false" outlineLevel="0" collapsed="false">
      <c r="A476" s="7" t="str">
        <f aca="false">IF(B476="","",YEAR(B476)&amp;"/"&amp;TEXT(ROW()-4,"0000"))</f>
        <v/>
      </c>
      <c r="B476" s="8"/>
      <c r="C476" s="7" t="str">
        <f aca="false">IF(B476="","",INT((B476-DATE(YEAR(B476-WEEKDAY(B476-1)+4),1,3)+WEEKDAY(DATE(YEAR(B476-WEEKDAY(B476-1)+4),1,3))+5)/7))</f>
        <v/>
      </c>
      <c r="D476" s="9" t="str">
        <f aca="false">IF(B476="","",B476-WEEKDAY(B476,2)+1)</f>
        <v/>
      </c>
      <c r="E476" s="10"/>
      <c r="F476" s="8"/>
      <c r="G476" s="11"/>
      <c r="H476" s="10"/>
      <c r="I476" s="11"/>
      <c r="J476" s="10"/>
      <c r="K476" s="10"/>
      <c r="L476" s="10"/>
      <c r="M476" s="11"/>
      <c r="N476" s="8"/>
      <c r="O476" s="7" t="str">
        <f aca="false">IF(L476="","",IFERROR(VLOOKUP(L476,Paramètres!$F$5:$G$8,2,FALSE()),""))</f>
        <v/>
      </c>
      <c r="P476" s="9" t="str">
        <f aca="false">IF(OR(B476="",O476=""),"",IF(N476="",B476,N476)+O476)</f>
        <v/>
      </c>
      <c r="Q476" s="10"/>
      <c r="R476" s="8"/>
      <c r="S476" s="7" t="str">
        <f aca="false">IF(OR(B476="",R476=""),"",R476-B476)</f>
        <v/>
      </c>
      <c r="T476" s="7" t="str">
        <f aca="true">IF(OR(B476="",P476=""),"",IF(R476&lt;&gt;"",IF(R476&gt;P476,"Traité hors délai","Non"),IF(Q476="Classé sans suite","Non",IF(TODAY()&gt;P476,"OUI","Non"))))</f>
        <v/>
      </c>
      <c r="U476" s="11"/>
    </row>
    <row r="477" customFormat="false" ht="15" hidden="false" customHeight="false" outlineLevel="0" collapsed="false">
      <c r="A477" s="7" t="str">
        <f aca="false">IF(B477="","",YEAR(B477)&amp;"/"&amp;TEXT(ROW()-4,"0000"))</f>
        <v/>
      </c>
      <c r="B477" s="8"/>
      <c r="C477" s="7" t="str">
        <f aca="false">IF(B477="","",INT((B477-DATE(YEAR(B477-WEEKDAY(B477-1)+4),1,3)+WEEKDAY(DATE(YEAR(B477-WEEKDAY(B477-1)+4),1,3))+5)/7))</f>
        <v/>
      </c>
      <c r="D477" s="9" t="str">
        <f aca="false">IF(B477="","",B477-WEEKDAY(B477,2)+1)</f>
        <v/>
      </c>
      <c r="E477" s="10"/>
      <c r="F477" s="8"/>
      <c r="G477" s="11"/>
      <c r="H477" s="10"/>
      <c r="I477" s="11"/>
      <c r="J477" s="10"/>
      <c r="K477" s="10"/>
      <c r="L477" s="10"/>
      <c r="M477" s="11"/>
      <c r="N477" s="8"/>
      <c r="O477" s="7" t="str">
        <f aca="false">IF(L477="","",IFERROR(VLOOKUP(L477,Paramètres!$F$5:$G$8,2,FALSE()),""))</f>
        <v/>
      </c>
      <c r="P477" s="9" t="str">
        <f aca="false">IF(OR(B477="",O477=""),"",IF(N477="",B477,N477)+O477)</f>
        <v/>
      </c>
      <c r="Q477" s="10"/>
      <c r="R477" s="8"/>
      <c r="S477" s="7" t="str">
        <f aca="false">IF(OR(B477="",R477=""),"",R477-B477)</f>
        <v/>
      </c>
      <c r="T477" s="7" t="str">
        <f aca="true">IF(OR(B477="",P477=""),"",IF(R477&lt;&gt;"",IF(R477&gt;P477,"Traité hors délai","Non"),IF(Q477="Classé sans suite","Non",IF(TODAY()&gt;P477,"OUI","Non"))))</f>
        <v/>
      </c>
      <c r="U477" s="11"/>
    </row>
    <row r="478" customFormat="false" ht="15" hidden="false" customHeight="false" outlineLevel="0" collapsed="false">
      <c r="A478" s="7" t="str">
        <f aca="false">IF(B478="","",YEAR(B478)&amp;"/"&amp;TEXT(ROW()-4,"0000"))</f>
        <v/>
      </c>
      <c r="B478" s="8"/>
      <c r="C478" s="7" t="str">
        <f aca="false">IF(B478="","",INT((B478-DATE(YEAR(B478-WEEKDAY(B478-1)+4),1,3)+WEEKDAY(DATE(YEAR(B478-WEEKDAY(B478-1)+4),1,3))+5)/7))</f>
        <v/>
      </c>
      <c r="D478" s="9" t="str">
        <f aca="false">IF(B478="","",B478-WEEKDAY(B478,2)+1)</f>
        <v/>
      </c>
      <c r="E478" s="10"/>
      <c r="F478" s="8"/>
      <c r="G478" s="11"/>
      <c r="H478" s="10"/>
      <c r="I478" s="11"/>
      <c r="J478" s="10"/>
      <c r="K478" s="10"/>
      <c r="L478" s="10"/>
      <c r="M478" s="11"/>
      <c r="N478" s="8"/>
      <c r="O478" s="7" t="str">
        <f aca="false">IF(L478="","",IFERROR(VLOOKUP(L478,Paramètres!$F$5:$G$8,2,FALSE()),""))</f>
        <v/>
      </c>
      <c r="P478" s="9" t="str">
        <f aca="false">IF(OR(B478="",O478=""),"",IF(N478="",B478,N478)+O478)</f>
        <v/>
      </c>
      <c r="Q478" s="10"/>
      <c r="R478" s="8"/>
      <c r="S478" s="7" t="str">
        <f aca="false">IF(OR(B478="",R478=""),"",R478-B478)</f>
        <v/>
      </c>
      <c r="T478" s="7" t="str">
        <f aca="true">IF(OR(B478="",P478=""),"",IF(R478&lt;&gt;"",IF(R478&gt;P478,"Traité hors délai","Non"),IF(Q478="Classé sans suite","Non",IF(TODAY()&gt;P478,"OUI","Non"))))</f>
        <v/>
      </c>
      <c r="U478" s="11"/>
    </row>
    <row r="479" customFormat="false" ht="15" hidden="false" customHeight="false" outlineLevel="0" collapsed="false">
      <c r="A479" s="7" t="str">
        <f aca="false">IF(B479="","",YEAR(B479)&amp;"/"&amp;TEXT(ROW()-4,"0000"))</f>
        <v/>
      </c>
      <c r="B479" s="8"/>
      <c r="C479" s="7" t="str">
        <f aca="false">IF(B479="","",INT((B479-DATE(YEAR(B479-WEEKDAY(B479-1)+4),1,3)+WEEKDAY(DATE(YEAR(B479-WEEKDAY(B479-1)+4),1,3))+5)/7))</f>
        <v/>
      </c>
      <c r="D479" s="9" t="str">
        <f aca="false">IF(B479="","",B479-WEEKDAY(B479,2)+1)</f>
        <v/>
      </c>
      <c r="E479" s="10"/>
      <c r="F479" s="8"/>
      <c r="G479" s="11"/>
      <c r="H479" s="10"/>
      <c r="I479" s="11"/>
      <c r="J479" s="10"/>
      <c r="K479" s="10"/>
      <c r="L479" s="10"/>
      <c r="M479" s="11"/>
      <c r="N479" s="8"/>
      <c r="O479" s="7" t="str">
        <f aca="false">IF(L479="","",IFERROR(VLOOKUP(L479,Paramètres!$F$5:$G$8,2,FALSE()),""))</f>
        <v/>
      </c>
      <c r="P479" s="9" t="str">
        <f aca="false">IF(OR(B479="",O479=""),"",IF(N479="",B479,N479)+O479)</f>
        <v/>
      </c>
      <c r="Q479" s="10"/>
      <c r="R479" s="8"/>
      <c r="S479" s="7" t="str">
        <f aca="false">IF(OR(B479="",R479=""),"",R479-B479)</f>
        <v/>
      </c>
      <c r="T479" s="7" t="str">
        <f aca="true">IF(OR(B479="",P479=""),"",IF(R479&lt;&gt;"",IF(R479&gt;P479,"Traité hors délai","Non"),IF(Q479="Classé sans suite","Non",IF(TODAY()&gt;P479,"OUI","Non"))))</f>
        <v/>
      </c>
      <c r="U479" s="11"/>
    </row>
    <row r="480" customFormat="false" ht="15" hidden="false" customHeight="false" outlineLevel="0" collapsed="false">
      <c r="A480" s="7" t="str">
        <f aca="false">IF(B480="","",YEAR(B480)&amp;"/"&amp;TEXT(ROW()-4,"0000"))</f>
        <v/>
      </c>
      <c r="B480" s="8"/>
      <c r="C480" s="7" t="str">
        <f aca="false">IF(B480="","",INT((B480-DATE(YEAR(B480-WEEKDAY(B480-1)+4),1,3)+WEEKDAY(DATE(YEAR(B480-WEEKDAY(B480-1)+4),1,3))+5)/7))</f>
        <v/>
      </c>
      <c r="D480" s="9" t="str">
        <f aca="false">IF(B480="","",B480-WEEKDAY(B480,2)+1)</f>
        <v/>
      </c>
      <c r="E480" s="10"/>
      <c r="F480" s="8"/>
      <c r="G480" s="11"/>
      <c r="H480" s="10"/>
      <c r="I480" s="11"/>
      <c r="J480" s="10"/>
      <c r="K480" s="10"/>
      <c r="L480" s="10"/>
      <c r="M480" s="11"/>
      <c r="N480" s="8"/>
      <c r="O480" s="7" t="str">
        <f aca="false">IF(L480="","",IFERROR(VLOOKUP(L480,Paramètres!$F$5:$G$8,2,FALSE()),""))</f>
        <v/>
      </c>
      <c r="P480" s="9" t="str">
        <f aca="false">IF(OR(B480="",O480=""),"",IF(N480="",B480,N480)+O480)</f>
        <v/>
      </c>
      <c r="Q480" s="10"/>
      <c r="R480" s="8"/>
      <c r="S480" s="7" t="str">
        <f aca="false">IF(OR(B480="",R480=""),"",R480-B480)</f>
        <v/>
      </c>
      <c r="T480" s="7" t="str">
        <f aca="true">IF(OR(B480="",P480=""),"",IF(R480&lt;&gt;"",IF(R480&gt;P480,"Traité hors délai","Non"),IF(Q480="Classé sans suite","Non",IF(TODAY()&gt;P480,"OUI","Non"))))</f>
        <v/>
      </c>
      <c r="U480" s="11"/>
    </row>
    <row r="481" customFormat="false" ht="15" hidden="false" customHeight="false" outlineLevel="0" collapsed="false">
      <c r="A481" s="7" t="str">
        <f aca="false">IF(B481="","",YEAR(B481)&amp;"/"&amp;TEXT(ROW()-4,"0000"))</f>
        <v/>
      </c>
      <c r="B481" s="8"/>
      <c r="C481" s="7" t="str">
        <f aca="false">IF(B481="","",INT((B481-DATE(YEAR(B481-WEEKDAY(B481-1)+4),1,3)+WEEKDAY(DATE(YEAR(B481-WEEKDAY(B481-1)+4),1,3))+5)/7))</f>
        <v/>
      </c>
      <c r="D481" s="9" t="str">
        <f aca="false">IF(B481="","",B481-WEEKDAY(B481,2)+1)</f>
        <v/>
      </c>
      <c r="E481" s="10"/>
      <c r="F481" s="8"/>
      <c r="G481" s="11"/>
      <c r="H481" s="10"/>
      <c r="I481" s="11"/>
      <c r="J481" s="10"/>
      <c r="K481" s="10"/>
      <c r="L481" s="10"/>
      <c r="M481" s="11"/>
      <c r="N481" s="8"/>
      <c r="O481" s="7" t="str">
        <f aca="false">IF(L481="","",IFERROR(VLOOKUP(L481,Paramètres!$F$5:$G$8,2,FALSE()),""))</f>
        <v/>
      </c>
      <c r="P481" s="9" t="str">
        <f aca="false">IF(OR(B481="",O481=""),"",IF(N481="",B481,N481)+O481)</f>
        <v/>
      </c>
      <c r="Q481" s="10"/>
      <c r="R481" s="8"/>
      <c r="S481" s="7" t="str">
        <f aca="false">IF(OR(B481="",R481=""),"",R481-B481)</f>
        <v/>
      </c>
      <c r="T481" s="7" t="str">
        <f aca="true">IF(OR(B481="",P481=""),"",IF(R481&lt;&gt;"",IF(R481&gt;P481,"Traité hors délai","Non"),IF(Q481="Classé sans suite","Non",IF(TODAY()&gt;P481,"OUI","Non"))))</f>
        <v/>
      </c>
      <c r="U481" s="11"/>
    </row>
    <row r="482" customFormat="false" ht="15" hidden="false" customHeight="false" outlineLevel="0" collapsed="false">
      <c r="A482" s="7" t="str">
        <f aca="false">IF(B482="","",YEAR(B482)&amp;"/"&amp;TEXT(ROW()-4,"0000"))</f>
        <v/>
      </c>
      <c r="B482" s="8"/>
      <c r="C482" s="7" t="str">
        <f aca="false">IF(B482="","",INT((B482-DATE(YEAR(B482-WEEKDAY(B482-1)+4),1,3)+WEEKDAY(DATE(YEAR(B482-WEEKDAY(B482-1)+4),1,3))+5)/7))</f>
        <v/>
      </c>
      <c r="D482" s="9" t="str">
        <f aca="false">IF(B482="","",B482-WEEKDAY(B482,2)+1)</f>
        <v/>
      </c>
      <c r="E482" s="10"/>
      <c r="F482" s="8"/>
      <c r="G482" s="11"/>
      <c r="H482" s="10"/>
      <c r="I482" s="11"/>
      <c r="J482" s="10"/>
      <c r="K482" s="10"/>
      <c r="L482" s="10"/>
      <c r="M482" s="11"/>
      <c r="N482" s="8"/>
      <c r="O482" s="7" t="str">
        <f aca="false">IF(L482="","",IFERROR(VLOOKUP(L482,Paramètres!$F$5:$G$8,2,FALSE()),""))</f>
        <v/>
      </c>
      <c r="P482" s="9" t="str">
        <f aca="false">IF(OR(B482="",O482=""),"",IF(N482="",B482,N482)+O482)</f>
        <v/>
      </c>
      <c r="Q482" s="10"/>
      <c r="R482" s="8"/>
      <c r="S482" s="7" t="str">
        <f aca="false">IF(OR(B482="",R482=""),"",R482-B482)</f>
        <v/>
      </c>
      <c r="T482" s="7" t="str">
        <f aca="true">IF(OR(B482="",P482=""),"",IF(R482&lt;&gt;"",IF(R482&gt;P482,"Traité hors délai","Non"),IF(Q482="Classé sans suite","Non",IF(TODAY()&gt;P482,"OUI","Non"))))</f>
        <v/>
      </c>
      <c r="U482" s="11"/>
    </row>
    <row r="483" customFormat="false" ht="15" hidden="false" customHeight="false" outlineLevel="0" collapsed="false">
      <c r="A483" s="7" t="str">
        <f aca="false">IF(B483="","",YEAR(B483)&amp;"/"&amp;TEXT(ROW()-4,"0000"))</f>
        <v/>
      </c>
      <c r="B483" s="8"/>
      <c r="C483" s="7" t="str">
        <f aca="false">IF(B483="","",INT((B483-DATE(YEAR(B483-WEEKDAY(B483-1)+4),1,3)+WEEKDAY(DATE(YEAR(B483-WEEKDAY(B483-1)+4),1,3))+5)/7))</f>
        <v/>
      </c>
      <c r="D483" s="9" t="str">
        <f aca="false">IF(B483="","",B483-WEEKDAY(B483,2)+1)</f>
        <v/>
      </c>
      <c r="E483" s="10"/>
      <c r="F483" s="8"/>
      <c r="G483" s="11"/>
      <c r="H483" s="10"/>
      <c r="I483" s="11"/>
      <c r="J483" s="10"/>
      <c r="K483" s="10"/>
      <c r="L483" s="10"/>
      <c r="M483" s="11"/>
      <c r="N483" s="8"/>
      <c r="O483" s="7" t="str">
        <f aca="false">IF(L483="","",IFERROR(VLOOKUP(L483,Paramètres!$F$5:$G$8,2,FALSE()),""))</f>
        <v/>
      </c>
      <c r="P483" s="9" t="str">
        <f aca="false">IF(OR(B483="",O483=""),"",IF(N483="",B483,N483)+O483)</f>
        <v/>
      </c>
      <c r="Q483" s="10"/>
      <c r="R483" s="8"/>
      <c r="S483" s="7" t="str">
        <f aca="false">IF(OR(B483="",R483=""),"",R483-B483)</f>
        <v/>
      </c>
      <c r="T483" s="7" t="str">
        <f aca="true">IF(OR(B483="",P483=""),"",IF(R483&lt;&gt;"",IF(R483&gt;P483,"Traité hors délai","Non"),IF(Q483="Classé sans suite","Non",IF(TODAY()&gt;P483,"OUI","Non"))))</f>
        <v/>
      </c>
      <c r="U483" s="11"/>
    </row>
    <row r="484" customFormat="false" ht="15" hidden="false" customHeight="false" outlineLevel="0" collapsed="false">
      <c r="A484" s="7" t="str">
        <f aca="false">IF(B484="","",YEAR(B484)&amp;"/"&amp;TEXT(ROW()-4,"0000"))</f>
        <v/>
      </c>
      <c r="B484" s="8"/>
      <c r="C484" s="7" t="str">
        <f aca="false">IF(B484="","",INT((B484-DATE(YEAR(B484-WEEKDAY(B484-1)+4),1,3)+WEEKDAY(DATE(YEAR(B484-WEEKDAY(B484-1)+4),1,3))+5)/7))</f>
        <v/>
      </c>
      <c r="D484" s="9" t="str">
        <f aca="false">IF(B484="","",B484-WEEKDAY(B484,2)+1)</f>
        <v/>
      </c>
      <c r="E484" s="10"/>
      <c r="F484" s="8"/>
      <c r="G484" s="11"/>
      <c r="H484" s="10"/>
      <c r="I484" s="11"/>
      <c r="J484" s="10"/>
      <c r="K484" s="10"/>
      <c r="L484" s="10"/>
      <c r="M484" s="11"/>
      <c r="N484" s="8"/>
      <c r="O484" s="7" t="str">
        <f aca="false">IF(L484="","",IFERROR(VLOOKUP(L484,Paramètres!$F$5:$G$8,2,FALSE()),""))</f>
        <v/>
      </c>
      <c r="P484" s="9" t="str">
        <f aca="false">IF(OR(B484="",O484=""),"",IF(N484="",B484,N484)+O484)</f>
        <v/>
      </c>
      <c r="Q484" s="10"/>
      <c r="R484" s="8"/>
      <c r="S484" s="7" t="str">
        <f aca="false">IF(OR(B484="",R484=""),"",R484-B484)</f>
        <v/>
      </c>
      <c r="T484" s="7" t="str">
        <f aca="true">IF(OR(B484="",P484=""),"",IF(R484&lt;&gt;"",IF(R484&gt;P484,"Traité hors délai","Non"),IF(Q484="Classé sans suite","Non",IF(TODAY()&gt;P484,"OUI","Non"))))</f>
        <v/>
      </c>
      <c r="U484" s="11"/>
    </row>
    <row r="485" customFormat="false" ht="15" hidden="false" customHeight="false" outlineLevel="0" collapsed="false">
      <c r="A485" s="7" t="str">
        <f aca="false">IF(B485="","",YEAR(B485)&amp;"/"&amp;TEXT(ROW()-4,"0000"))</f>
        <v/>
      </c>
      <c r="B485" s="8"/>
      <c r="C485" s="7" t="str">
        <f aca="false">IF(B485="","",INT((B485-DATE(YEAR(B485-WEEKDAY(B485-1)+4),1,3)+WEEKDAY(DATE(YEAR(B485-WEEKDAY(B485-1)+4),1,3))+5)/7))</f>
        <v/>
      </c>
      <c r="D485" s="9" t="str">
        <f aca="false">IF(B485="","",B485-WEEKDAY(B485,2)+1)</f>
        <v/>
      </c>
      <c r="E485" s="10"/>
      <c r="F485" s="8"/>
      <c r="G485" s="11"/>
      <c r="H485" s="10"/>
      <c r="I485" s="11"/>
      <c r="J485" s="10"/>
      <c r="K485" s="10"/>
      <c r="L485" s="10"/>
      <c r="M485" s="11"/>
      <c r="N485" s="8"/>
      <c r="O485" s="7" t="str">
        <f aca="false">IF(L485="","",IFERROR(VLOOKUP(L485,Paramètres!$F$5:$G$8,2,FALSE()),""))</f>
        <v/>
      </c>
      <c r="P485" s="9" t="str">
        <f aca="false">IF(OR(B485="",O485=""),"",IF(N485="",B485,N485)+O485)</f>
        <v/>
      </c>
      <c r="Q485" s="10"/>
      <c r="R485" s="8"/>
      <c r="S485" s="7" t="str">
        <f aca="false">IF(OR(B485="",R485=""),"",R485-B485)</f>
        <v/>
      </c>
      <c r="T485" s="7" t="str">
        <f aca="true">IF(OR(B485="",P485=""),"",IF(R485&lt;&gt;"",IF(R485&gt;P485,"Traité hors délai","Non"),IF(Q485="Classé sans suite","Non",IF(TODAY()&gt;P485,"OUI","Non"))))</f>
        <v/>
      </c>
      <c r="U485" s="11"/>
    </row>
    <row r="486" customFormat="false" ht="15" hidden="false" customHeight="false" outlineLevel="0" collapsed="false">
      <c r="A486" s="7" t="str">
        <f aca="false">IF(B486="","",YEAR(B486)&amp;"/"&amp;TEXT(ROW()-4,"0000"))</f>
        <v/>
      </c>
      <c r="B486" s="8"/>
      <c r="C486" s="7" t="str">
        <f aca="false">IF(B486="","",INT((B486-DATE(YEAR(B486-WEEKDAY(B486-1)+4),1,3)+WEEKDAY(DATE(YEAR(B486-WEEKDAY(B486-1)+4),1,3))+5)/7))</f>
        <v/>
      </c>
      <c r="D486" s="9" t="str">
        <f aca="false">IF(B486="","",B486-WEEKDAY(B486,2)+1)</f>
        <v/>
      </c>
      <c r="E486" s="10"/>
      <c r="F486" s="8"/>
      <c r="G486" s="11"/>
      <c r="H486" s="10"/>
      <c r="I486" s="11"/>
      <c r="J486" s="10"/>
      <c r="K486" s="10"/>
      <c r="L486" s="10"/>
      <c r="M486" s="11"/>
      <c r="N486" s="8"/>
      <c r="O486" s="7" t="str">
        <f aca="false">IF(L486="","",IFERROR(VLOOKUP(L486,Paramètres!$F$5:$G$8,2,FALSE()),""))</f>
        <v/>
      </c>
      <c r="P486" s="9" t="str">
        <f aca="false">IF(OR(B486="",O486=""),"",IF(N486="",B486,N486)+O486)</f>
        <v/>
      </c>
      <c r="Q486" s="10"/>
      <c r="R486" s="8"/>
      <c r="S486" s="7" t="str">
        <f aca="false">IF(OR(B486="",R486=""),"",R486-B486)</f>
        <v/>
      </c>
      <c r="T486" s="7" t="str">
        <f aca="true">IF(OR(B486="",P486=""),"",IF(R486&lt;&gt;"",IF(R486&gt;P486,"Traité hors délai","Non"),IF(Q486="Classé sans suite","Non",IF(TODAY()&gt;P486,"OUI","Non"))))</f>
        <v/>
      </c>
      <c r="U486" s="11"/>
    </row>
    <row r="487" customFormat="false" ht="15" hidden="false" customHeight="false" outlineLevel="0" collapsed="false">
      <c r="A487" s="7" t="str">
        <f aca="false">IF(B487="","",YEAR(B487)&amp;"/"&amp;TEXT(ROW()-4,"0000"))</f>
        <v/>
      </c>
      <c r="B487" s="8"/>
      <c r="C487" s="7" t="str">
        <f aca="false">IF(B487="","",INT((B487-DATE(YEAR(B487-WEEKDAY(B487-1)+4),1,3)+WEEKDAY(DATE(YEAR(B487-WEEKDAY(B487-1)+4),1,3))+5)/7))</f>
        <v/>
      </c>
      <c r="D487" s="9" t="str">
        <f aca="false">IF(B487="","",B487-WEEKDAY(B487,2)+1)</f>
        <v/>
      </c>
      <c r="E487" s="10"/>
      <c r="F487" s="8"/>
      <c r="G487" s="11"/>
      <c r="H487" s="10"/>
      <c r="I487" s="11"/>
      <c r="J487" s="10"/>
      <c r="K487" s="10"/>
      <c r="L487" s="10"/>
      <c r="M487" s="11"/>
      <c r="N487" s="8"/>
      <c r="O487" s="7" t="str">
        <f aca="false">IF(L487="","",IFERROR(VLOOKUP(L487,Paramètres!$F$5:$G$8,2,FALSE()),""))</f>
        <v/>
      </c>
      <c r="P487" s="9" t="str">
        <f aca="false">IF(OR(B487="",O487=""),"",IF(N487="",B487,N487)+O487)</f>
        <v/>
      </c>
      <c r="Q487" s="10"/>
      <c r="R487" s="8"/>
      <c r="S487" s="7" t="str">
        <f aca="false">IF(OR(B487="",R487=""),"",R487-B487)</f>
        <v/>
      </c>
      <c r="T487" s="7" t="str">
        <f aca="true">IF(OR(B487="",P487=""),"",IF(R487&lt;&gt;"",IF(R487&gt;P487,"Traité hors délai","Non"),IF(Q487="Classé sans suite","Non",IF(TODAY()&gt;P487,"OUI","Non"))))</f>
        <v/>
      </c>
      <c r="U487" s="11"/>
    </row>
    <row r="488" customFormat="false" ht="15" hidden="false" customHeight="false" outlineLevel="0" collapsed="false">
      <c r="A488" s="7" t="str">
        <f aca="false">IF(B488="","",YEAR(B488)&amp;"/"&amp;TEXT(ROW()-4,"0000"))</f>
        <v/>
      </c>
      <c r="B488" s="8"/>
      <c r="C488" s="7" t="str">
        <f aca="false">IF(B488="","",INT((B488-DATE(YEAR(B488-WEEKDAY(B488-1)+4),1,3)+WEEKDAY(DATE(YEAR(B488-WEEKDAY(B488-1)+4),1,3))+5)/7))</f>
        <v/>
      </c>
      <c r="D488" s="9" t="str">
        <f aca="false">IF(B488="","",B488-WEEKDAY(B488,2)+1)</f>
        <v/>
      </c>
      <c r="E488" s="10"/>
      <c r="F488" s="8"/>
      <c r="G488" s="11"/>
      <c r="H488" s="10"/>
      <c r="I488" s="11"/>
      <c r="J488" s="10"/>
      <c r="K488" s="10"/>
      <c r="L488" s="10"/>
      <c r="M488" s="11"/>
      <c r="N488" s="8"/>
      <c r="O488" s="7" t="str">
        <f aca="false">IF(L488="","",IFERROR(VLOOKUP(L488,Paramètres!$F$5:$G$8,2,FALSE()),""))</f>
        <v/>
      </c>
      <c r="P488" s="9" t="str">
        <f aca="false">IF(OR(B488="",O488=""),"",IF(N488="",B488,N488)+O488)</f>
        <v/>
      </c>
      <c r="Q488" s="10"/>
      <c r="R488" s="8"/>
      <c r="S488" s="7" t="str">
        <f aca="false">IF(OR(B488="",R488=""),"",R488-B488)</f>
        <v/>
      </c>
      <c r="T488" s="7" t="str">
        <f aca="true">IF(OR(B488="",P488=""),"",IF(R488&lt;&gt;"",IF(R488&gt;P488,"Traité hors délai","Non"),IF(Q488="Classé sans suite","Non",IF(TODAY()&gt;P488,"OUI","Non"))))</f>
        <v/>
      </c>
      <c r="U488" s="11"/>
    </row>
    <row r="489" customFormat="false" ht="15" hidden="false" customHeight="false" outlineLevel="0" collapsed="false">
      <c r="A489" s="7" t="str">
        <f aca="false">IF(B489="","",YEAR(B489)&amp;"/"&amp;TEXT(ROW()-4,"0000"))</f>
        <v/>
      </c>
      <c r="B489" s="8"/>
      <c r="C489" s="7" t="str">
        <f aca="false">IF(B489="","",INT((B489-DATE(YEAR(B489-WEEKDAY(B489-1)+4),1,3)+WEEKDAY(DATE(YEAR(B489-WEEKDAY(B489-1)+4),1,3))+5)/7))</f>
        <v/>
      </c>
      <c r="D489" s="9" t="str">
        <f aca="false">IF(B489="","",B489-WEEKDAY(B489,2)+1)</f>
        <v/>
      </c>
      <c r="E489" s="10"/>
      <c r="F489" s="8"/>
      <c r="G489" s="11"/>
      <c r="H489" s="10"/>
      <c r="I489" s="11"/>
      <c r="J489" s="10"/>
      <c r="K489" s="10"/>
      <c r="L489" s="10"/>
      <c r="M489" s="11"/>
      <c r="N489" s="8"/>
      <c r="O489" s="7" t="str">
        <f aca="false">IF(L489="","",IFERROR(VLOOKUP(L489,Paramètres!$F$5:$G$8,2,FALSE()),""))</f>
        <v/>
      </c>
      <c r="P489" s="9" t="str">
        <f aca="false">IF(OR(B489="",O489=""),"",IF(N489="",B489,N489)+O489)</f>
        <v/>
      </c>
      <c r="Q489" s="10"/>
      <c r="R489" s="8"/>
      <c r="S489" s="7" t="str">
        <f aca="false">IF(OR(B489="",R489=""),"",R489-B489)</f>
        <v/>
      </c>
      <c r="T489" s="7" t="str">
        <f aca="true">IF(OR(B489="",P489=""),"",IF(R489&lt;&gt;"",IF(R489&gt;P489,"Traité hors délai","Non"),IF(Q489="Classé sans suite","Non",IF(TODAY()&gt;P489,"OUI","Non"))))</f>
        <v/>
      </c>
      <c r="U489" s="11"/>
    </row>
    <row r="490" customFormat="false" ht="15" hidden="false" customHeight="false" outlineLevel="0" collapsed="false">
      <c r="A490" s="7" t="str">
        <f aca="false">IF(B490="","",YEAR(B490)&amp;"/"&amp;TEXT(ROW()-4,"0000"))</f>
        <v/>
      </c>
      <c r="B490" s="8"/>
      <c r="C490" s="7" t="str">
        <f aca="false">IF(B490="","",INT((B490-DATE(YEAR(B490-WEEKDAY(B490-1)+4),1,3)+WEEKDAY(DATE(YEAR(B490-WEEKDAY(B490-1)+4),1,3))+5)/7))</f>
        <v/>
      </c>
      <c r="D490" s="9" t="str">
        <f aca="false">IF(B490="","",B490-WEEKDAY(B490,2)+1)</f>
        <v/>
      </c>
      <c r="E490" s="10"/>
      <c r="F490" s="8"/>
      <c r="G490" s="11"/>
      <c r="H490" s="10"/>
      <c r="I490" s="11"/>
      <c r="J490" s="10"/>
      <c r="K490" s="10"/>
      <c r="L490" s="10"/>
      <c r="M490" s="11"/>
      <c r="N490" s="8"/>
      <c r="O490" s="7" t="str">
        <f aca="false">IF(L490="","",IFERROR(VLOOKUP(L490,Paramètres!$F$5:$G$8,2,FALSE()),""))</f>
        <v/>
      </c>
      <c r="P490" s="9" t="str">
        <f aca="false">IF(OR(B490="",O490=""),"",IF(N490="",B490,N490)+O490)</f>
        <v/>
      </c>
      <c r="Q490" s="10"/>
      <c r="R490" s="8"/>
      <c r="S490" s="7" t="str">
        <f aca="false">IF(OR(B490="",R490=""),"",R490-B490)</f>
        <v/>
      </c>
      <c r="T490" s="7" t="str">
        <f aca="true">IF(OR(B490="",P490=""),"",IF(R490&lt;&gt;"",IF(R490&gt;P490,"Traité hors délai","Non"),IF(Q490="Classé sans suite","Non",IF(TODAY()&gt;P490,"OUI","Non"))))</f>
        <v/>
      </c>
      <c r="U490" s="11"/>
    </row>
    <row r="491" customFormat="false" ht="15" hidden="false" customHeight="false" outlineLevel="0" collapsed="false">
      <c r="A491" s="7" t="str">
        <f aca="false">IF(B491="","",YEAR(B491)&amp;"/"&amp;TEXT(ROW()-4,"0000"))</f>
        <v/>
      </c>
      <c r="B491" s="8"/>
      <c r="C491" s="7" t="str">
        <f aca="false">IF(B491="","",INT((B491-DATE(YEAR(B491-WEEKDAY(B491-1)+4),1,3)+WEEKDAY(DATE(YEAR(B491-WEEKDAY(B491-1)+4),1,3))+5)/7))</f>
        <v/>
      </c>
      <c r="D491" s="9" t="str">
        <f aca="false">IF(B491="","",B491-WEEKDAY(B491,2)+1)</f>
        <v/>
      </c>
      <c r="E491" s="10"/>
      <c r="F491" s="8"/>
      <c r="G491" s="11"/>
      <c r="H491" s="10"/>
      <c r="I491" s="11"/>
      <c r="J491" s="10"/>
      <c r="K491" s="10"/>
      <c r="L491" s="10"/>
      <c r="M491" s="11"/>
      <c r="N491" s="8"/>
      <c r="O491" s="7" t="str">
        <f aca="false">IF(L491="","",IFERROR(VLOOKUP(L491,Paramètres!$F$5:$G$8,2,FALSE()),""))</f>
        <v/>
      </c>
      <c r="P491" s="9" t="str">
        <f aca="false">IF(OR(B491="",O491=""),"",IF(N491="",B491,N491)+O491)</f>
        <v/>
      </c>
      <c r="Q491" s="10"/>
      <c r="R491" s="8"/>
      <c r="S491" s="7" t="str">
        <f aca="false">IF(OR(B491="",R491=""),"",R491-B491)</f>
        <v/>
      </c>
      <c r="T491" s="7" t="str">
        <f aca="true">IF(OR(B491="",P491=""),"",IF(R491&lt;&gt;"",IF(R491&gt;P491,"Traité hors délai","Non"),IF(Q491="Classé sans suite","Non",IF(TODAY()&gt;P491,"OUI","Non"))))</f>
        <v/>
      </c>
      <c r="U491" s="11"/>
    </row>
    <row r="492" customFormat="false" ht="15" hidden="false" customHeight="false" outlineLevel="0" collapsed="false">
      <c r="A492" s="7" t="str">
        <f aca="false">IF(B492="","",YEAR(B492)&amp;"/"&amp;TEXT(ROW()-4,"0000"))</f>
        <v/>
      </c>
      <c r="B492" s="8"/>
      <c r="C492" s="7" t="str">
        <f aca="false">IF(B492="","",INT((B492-DATE(YEAR(B492-WEEKDAY(B492-1)+4),1,3)+WEEKDAY(DATE(YEAR(B492-WEEKDAY(B492-1)+4),1,3))+5)/7))</f>
        <v/>
      </c>
      <c r="D492" s="9" t="str">
        <f aca="false">IF(B492="","",B492-WEEKDAY(B492,2)+1)</f>
        <v/>
      </c>
      <c r="E492" s="10"/>
      <c r="F492" s="8"/>
      <c r="G492" s="11"/>
      <c r="H492" s="10"/>
      <c r="I492" s="11"/>
      <c r="J492" s="10"/>
      <c r="K492" s="10"/>
      <c r="L492" s="10"/>
      <c r="M492" s="11"/>
      <c r="N492" s="8"/>
      <c r="O492" s="7" t="str">
        <f aca="false">IF(L492="","",IFERROR(VLOOKUP(L492,Paramètres!$F$5:$G$8,2,FALSE()),""))</f>
        <v/>
      </c>
      <c r="P492" s="9" t="str">
        <f aca="false">IF(OR(B492="",O492=""),"",IF(N492="",B492,N492)+O492)</f>
        <v/>
      </c>
      <c r="Q492" s="10"/>
      <c r="R492" s="8"/>
      <c r="S492" s="7" t="str">
        <f aca="false">IF(OR(B492="",R492=""),"",R492-B492)</f>
        <v/>
      </c>
      <c r="T492" s="7" t="str">
        <f aca="true">IF(OR(B492="",P492=""),"",IF(R492&lt;&gt;"",IF(R492&gt;P492,"Traité hors délai","Non"),IF(Q492="Classé sans suite","Non",IF(TODAY()&gt;P492,"OUI","Non"))))</f>
        <v/>
      </c>
      <c r="U492" s="11"/>
    </row>
    <row r="493" customFormat="false" ht="15" hidden="false" customHeight="false" outlineLevel="0" collapsed="false">
      <c r="A493" s="7" t="str">
        <f aca="false">IF(B493="","",YEAR(B493)&amp;"/"&amp;TEXT(ROW()-4,"0000"))</f>
        <v/>
      </c>
      <c r="B493" s="8"/>
      <c r="C493" s="7" t="str">
        <f aca="false">IF(B493="","",INT((B493-DATE(YEAR(B493-WEEKDAY(B493-1)+4),1,3)+WEEKDAY(DATE(YEAR(B493-WEEKDAY(B493-1)+4),1,3))+5)/7))</f>
        <v/>
      </c>
      <c r="D493" s="9" t="str">
        <f aca="false">IF(B493="","",B493-WEEKDAY(B493,2)+1)</f>
        <v/>
      </c>
      <c r="E493" s="10"/>
      <c r="F493" s="8"/>
      <c r="G493" s="11"/>
      <c r="H493" s="10"/>
      <c r="I493" s="11"/>
      <c r="J493" s="10"/>
      <c r="K493" s="10"/>
      <c r="L493" s="10"/>
      <c r="M493" s="11"/>
      <c r="N493" s="8"/>
      <c r="O493" s="7" t="str">
        <f aca="false">IF(L493="","",IFERROR(VLOOKUP(L493,Paramètres!$F$5:$G$8,2,FALSE()),""))</f>
        <v/>
      </c>
      <c r="P493" s="9" t="str">
        <f aca="false">IF(OR(B493="",O493=""),"",IF(N493="",B493,N493)+O493)</f>
        <v/>
      </c>
      <c r="Q493" s="10"/>
      <c r="R493" s="8"/>
      <c r="S493" s="7" t="str">
        <f aca="false">IF(OR(B493="",R493=""),"",R493-B493)</f>
        <v/>
      </c>
      <c r="T493" s="7" t="str">
        <f aca="true">IF(OR(B493="",P493=""),"",IF(R493&lt;&gt;"",IF(R493&gt;P493,"Traité hors délai","Non"),IF(Q493="Classé sans suite","Non",IF(TODAY()&gt;P493,"OUI","Non"))))</f>
        <v/>
      </c>
      <c r="U493" s="11"/>
    </row>
    <row r="494" customFormat="false" ht="15" hidden="false" customHeight="false" outlineLevel="0" collapsed="false">
      <c r="A494" s="7" t="str">
        <f aca="false">IF(B494="","",YEAR(B494)&amp;"/"&amp;TEXT(ROW()-4,"0000"))</f>
        <v/>
      </c>
      <c r="B494" s="8"/>
      <c r="C494" s="7" t="str">
        <f aca="false">IF(B494="","",INT((B494-DATE(YEAR(B494-WEEKDAY(B494-1)+4),1,3)+WEEKDAY(DATE(YEAR(B494-WEEKDAY(B494-1)+4),1,3))+5)/7))</f>
        <v/>
      </c>
      <c r="D494" s="9" t="str">
        <f aca="false">IF(B494="","",B494-WEEKDAY(B494,2)+1)</f>
        <v/>
      </c>
      <c r="E494" s="10"/>
      <c r="F494" s="8"/>
      <c r="G494" s="11"/>
      <c r="H494" s="10"/>
      <c r="I494" s="11"/>
      <c r="J494" s="10"/>
      <c r="K494" s="10"/>
      <c r="L494" s="10"/>
      <c r="M494" s="11"/>
      <c r="N494" s="8"/>
      <c r="O494" s="7" t="str">
        <f aca="false">IF(L494="","",IFERROR(VLOOKUP(L494,Paramètres!$F$5:$G$8,2,FALSE()),""))</f>
        <v/>
      </c>
      <c r="P494" s="9" t="str">
        <f aca="false">IF(OR(B494="",O494=""),"",IF(N494="",B494,N494)+O494)</f>
        <v/>
      </c>
      <c r="Q494" s="10"/>
      <c r="R494" s="8"/>
      <c r="S494" s="7" t="str">
        <f aca="false">IF(OR(B494="",R494=""),"",R494-B494)</f>
        <v/>
      </c>
      <c r="T494" s="7" t="str">
        <f aca="true">IF(OR(B494="",P494=""),"",IF(R494&lt;&gt;"",IF(R494&gt;P494,"Traité hors délai","Non"),IF(Q494="Classé sans suite","Non",IF(TODAY()&gt;P494,"OUI","Non"))))</f>
        <v/>
      </c>
      <c r="U494" s="11"/>
    </row>
    <row r="495" customFormat="false" ht="15" hidden="false" customHeight="false" outlineLevel="0" collapsed="false">
      <c r="A495" s="7" t="str">
        <f aca="false">IF(B495="","",YEAR(B495)&amp;"/"&amp;TEXT(ROW()-4,"0000"))</f>
        <v/>
      </c>
      <c r="B495" s="8"/>
      <c r="C495" s="7" t="str">
        <f aca="false">IF(B495="","",INT((B495-DATE(YEAR(B495-WEEKDAY(B495-1)+4),1,3)+WEEKDAY(DATE(YEAR(B495-WEEKDAY(B495-1)+4),1,3))+5)/7))</f>
        <v/>
      </c>
      <c r="D495" s="9" t="str">
        <f aca="false">IF(B495="","",B495-WEEKDAY(B495,2)+1)</f>
        <v/>
      </c>
      <c r="E495" s="10"/>
      <c r="F495" s="8"/>
      <c r="G495" s="11"/>
      <c r="H495" s="10"/>
      <c r="I495" s="11"/>
      <c r="J495" s="10"/>
      <c r="K495" s="10"/>
      <c r="L495" s="10"/>
      <c r="M495" s="11"/>
      <c r="N495" s="8"/>
      <c r="O495" s="7" t="str">
        <f aca="false">IF(L495="","",IFERROR(VLOOKUP(L495,Paramètres!$F$5:$G$8,2,FALSE()),""))</f>
        <v/>
      </c>
      <c r="P495" s="9" t="str">
        <f aca="false">IF(OR(B495="",O495=""),"",IF(N495="",B495,N495)+O495)</f>
        <v/>
      </c>
      <c r="Q495" s="10"/>
      <c r="R495" s="8"/>
      <c r="S495" s="7" t="str">
        <f aca="false">IF(OR(B495="",R495=""),"",R495-B495)</f>
        <v/>
      </c>
      <c r="T495" s="7" t="str">
        <f aca="true">IF(OR(B495="",P495=""),"",IF(R495&lt;&gt;"",IF(R495&gt;P495,"Traité hors délai","Non"),IF(Q495="Classé sans suite","Non",IF(TODAY()&gt;P495,"OUI","Non"))))</f>
        <v/>
      </c>
      <c r="U495" s="11"/>
    </row>
    <row r="496" customFormat="false" ht="15" hidden="false" customHeight="false" outlineLevel="0" collapsed="false">
      <c r="A496" s="7" t="str">
        <f aca="false">IF(B496="","",YEAR(B496)&amp;"/"&amp;TEXT(ROW()-4,"0000"))</f>
        <v/>
      </c>
      <c r="B496" s="8"/>
      <c r="C496" s="7" t="str">
        <f aca="false">IF(B496="","",INT((B496-DATE(YEAR(B496-WEEKDAY(B496-1)+4),1,3)+WEEKDAY(DATE(YEAR(B496-WEEKDAY(B496-1)+4),1,3))+5)/7))</f>
        <v/>
      </c>
      <c r="D496" s="9" t="str">
        <f aca="false">IF(B496="","",B496-WEEKDAY(B496,2)+1)</f>
        <v/>
      </c>
      <c r="E496" s="10"/>
      <c r="F496" s="8"/>
      <c r="G496" s="11"/>
      <c r="H496" s="10"/>
      <c r="I496" s="11"/>
      <c r="J496" s="10"/>
      <c r="K496" s="10"/>
      <c r="L496" s="10"/>
      <c r="M496" s="11"/>
      <c r="N496" s="8"/>
      <c r="O496" s="7" t="str">
        <f aca="false">IF(L496="","",IFERROR(VLOOKUP(L496,Paramètres!$F$5:$G$8,2,FALSE()),""))</f>
        <v/>
      </c>
      <c r="P496" s="9" t="str">
        <f aca="false">IF(OR(B496="",O496=""),"",IF(N496="",B496,N496)+O496)</f>
        <v/>
      </c>
      <c r="Q496" s="10"/>
      <c r="R496" s="8"/>
      <c r="S496" s="7" t="str">
        <f aca="false">IF(OR(B496="",R496=""),"",R496-B496)</f>
        <v/>
      </c>
      <c r="T496" s="7" t="str">
        <f aca="true">IF(OR(B496="",P496=""),"",IF(R496&lt;&gt;"",IF(R496&gt;P496,"Traité hors délai","Non"),IF(Q496="Classé sans suite","Non",IF(TODAY()&gt;P496,"OUI","Non"))))</f>
        <v/>
      </c>
      <c r="U496" s="11"/>
    </row>
    <row r="497" customFormat="false" ht="15" hidden="false" customHeight="false" outlineLevel="0" collapsed="false">
      <c r="A497" s="7" t="str">
        <f aca="false">IF(B497="","",YEAR(B497)&amp;"/"&amp;TEXT(ROW()-4,"0000"))</f>
        <v/>
      </c>
      <c r="B497" s="8"/>
      <c r="C497" s="7" t="str">
        <f aca="false">IF(B497="","",INT((B497-DATE(YEAR(B497-WEEKDAY(B497-1)+4),1,3)+WEEKDAY(DATE(YEAR(B497-WEEKDAY(B497-1)+4),1,3))+5)/7))</f>
        <v/>
      </c>
      <c r="D497" s="9" t="str">
        <f aca="false">IF(B497="","",B497-WEEKDAY(B497,2)+1)</f>
        <v/>
      </c>
      <c r="E497" s="10"/>
      <c r="F497" s="8"/>
      <c r="G497" s="11"/>
      <c r="H497" s="10"/>
      <c r="I497" s="11"/>
      <c r="J497" s="10"/>
      <c r="K497" s="10"/>
      <c r="L497" s="10"/>
      <c r="M497" s="11"/>
      <c r="N497" s="8"/>
      <c r="O497" s="7" t="str">
        <f aca="false">IF(L497="","",IFERROR(VLOOKUP(L497,Paramètres!$F$5:$G$8,2,FALSE()),""))</f>
        <v/>
      </c>
      <c r="P497" s="9" t="str">
        <f aca="false">IF(OR(B497="",O497=""),"",IF(N497="",B497,N497)+O497)</f>
        <v/>
      </c>
      <c r="Q497" s="10"/>
      <c r="R497" s="8"/>
      <c r="S497" s="7" t="str">
        <f aca="false">IF(OR(B497="",R497=""),"",R497-B497)</f>
        <v/>
      </c>
      <c r="T497" s="7" t="str">
        <f aca="true">IF(OR(B497="",P497=""),"",IF(R497&lt;&gt;"",IF(R497&gt;P497,"Traité hors délai","Non"),IF(Q497="Classé sans suite","Non",IF(TODAY()&gt;P497,"OUI","Non"))))</f>
        <v/>
      </c>
      <c r="U497" s="11"/>
    </row>
    <row r="498" customFormat="false" ht="15" hidden="false" customHeight="false" outlineLevel="0" collapsed="false">
      <c r="A498" s="7" t="str">
        <f aca="false">IF(B498="","",YEAR(B498)&amp;"/"&amp;TEXT(ROW()-4,"0000"))</f>
        <v/>
      </c>
      <c r="B498" s="8"/>
      <c r="C498" s="7" t="str">
        <f aca="false">IF(B498="","",INT((B498-DATE(YEAR(B498-WEEKDAY(B498-1)+4),1,3)+WEEKDAY(DATE(YEAR(B498-WEEKDAY(B498-1)+4),1,3))+5)/7))</f>
        <v/>
      </c>
      <c r="D498" s="9" t="str">
        <f aca="false">IF(B498="","",B498-WEEKDAY(B498,2)+1)</f>
        <v/>
      </c>
      <c r="E498" s="10"/>
      <c r="F498" s="8"/>
      <c r="G498" s="11"/>
      <c r="H498" s="10"/>
      <c r="I498" s="11"/>
      <c r="J498" s="10"/>
      <c r="K498" s="10"/>
      <c r="L498" s="10"/>
      <c r="M498" s="11"/>
      <c r="N498" s="8"/>
      <c r="O498" s="7" t="str">
        <f aca="false">IF(L498="","",IFERROR(VLOOKUP(L498,Paramètres!$F$5:$G$8,2,FALSE()),""))</f>
        <v/>
      </c>
      <c r="P498" s="9" t="str">
        <f aca="false">IF(OR(B498="",O498=""),"",IF(N498="",B498,N498)+O498)</f>
        <v/>
      </c>
      <c r="Q498" s="10"/>
      <c r="R498" s="8"/>
      <c r="S498" s="7" t="str">
        <f aca="false">IF(OR(B498="",R498=""),"",R498-B498)</f>
        <v/>
      </c>
      <c r="T498" s="7" t="str">
        <f aca="true">IF(OR(B498="",P498=""),"",IF(R498&lt;&gt;"",IF(R498&gt;P498,"Traité hors délai","Non"),IF(Q498="Classé sans suite","Non",IF(TODAY()&gt;P498,"OUI","Non"))))</f>
        <v/>
      </c>
      <c r="U498" s="11"/>
    </row>
    <row r="499" customFormat="false" ht="15" hidden="false" customHeight="false" outlineLevel="0" collapsed="false">
      <c r="A499" s="7" t="str">
        <f aca="false">IF(B499="","",YEAR(B499)&amp;"/"&amp;TEXT(ROW()-4,"0000"))</f>
        <v/>
      </c>
      <c r="B499" s="8"/>
      <c r="C499" s="7" t="str">
        <f aca="false">IF(B499="","",INT((B499-DATE(YEAR(B499-WEEKDAY(B499-1)+4),1,3)+WEEKDAY(DATE(YEAR(B499-WEEKDAY(B499-1)+4),1,3))+5)/7))</f>
        <v/>
      </c>
      <c r="D499" s="9" t="str">
        <f aca="false">IF(B499="","",B499-WEEKDAY(B499,2)+1)</f>
        <v/>
      </c>
      <c r="E499" s="10"/>
      <c r="F499" s="8"/>
      <c r="G499" s="11"/>
      <c r="H499" s="10"/>
      <c r="I499" s="11"/>
      <c r="J499" s="10"/>
      <c r="K499" s="10"/>
      <c r="L499" s="10"/>
      <c r="M499" s="11"/>
      <c r="N499" s="8"/>
      <c r="O499" s="7" t="str">
        <f aca="false">IF(L499="","",IFERROR(VLOOKUP(L499,Paramètres!$F$5:$G$8,2,FALSE()),""))</f>
        <v/>
      </c>
      <c r="P499" s="9" t="str">
        <f aca="false">IF(OR(B499="",O499=""),"",IF(N499="",B499,N499)+O499)</f>
        <v/>
      </c>
      <c r="Q499" s="10"/>
      <c r="R499" s="8"/>
      <c r="S499" s="7" t="str">
        <f aca="false">IF(OR(B499="",R499=""),"",R499-B499)</f>
        <v/>
      </c>
      <c r="T499" s="7" t="str">
        <f aca="true">IF(OR(B499="",P499=""),"",IF(R499&lt;&gt;"",IF(R499&gt;P499,"Traité hors délai","Non"),IF(Q499="Classé sans suite","Non",IF(TODAY()&gt;P499,"OUI","Non"))))</f>
        <v/>
      </c>
      <c r="U499" s="11"/>
    </row>
    <row r="500" customFormat="false" ht="15" hidden="false" customHeight="false" outlineLevel="0" collapsed="false">
      <c r="A500" s="7" t="str">
        <f aca="false">IF(B500="","",YEAR(B500)&amp;"/"&amp;TEXT(ROW()-4,"0000"))</f>
        <v/>
      </c>
      <c r="B500" s="8"/>
      <c r="C500" s="7" t="str">
        <f aca="false">IF(B500="","",INT((B500-DATE(YEAR(B500-WEEKDAY(B500-1)+4),1,3)+WEEKDAY(DATE(YEAR(B500-WEEKDAY(B500-1)+4),1,3))+5)/7))</f>
        <v/>
      </c>
      <c r="D500" s="9" t="str">
        <f aca="false">IF(B500="","",B500-WEEKDAY(B500,2)+1)</f>
        <v/>
      </c>
      <c r="E500" s="10"/>
      <c r="F500" s="8"/>
      <c r="G500" s="11"/>
      <c r="H500" s="10"/>
      <c r="I500" s="11"/>
      <c r="J500" s="10"/>
      <c r="K500" s="10"/>
      <c r="L500" s="10"/>
      <c r="M500" s="11"/>
      <c r="N500" s="8"/>
      <c r="O500" s="7" t="str">
        <f aca="false">IF(L500="","",IFERROR(VLOOKUP(L500,Paramètres!$F$5:$G$8,2,FALSE()),""))</f>
        <v/>
      </c>
      <c r="P500" s="9" t="str">
        <f aca="false">IF(OR(B500="",O500=""),"",IF(N500="",B500,N500)+O500)</f>
        <v/>
      </c>
      <c r="Q500" s="10"/>
      <c r="R500" s="8"/>
      <c r="S500" s="7" t="str">
        <f aca="false">IF(OR(B500="",R500=""),"",R500-B500)</f>
        <v/>
      </c>
      <c r="T500" s="7" t="str">
        <f aca="true">IF(OR(B500="",P500=""),"",IF(R500&lt;&gt;"",IF(R500&gt;P500,"Traité hors délai","Non"),IF(Q500="Classé sans suite","Non",IF(TODAY()&gt;P500,"OUI","Non"))))</f>
        <v/>
      </c>
      <c r="U500" s="11"/>
    </row>
    <row r="501" customFormat="false" ht="15" hidden="false" customHeight="false" outlineLevel="0" collapsed="false">
      <c r="A501" s="7" t="str">
        <f aca="false">IF(B501="","",YEAR(B501)&amp;"/"&amp;TEXT(ROW()-4,"0000"))</f>
        <v/>
      </c>
      <c r="B501" s="8"/>
      <c r="C501" s="7" t="str">
        <f aca="false">IF(B501="","",INT((B501-DATE(YEAR(B501-WEEKDAY(B501-1)+4),1,3)+WEEKDAY(DATE(YEAR(B501-WEEKDAY(B501-1)+4),1,3))+5)/7))</f>
        <v/>
      </c>
      <c r="D501" s="9" t="str">
        <f aca="false">IF(B501="","",B501-WEEKDAY(B501,2)+1)</f>
        <v/>
      </c>
      <c r="E501" s="10"/>
      <c r="F501" s="8"/>
      <c r="G501" s="11"/>
      <c r="H501" s="10"/>
      <c r="I501" s="11"/>
      <c r="J501" s="10"/>
      <c r="K501" s="10"/>
      <c r="L501" s="10"/>
      <c r="M501" s="11"/>
      <c r="N501" s="8"/>
      <c r="O501" s="7" t="str">
        <f aca="false">IF(L501="","",IFERROR(VLOOKUP(L501,Paramètres!$F$5:$G$8,2,FALSE()),""))</f>
        <v/>
      </c>
      <c r="P501" s="9" t="str">
        <f aca="false">IF(OR(B501="",O501=""),"",IF(N501="",B501,N501)+O501)</f>
        <v/>
      </c>
      <c r="Q501" s="10"/>
      <c r="R501" s="8"/>
      <c r="S501" s="7" t="str">
        <f aca="false">IF(OR(B501="",R501=""),"",R501-B501)</f>
        <v/>
      </c>
      <c r="T501" s="7" t="str">
        <f aca="true">IF(OR(B501="",P501=""),"",IF(R501&lt;&gt;"",IF(R501&gt;P501,"Traité hors délai","Non"),IF(Q501="Classé sans suite","Non",IF(TODAY()&gt;P501,"OUI","Non"))))</f>
        <v/>
      </c>
      <c r="U501" s="11"/>
    </row>
    <row r="502" customFormat="false" ht="15" hidden="false" customHeight="false" outlineLevel="0" collapsed="false">
      <c r="A502" s="7" t="str">
        <f aca="false">IF(B502="","",YEAR(B502)&amp;"/"&amp;TEXT(ROW()-4,"0000"))</f>
        <v/>
      </c>
      <c r="B502" s="8"/>
      <c r="C502" s="7" t="str">
        <f aca="false">IF(B502="","",INT((B502-DATE(YEAR(B502-WEEKDAY(B502-1)+4),1,3)+WEEKDAY(DATE(YEAR(B502-WEEKDAY(B502-1)+4),1,3))+5)/7))</f>
        <v/>
      </c>
      <c r="D502" s="9" t="str">
        <f aca="false">IF(B502="","",B502-WEEKDAY(B502,2)+1)</f>
        <v/>
      </c>
      <c r="E502" s="10"/>
      <c r="F502" s="8"/>
      <c r="G502" s="11"/>
      <c r="H502" s="10"/>
      <c r="I502" s="11"/>
      <c r="J502" s="10"/>
      <c r="K502" s="10"/>
      <c r="L502" s="10"/>
      <c r="M502" s="11"/>
      <c r="N502" s="8"/>
      <c r="O502" s="7" t="str">
        <f aca="false">IF(L502="","",IFERROR(VLOOKUP(L502,Paramètres!$F$5:$G$8,2,FALSE()),""))</f>
        <v/>
      </c>
      <c r="P502" s="9" t="str">
        <f aca="false">IF(OR(B502="",O502=""),"",IF(N502="",B502,N502)+O502)</f>
        <v/>
      </c>
      <c r="Q502" s="10"/>
      <c r="R502" s="8"/>
      <c r="S502" s="7" t="str">
        <f aca="false">IF(OR(B502="",R502=""),"",R502-B502)</f>
        <v/>
      </c>
      <c r="T502" s="7" t="str">
        <f aca="true">IF(OR(B502="",P502=""),"",IF(R502&lt;&gt;"",IF(R502&gt;P502,"Traité hors délai","Non"),IF(Q502="Classé sans suite","Non",IF(TODAY()&gt;P502,"OUI","Non"))))</f>
        <v/>
      </c>
      <c r="U502" s="11"/>
    </row>
    <row r="503" customFormat="false" ht="15" hidden="false" customHeight="false" outlineLevel="0" collapsed="false">
      <c r="A503" s="7" t="str">
        <f aca="false">IF(B503="","",YEAR(B503)&amp;"/"&amp;TEXT(ROW()-4,"0000"))</f>
        <v/>
      </c>
      <c r="B503" s="8"/>
      <c r="C503" s="7" t="str">
        <f aca="false">IF(B503="","",INT((B503-DATE(YEAR(B503-WEEKDAY(B503-1)+4),1,3)+WEEKDAY(DATE(YEAR(B503-WEEKDAY(B503-1)+4),1,3))+5)/7))</f>
        <v/>
      </c>
      <c r="D503" s="9" t="str">
        <f aca="false">IF(B503="","",B503-WEEKDAY(B503,2)+1)</f>
        <v/>
      </c>
      <c r="E503" s="10"/>
      <c r="F503" s="8"/>
      <c r="G503" s="11"/>
      <c r="H503" s="10"/>
      <c r="I503" s="11"/>
      <c r="J503" s="10"/>
      <c r="K503" s="10"/>
      <c r="L503" s="10"/>
      <c r="M503" s="11"/>
      <c r="N503" s="8"/>
      <c r="O503" s="7" t="str">
        <f aca="false">IF(L503="","",IFERROR(VLOOKUP(L503,Paramètres!$F$5:$G$8,2,FALSE()),""))</f>
        <v/>
      </c>
      <c r="P503" s="9" t="str">
        <f aca="false">IF(OR(B503="",O503=""),"",IF(N503="",B503,N503)+O503)</f>
        <v/>
      </c>
      <c r="Q503" s="10"/>
      <c r="R503" s="8"/>
      <c r="S503" s="7" t="str">
        <f aca="false">IF(OR(B503="",R503=""),"",R503-B503)</f>
        <v/>
      </c>
      <c r="T503" s="7" t="str">
        <f aca="true">IF(OR(B503="",P503=""),"",IF(R503&lt;&gt;"",IF(R503&gt;P503,"Traité hors délai","Non"),IF(Q503="Classé sans suite","Non",IF(TODAY()&gt;P503,"OUI","Non"))))</f>
        <v/>
      </c>
      <c r="U503" s="11"/>
    </row>
    <row r="504" customFormat="false" ht="15" hidden="false" customHeight="false" outlineLevel="0" collapsed="false">
      <c r="A504" s="7" t="str">
        <f aca="false">IF(B504="","",YEAR(B504)&amp;"/"&amp;TEXT(ROW()-4,"0000"))</f>
        <v/>
      </c>
      <c r="B504" s="8"/>
      <c r="C504" s="7" t="str">
        <f aca="false">IF(B504="","",INT((B504-DATE(YEAR(B504-WEEKDAY(B504-1)+4),1,3)+WEEKDAY(DATE(YEAR(B504-WEEKDAY(B504-1)+4),1,3))+5)/7))</f>
        <v/>
      </c>
      <c r="D504" s="9" t="str">
        <f aca="false">IF(B504="","",B504-WEEKDAY(B504,2)+1)</f>
        <v/>
      </c>
      <c r="E504" s="10"/>
      <c r="F504" s="8"/>
      <c r="G504" s="11"/>
      <c r="H504" s="10"/>
      <c r="I504" s="11"/>
      <c r="J504" s="10"/>
      <c r="K504" s="10"/>
      <c r="L504" s="10"/>
      <c r="M504" s="11"/>
      <c r="N504" s="8"/>
      <c r="O504" s="7" t="str">
        <f aca="false">IF(L504="","",IFERROR(VLOOKUP(L504,Paramètres!$F$5:$G$8,2,FALSE()),""))</f>
        <v/>
      </c>
      <c r="P504" s="9" t="str">
        <f aca="false">IF(OR(B504="",O504=""),"",IF(N504="",B504,N504)+O504)</f>
        <v/>
      </c>
      <c r="Q504" s="10"/>
      <c r="R504" s="8"/>
      <c r="S504" s="7" t="str">
        <f aca="false">IF(OR(B504="",R504=""),"",R504-B504)</f>
        <v/>
      </c>
      <c r="T504" s="7" t="str">
        <f aca="true">IF(OR(B504="",P504=""),"",IF(R504&lt;&gt;"",IF(R504&gt;P504,"Traité hors délai","Non"),IF(Q504="Classé sans suite","Non",IF(TODAY()&gt;P504,"OUI","Non"))))</f>
        <v/>
      </c>
      <c r="U504" s="11"/>
    </row>
    <row r="505" customFormat="false" ht="15" hidden="false" customHeight="false" outlineLevel="0" collapsed="false">
      <c r="A505" s="7" t="str">
        <f aca="false">IF(B505="","",YEAR(B505)&amp;"/"&amp;TEXT(ROW()-4,"0000"))</f>
        <v/>
      </c>
      <c r="B505" s="8"/>
      <c r="C505" s="7" t="str">
        <f aca="false">IF(B505="","",INT((B505-DATE(YEAR(B505-WEEKDAY(B505-1)+4),1,3)+WEEKDAY(DATE(YEAR(B505-WEEKDAY(B505-1)+4),1,3))+5)/7))</f>
        <v/>
      </c>
      <c r="D505" s="9" t="str">
        <f aca="false">IF(B505="","",B505-WEEKDAY(B505,2)+1)</f>
        <v/>
      </c>
      <c r="E505" s="10"/>
      <c r="F505" s="8"/>
      <c r="G505" s="11"/>
      <c r="H505" s="10"/>
      <c r="I505" s="11"/>
      <c r="J505" s="10"/>
      <c r="K505" s="10"/>
      <c r="L505" s="10"/>
      <c r="M505" s="11"/>
      <c r="N505" s="8"/>
      <c r="O505" s="7" t="str">
        <f aca="false">IF(L505="","",IFERROR(VLOOKUP(L505,Paramètres!$F$5:$G$8,2,FALSE()),""))</f>
        <v/>
      </c>
      <c r="P505" s="9" t="str">
        <f aca="false">IF(OR(B505="",O505=""),"",IF(N505="",B505,N505)+O505)</f>
        <v/>
      </c>
      <c r="Q505" s="10"/>
      <c r="R505" s="8"/>
      <c r="S505" s="7" t="str">
        <f aca="false">IF(OR(B505="",R505=""),"",R505-B505)</f>
        <v/>
      </c>
      <c r="T505" s="7" t="str">
        <f aca="true">IF(OR(B505="",P505=""),"",IF(R505&lt;&gt;"",IF(R505&gt;P505,"Traité hors délai","Non"),IF(Q505="Classé sans suite","Non",IF(TODAY()&gt;P505,"OUI","Non"))))</f>
        <v/>
      </c>
      <c r="U505" s="11"/>
    </row>
    <row r="506" customFormat="false" ht="15" hidden="false" customHeight="false" outlineLevel="0" collapsed="false">
      <c r="A506" s="7" t="str">
        <f aca="false">IF(B506="","",YEAR(B506)&amp;"/"&amp;TEXT(ROW()-4,"0000"))</f>
        <v/>
      </c>
      <c r="B506" s="8"/>
      <c r="C506" s="7" t="str">
        <f aca="false">IF(B506="","",INT((B506-DATE(YEAR(B506-WEEKDAY(B506-1)+4),1,3)+WEEKDAY(DATE(YEAR(B506-WEEKDAY(B506-1)+4),1,3))+5)/7))</f>
        <v/>
      </c>
      <c r="D506" s="9" t="str">
        <f aca="false">IF(B506="","",B506-WEEKDAY(B506,2)+1)</f>
        <v/>
      </c>
      <c r="E506" s="10"/>
      <c r="F506" s="8"/>
      <c r="G506" s="11"/>
      <c r="H506" s="10"/>
      <c r="I506" s="11"/>
      <c r="J506" s="10"/>
      <c r="K506" s="10"/>
      <c r="L506" s="10"/>
      <c r="M506" s="11"/>
      <c r="N506" s="8"/>
      <c r="O506" s="7" t="str">
        <f aca="false">IF(L506="","",IFERROR(VLOOKUP(L506,Paramètres!$F$5:$G$8,2,FALSE()),""))</f>
        <v/>
      </c>
      <c r="P506" s="9" t="str">
        <f aca="false">IF(OR(B506="",O506=""),"",IF(N506="",B506,N506)+O506)</f>
        <v/>
      </c>
      <c r="Q506" s="10"/>
      <c r="R506" s="8"/>
      <c r="S506" s="7" t="str">
        <f aca="false">IF(OR(B506="",R506=""),"",R506-B506)</f>
        <v/>
      </c>
      <c r="T506" s="7" t="str">
        <f aca="true">IF(OR(B506="",P506=""),"",IF(R506&lt;&gt;"",IF(R506&gt;P506,"Traité hors délai","Non"),IF(Q506="Classé sans suite","Non",IF(TODAY()&gt;P506,"OUI","Non"))))</f>
        <v/>
      </c>
      <c r="U506" s="11"/>
    </row>
    <row r="507" customFormat="false" ht="15" hidden="false" customHeight="false" outlineLevel="0" collapsed="false">
      <c r="A507" s="7" t="str">
        <f aca="false">IF(B507="","",YEAR(B507)&amp;"/"&amp;TEXT(ROW()-4,"0000"))</f>
        <v/>
      </c>
      <c r="B507" s="8"/>
      <c r="C507" s="7" t="str">
        <f aca="false">IF(B507="","",INT((B507-DATE(YEAR(B507-WEEKDAY(B507-1)+4),1,3)+WEEKDAY(DATE(YEAR(B507-WEEKDAY(B507-1)+4),1,3))+5)/7))</f>
        <v/>
      </c>
      <c r="D507" s="9" t="str">
        <f aca="false">IF(B507="","",B507-WEEKDAY(B507,2)+1)</f>
        <v/>
      </c>
      <c r="E507" s="10"/>
      <c r="F507" s="8"/>
      <c r="G507" s="11"/>
      <c r="H507" s="10"/>
      <c r="I507" s="11"/>
      <c r="J507" s="10"/>
      <c r="K507" s="10"/>
      <c r="L507" s="10"/>
      <c r="M507" s="11"/>
      <c r="N507" s="8"/>
      <c r="O507" s="7" t="str">
        <f aca="false">IF(L507="","",IFERROR(VLOOKUP(L507,Paramètres!$F$5:$G$8,2,FALSE()),""))</f>
        <v/>
      </c>
      <c r="P507" s="9" t="str">
        <f aca="false">IF(OR(B507="",O507=""),"",IF(N507="",B507,N507)+O507)</f>
        <v/>
      </c>
      <c r="Q507" s="10"/>
      <c r="R507" s="8"/>
      <c r="S507" s="7" t="str">
        <f aca="false">IF(OR(B507="",R507=""),"",R507-B507)</f>
        <v/>
      </c>
      <c r="T507" s="7" t="str">
        <f aca="true">IF(OR(B507="",P507=""),"",IF(R507&lt;&gt;"",IF(R507&gt;P507,"Traité hors délai","Non"),IF(Q507="Classé sans suite","Non",IF(TODAY()&gt;P507,"OUI","Non"))))</f>
        <v/>
      </c>
      <c r="U507" s="11"/>
    </row>
    <row r="508" customFormat="false" ht="15" hidden="false" customHeight="false" outlineLevel="0" collapsed="false">
      <c r="A508" s="7" t="str">
        <f aca="false">IF(B508="","",YEAR(B508)&amp;"/"&amp;TEXT(ROW()-4,"0000"))</f>
        <v/>
      </c>
      <c r="B508" s="8"/>
      <c r="C508" s="7" t="str">
        <f aca="false">IF(B508="","",INT((B508-DATE(YEAR(B508-WEEKDAY(B508-1)+4),1,3)+WEEKDAY(DATE(YEAR(B508-WEEKDAY(B508-1)+4),1,3))+5)/7))</f>
        <v/>
      </c>
      <c r="D508" s="9" t="str">
        <f aca="false">IF(B508="","",B508-WEEKDAY(B508,2)+1)</f>
        <v/>
      </c>
      <c r="E508" s="10"/>
      <c r="F508" s="8"/>
      <c r="G508" s="11"/>
      <c r="H508" s="10"/>
      <c r="I508" s="11"/>
      <c r="J508" s="10"/>
      <c r="K508" s="10"/>
      <c r="L508" s="10"/>
      <c r="M508" s="11"/>
      <c r="N508" s="8"/>
      <c r="O508" s="7" t="str">
        <f aca="false">IF(L508="","",IFERROR(VLOOKUP(L508,Paramètres!$F$5:$G$8,2,FALSE()),""))</f>
        <v/>
      </c>
      <c r="P508" s="9" t="str">
        <f aca="false">IF(OR(B508="",O508=""),"",IF(N508="",B508,N508)+O508)</f>
        <v/>
      </c>
      <c r="Q508" s="10"/>
      <c r="R508" s="8"/>
      <c r="S508" s="7" t="str">
        <f aca="false">IF(OR(B508="",R508=""),"",R508-B508)</f>
        <v/>
      </c>
      <c r="T508" s="7" t="str">
        <f aca="true">IF(OR(B508="",P508=""),"",IF(R508&lt;&gt;"",IF(R508&gt;P508,"Traité hors délai","Non"),IF(Q508="Classé sans suite","Non",IF(TODAY()&gt;P508,"OUI","Non"))))</f>
        <v/>
      </c>
      <c r="U508" s="11"/>
    </row>
    <row r="509" customFormat="false" ht="15" hidden="false" customHeight="false" outlineLevel="0" collapsed="false">
      <c r="A509" s="7" t="str">
        <f aca="false">IF(B509="","",YEAR(B509)&amp;"/"&amp;TEXT(ROW()-4,"0000"))</f>
        <v/>
      </c>
      <c r="B509" s="8"/>
      <c r="C509" s="7" t="str">
        <f aca="false">IF(B509="","",INT((B509-DATE(YEAR(B509-WEEKDAY(B509-1)+4),1,3)+WEEKDAY(DATE(YEAR(B509-WEEKDAY(B509-1)+4),1,3))+5)/7))</f>
        <v/>
      </c>
      <c r="D509" s="9" t="str">
        <f aca="false">IF(B509="","",B509-WEEKDAY(B509,2)+1)</f>
        <v/>
      </c>
      <c r="E509" s="10"/>
      <c r="F509" s="8"/>
      <c r="G509" s="11"/>
      <c r="H509" s="10"/>
      <c r="I509" s="11"/>
      <c r="J509" s="10"/>
      <c r="K509" s="10"/>
      <c r="L509" s="10"/>
      <c r="M509" s="11"/>
      <c r="N509" s="8"/>
      <c r="O509" s="7" t="str">
        <f aca="false">IF(L509="","",IFERROR(VLOOKUP(L509,Paramètres!$F$5:$G$8,2,FALSE()),""))</f>
        <v/>
      </c>
      <c r="P509" s="9" t="str">
        <f aca="false">IF(OR(B509="",O509=""),"",IF(N509="",B509,N509)+O509)</f>
        <v/>
      </c>
      <c r="Q509" s="10"/>
      <c r="R509" s="8"/>
      <c r="S509" s="7" t="str">
        <f aca="false">IF(OR(B509="",R509=""),"",R509-B509)</f>
        <v/>
      </c>
      <c r="T509" s="7" t="str">
        <f aca="true">IF(OR(B509="",P509=""),"",IF(R509&lt;&gt;"",IF(R509&gt;P509,"Traité hors délai","Non"),IF(Q509="Classé sans suite","Non",IF(TODAY()&gt;P509,"OUI","Non"))))</f>
        <v/>
      </c>
      <c r="U509" s="11"/>
    </row>
    <row r="510" customFormat="false" ht="15" hidden="false" customHeight="false" outlineLevel="0" collapsed="false">
      <c r="A510" s="7" t="str">
        <f aca="false">IF(B510="","",YEAR(B510)&amp;"/"&amp;TEXT(ROW()-4,"0000"))</f>
        <v/>
      </c>
      <c r="B510" s="8"/>
      <c r="C510" s="7" t="str">
        <f aca="false">IF(B510="","",INT((B510-DATE(YEAR(B510-WEEKDAY(B510-1)+4),1,3)+WEEKDAY(DATE(YEAR(B510-WEEKDAY(B510-1)+4),1,3))+5)/7))</f>
        <v/>
      </c>
      <c r="D510" s="9" t="str">
        <f aca="false">IF(B510="","",B510-WEEKDAY(B510,2)+1)</f>
        <v/>
      </c>
      <c r="E510" s="10"/>
      <c r="F510" s="8"/>
      <c r="G510" s="11"/>
      <c r="H510" s="10"/>
      <c r="I510" s="11"/>
      <c r="J510" s="10"/>
      <c r="K510" s="10"/>
      <c r="L510" s="10"/>
      <c r="M510" s="11"/>
      <c r="N510" s="8"/>
      <c r="O510" s="7" t="str">
        <f aca="false">IF(L510="","",IFERROR(VLOOKUP(L510,Paramètres!$F$5:$G$8,2,FALSE()),""))</f>
        <v/>
      </c>
      <c r="P510" s="9" t="str">
        <f aca="false">IF(OR(B510="",O510=""),"",IF(N510="",B510,N510)+O510)</f>
        <v/>
      </c>
      <c r="Q510" s="10"/>
      <c r="R510" s="8"/>
      <c r="S510" s="7" t="str">
        <f aca="false">IF(OR(B510="",R510=""),"",R510-B510)</f>
        <v/>
      </c>
      <c r="T510" s="7" t="str">
        <f aca="true">IF(OR(B510="",P510=""),"",IF(R510&lt;&gt;"",IF(R510&gt;P510,"Traité hors délai","Non"),IF(Q510="Classé sans suite","Non",IF(TODAY()&gt;P510,"OUI","Non"))))</f>
        <v/>
      </c>
      <c r="U510" s="11"/>
    </row>
    <row r="511" customFormat="false" ht="15" hidden="false" customHeight="false" outlineLevel="0" collapsed="false">
      <c r="A511" s="7" t="str">
        <f aca="false">IF(B511="","",YEAR(B511)&amp;"/"&amp;TEXT(ROW()-4,"0000"))</f>
        <v/>
      </c>
      <c r="B511" s="8"/>
      <c r="C511" s="7" t="str">
        <f aca="false">IF(B511="","",INT((B511-DATE(YEAR(B511-WEEKDAY(B511-1)+4),1,3)+WEEKDAY(DATE(YEAR(B511-WEEKDAY(B511-1)+4),1,3))+5)/7))</f>
        <v/>
      </c>
      <c r="D511" s="9" t="str">
        <f aca="false">IF(B511="","",B511-WEEKDAY(B511,2)+1)</f>
        <v/>
      </c>
      <c r="E511" s="10"/>
      <c r="F511" s="8"/>
      <c r="G511" s="11"/>
      <c r="H511" s="10"/>
      <c r="I511" s="11"/>
      <c r="J511" s="10"/>
      <c r="K511" s="10"/>
      <c r="L511" s="10"/>
      <c r="M511" s="11"/>
      <c r="N511" s="8"/>
      <c r="O511" s="7" t="str">
        <f aca="false">IF(L511="","",IFERROR(VLOOKUP(L511,Paramètres!$F$5:$G$8,2,FALSE()),""))</f>
        <v/>
      </c>
      <c r="P511" s="9" t="str">
        <f aca="false">IF(OR(B511="",O511=""),"",IF(N511="",B511,N511)+O511)</f>
        <v/>
      </c>
      <c r="Q511" s="10"/>
      <c r="R511" s="8"/>
      <c r="S511" s="7" t="str">
        <f aca="false">IF(OR(B511="",R511=""),"",R511-B511)</f>
        <v/>
      </c>
      <c r="T511" s="7" t="str">
        <f aca="true">IF(OR(B511="",P511=""),"",IF(R511&lt;&gt;"",IF(R511&gt;P511,"Traité hors délai","Non"),IF(Q511="Classé sans suite","Non",IF(TODAY()&gt;P511,"OUI","Non"))))</f>
        <v/>
      </c>
      <c r="U511" s="11"/>
    </row>
    <row r="512" customFormat="false" ht="15" hidden="false" customHeight="false" outlineLevel="0" collapsed="false">
      <c r="A512" s="7" t="str">
        <f aca="false">IF(B512="","",YEAR(B512)&amp;"/"&amp;TEXT(ROW()-4,"0000"))</f>
        <v/>
      </c>
      <c r="B512" s="8"/>
      <c r="C512" s="7" t="str">
        <f aca="false">IF(B512="","",INT((B512-DATE(YEAR(B512-WEEKDAY(B512-1)+4),1,3)+WEEKDAY(DATE(YEAR(B512-WEEKDAY(B512-1)+4),1,3))+5)/7))</f>
        <v/>
      </c>
      <c r="D512" s="9" t="str">
        <f aca="false">IF(B512="","",B512-WEEKDAY(B512,2)+1)</f>
        <v/>
      </c>
      <c r="E512" s="10"/>
      <c r="F512" s="8"/>
      <c r="G512" s="11"/>
      <c r="H512" s="10"/>
      <c r="I512" s="11"/>
      <c r="J512" s="10"/>
      <c r="K512" s="10"/>
      <c r="L512" s="10"/>
      <c r="M512" s="11"/>
      <c r="N512" s="8"/>
      <c r="O512" s="7" t="str">
        <f aca="false">IF(L512="","",IFERROR(VLOOKUP(L512,Paramètres!$F$5:$G$8,2,FALSE()),""))</f>
        <v/>
      </c>
      <c r="P512" s="9" t="str">
        <f aca="false">IF(OR(B512="",O512=""),"",IF(N512="",B512,N512)+O512)</f>
        <v/>
      </c>
      <c r="Q512" s="10"/>
      <c r="R512" s="8"/>
      <c r="S512" s="7" t="str">
        <f aca="false">IF(OR(B512="",R512=""),"",R512-B512)</f>
        <v/>
      </c>
      <c r="T512" s="7" t="str">
        <f aca="true">IF(OR(B512="",P512=""),"",IF(R512&lt;&gt;"",IF(R512&gt;P512,"Traité hors délai","Non"),IF(Q512="Classé sans suite","Non",IF(TODAY()&gt;P512,"OUI","Non"))))</f>
        <v/>
      </c>
      <c r="U512" s="11"/>
    </row>
    <row r="513" customFormat="false" ht="15" hidden="false" customHeight="false" outlineLevel="0" collapsed="false">
      <c r="A513" s="7" t="str">
        <f aca="false">IF(B513="","",YEAR(B513)&amp;"/"&amp;TEXT(ROW()-4,"0000"))</f>
        <v/>
      </c>
      <c r="B513" s="8"/>
      <c r="C513" s="7" t="str">
        <f aca="false">IF(B513="","",INT((B513-DATE(YEAR(B513-WEEKDAY(B513-1)+4),1,3)+WEEKDAY(DATE(YEAR(B513-WEEKDAY(B513-1)+4),1,3))+5)/7))</f>
        <v/>
      </c>
      <c r="D513" s="9" t="str">
        <f aca="false">IF(B513="","",B513-WEEKDAY(B513,2)+1)</f>
        <v/>
      </c>
      <c r="E513" s="10"/>
      <c r="F513" s="8"/>
      <c r="G513" s="11"/>
      <c r="H513" s="10"/>
      <c r="I513" s="11"/>
      <c r="J513" s="10"/>
      <c r="K513" s="10"/>
      <c r="L513" s="10"/>
      <c r="M513" s="11"/>
      <c r="N513" s="8"/>
      <c r="O513" s="7" t="str">
        <f aca="false">IF(L513="","",IFERROR(VLOOKUP(L513,Paramètres!$F$5:$G$8,2,FALSE()),""))</f>
        <v/>
      </c>
      <c r="P513" s="9" t="str">
        <f aca="false">IF(OR(B513="",O513=""),"",IF(N513="",B513,N513)+O513)</f>
        <v/>
      </c>
      <c r="Q513" s="10"/>
      <c r="R513" s="8"/>
      <c r="S513" s="7" t="str">
        <f aca="false">IF(OR(B513="",R513=""),"",R513-B513)</f>
        <v/>
      </c>
      <c r="T513" s="7" t="str">
        <f aca="true">IF(OR(B513="",P513=""),"",IF(R513&lt;&gt;"",IF(R513&gt;P513,"Traité hors délai","Non"),IF(Q513="Classé sans suite","Non",IF(TODAY()&gt;P513,"OUI","Non"))))</f>
        <v/>
      </c>
      <c r="U513" s="11"/>
    </row>
    <row r="514" customFormat="false" ht="15" hidden="false" customHeight="false" outlineLevel="0" collapsed="false">
      <c r="A514" s="7" t="str">
        <f aca="false">IF(B514="","",YEAR(B514)&amp;"/"&amp;TEXT(ROW()-4,"0000"))</f>
        <v/>
      </c>
      <c r="B514" s="8"/>
      <c r="C514" s="7" t="str">
        <f aca="false">IF(B514="","",INT((B514-DATE(YEAR(B514-WEEKDAY(B514-1)+4),1,3)+WEEKDAY(DATE(YEAR(B514-WEEKDAY(B514-1)+4),1,3))+5)/7))</f>
        <v/>
      </c>
      <c r="D514" s="9" t="str">
        <f aca="false">IF(B514="","",B514-WEEKDAY(B514,2)+1)</f>
        <v/>
      </c>
      <c r="E514" s="10"/>
      <c r="F514" s="8"/>
      <c r="G514" s="11"/>
      <c r="H514" s="10"/>
      <c r="I514" s="11"/>
      <c r="J514" s="10"/>
      <c r="K514" s="10"/>
      <c r="L514" s="10"/>
      <c r="M514" s="11"/>
      <c r="N514" s="8"/>
      <c r="O514" s="7" t="str">
        <f aca="false">IF(L514="","",IFERROR(VLOOKUP(L514,Paramètres!$F$5:$G$8,2,FALSE()),""))</f>
        <v/>
      </c>
      <c r="P514" s="9" t="str">
        <f aca="false">IF(OR(B514="",O514=""),"",IF(N514="",B514,N514)+O514)</f>
        <v/>
      </c>
      <c r="Q514" s="10"/>
      <c r="R514" s="8"/>
      <c r="S514" s="7" t="str">
        <f aca="false">IF(OR(B514="",R514=""),"",R514-B514)</f>
        <v/>
      </c>
      <c r="T514" s="7" t="str">
        <f aca="true">IF(OR(B514="",P514=""),"",IF(R514&lt;&gt;"",IF(R514&gt;P514,"Traité hors délai","Non"),IF(Q514="Classé sans suite","Non",IF(TODAY()&gt;P514,"OUI","Non"))))</f>
        <v/>
      </c>
      <c r="U514" s="11"/>
    </row>
    <row r="515" customFormat="false" ht="15" hidden="false" customHeight="false" outlineLevel="0" collapsed="false">
      <c r="A515" s="7" t="str">
        <f aca="false">IF(B515="","",YEAR(B515)&amp;"/"&amp;TEXT(ROW()-4,"0000"))</f>
        <v/>
      </c>
      <c r="B515" s="8"/>
      <c r="C515" s="7" t="str">
        <f aca="false">IF(B515="","",INT((B515-DATE(YEAR(B515-WEEKDAY(B515-1)+4),1,3)+WEEKDAY(DATE(YEAR(B515-WEEKDAY(B515-1)+4),1,3))+5)/7))</f>
        <v/>
      </c>
      <c r="D515" s="9" t="str">
        <f aca="false">IF(B515="","",B515-WEEKDAY(B515,2)+1)</f>
        <v/>
      </c>
      <c r="E515" s="10"/>
      <c r="F515" s="8"/>
      <c r="G515" s="11"/>
      <c r="H515" s="10"/>
      <c r="I515" s="11"/>
      <c r="J515" s="10"/>
      <c r="K515" s="10"/>
      <c r="L515" s="10"/>
      <c r="M515" s="11"/>
      <c r="N515" s="8"/>
      <c r="O515" s="7" t="str">
        <f aca="false">IF(L515="","",IFERROR(VLOOKUP(L515,Paramètres!$F$5:$G$8,2,FALSE()),""))</f>
        <v/>
      </c>
      <c r="P515" s="9" t="str">
        <f aca="false">IF(OR(B515="",O515=""),"",IF(N515="",B515,N515)+O515)</f>
        <v/>
      </c>
      <c r="Q515" s="10"/>
      <c r="R515" s="8"/>
      <c r="S515" s="7" t="str">
        <f aca="false">IF(OR(B515="",R515=""),"",R515-B515)</f>
        <v/>
      </c>
      <c r="T515" s="7" t="str">
        <f aca="true">IF(OR(B515="",P515=""),"",IF(R515&lt;&gt;"",IF(R515&gt;P515,"Traité hors délai","Non"),IF(Q515="Classé sans suite","Non",IF(TODAY()&gt;P515,"OUI","Non"))))</f>
        <v/>
      </c>
      <c r="U515" s="11"/>
    </row>
    <row r="516" customFormat="false" ht="15" hidden="false" customHeight="false" outlineLevel="0" collapsed="false">
      <c r="A516" s="7" t="str">
        <f aca="false">IF(B516="","",YEAR(B516)&amp;"/"&amp;TEXT(ROW()-4,"0000"))</f>
        <v/>
      </c>
      <c r="B516" s="8"/>
      <c r="C516" s="7" t="str">
        <f aca="false">IF(B516="","",INT((B516-DATE(YEAR(B516-WEEKDAY(B516-1)+4),1,3)+WEEKDAY(DATE(YEAR(B516-WEEKDAY(B516-1)+4),1,3))+5)/7))</f>
        <v/>
      </c>
      <c r="D516" s="9" t="str">
        <f aca="false">IF(B516="","",B516-WEEKDAY(B516,2)+1)</f>
        <v/>
      </c>
      <c r="E516" s="10"/>
      <c r="F516" s="8"/>
      <c r="G516" s="11"/>
      <c r="H516" s="10"/>
      <c r="I516" s="11"/>
      <c r="J516" s="10"/>
      <c r="K516" s="10"/>
      <c r="L516" s="10"/>
      <c r="M516" s="11"/>
      <c r="N516" s="8"/>
      <c r="O516" s="7" t="str">
        <f aca="false">IF(L516="","",IFERROR(VLOOKUP(L516,Paramètres!$F$5:$G$8,2,FALSE()),""))</f>
        <v/>
      </c>
      <c r="P516" s="9" t="str">
        <f aca="false">IF(OR(B516="",O516=""),"",IF(N516="",B516,N516)+O516)</f>
        <v/>
      </c>
      <c r="Q516" s="10"/>
      <c r="R516" s="8"/>
      <c r="S516" s="7" t="str">
        <f aca="false">IF(OR(B516="",R516=""),"",R516-B516)</f>
        <v/>
      </c>
      <c r="T516" s="7" t="str">
        <f aca="true">IF(OR(B516="",P516=""),"",IF(R516&lt;&gt;"",IF(R516&gt;P516,"Traité hors délai","Non"),IF(Q516="Classé sans suite","Non",IF(TODAY()&gt;P516,"OUI","Non"))))</f>
        <v/>
      </c>
      <c r="U516" s="11"/>
    </row>
    <row r="517" customFormat="false" ht="15" hidden="false" customHeight="false" outlineLevel="0" collapsed="false">
      <c r="A517" s="7" t="str">
        <f aca="false">IF(B517="","",YEAR(B517)&amp;"/"&amp;TEXT(ROW()-4,"0000"))</f>
        <v/>
      </c>
      <c r="B517" s="8"/>
      <c r="C517" s="7" t="str">
        <f aca="false">IF(B517="","",INT((B517-DATE(YEAR(B517-WEEKDAY(B517-1)+4),1,3)+WEEKDAY(DATE(YEAR(B517-WEEKDAY(B517-1)+4),1,3))+5)/7))</f>
        <v/>
      </c>
      <c r="D517" s="9" t="str">
        <f aca="false">IF(B517="","",B517-WEEKDAY(B517,2)+1)</f>
        <v/>
      </c>
      <c r="E517" s="10"/>
      <c r="F517" s="8"/>
      <c r="G517" s="11"/>
      <c r="H517" s="10"/>
      <c r="I517" s="11"/>
      <c r="J517" s="10"/>
      <c r="K517" s="10"/>
      <c r="L517" s="10"/>
      <c r="M517" s="11"/>
      <c r="N517" s="8"/>
      <c r="O517" s="7" t="str">
        <f aca="false">IF(L517="","",IFERROR(VLOOKUP(L517,Paramètres!$F$5:$G$8,2,FALSE()),""))</f>
        <v/>
      </c>
      <c r="P517" s="9" t="str">
        <f aca="false">IF(OR(B517="",O517=""),"",IF(N517="",B517,N517)+O517)</f>
        <v/>
      </c>
      <c r="Q517" s="10"/>
      <c r="R517" s="8"/>
      <c r="S517" s="7" t="str">
        <f aca="false">IF(OR(B517="",R517=""),"",R517-B517)</f>
        <v/>
      </c>
      <c r="T517" s="7" t="str">
        <f aca="true">IF(OR(B517="",P517=""),"",IF(R517&lt;&gt;"",IF(R517&gt;P517,"Traité hors délai","Non"),IF(Q517="Classé sans suite","Non",IF(TODAY()&gt;P517,"OUI","Non"))))</f>
        <v/>
      </c>
      <c r="U517" s="11"/>
    </row>
    <row r="518" customFormat="false" ht="15" hidden="false" customHeight="false" outlineLevel="0" collapsed="false">
      <c r="A518" s="7" t="str">
        <f aca="false">IF(B518="","",YEAR(B518)&amp;"/"&amp;TEXT(ROW()-4,"0000"))</f>
        <v/>
      </c>
      <c r="B518" s="8"/>
      <c r="C518" s="7" t="str">
        <f aca="false">IF(B518="","",INT((B518-DATE(YEAR(B518-WEEKDAY(B518-1)+4),1,3)+WEEKDAY(DATE(YEAR(B518-WEEKDAY(B518-1)+4),1,3))+5)/7))</f>
        <v/>
      </c>
      <c r="D518" s="9" t="str">
        <f aca="false">IF(B518="","",B518-WEEKDAY(B518,2)+1)</f>
        <v/>
      </c>
      <c r="E518" s="10"/>
      <c r="F518" s="8"/>
      <c r="G518" s="11"/>
      <c r="H518" s="10"/>
      <c r="I518" s="11"/>
      <c r="J518" s="10"/>
      <c r="K518" s="10"/>
      <c r="L518" s="10"/>
      <c r="M518" s="11"/>
      <c r="N518" s="8"/>
      <c r="O518" s="7" t="str">
        <f aca="false">IF(L518="","",IFERROR(VLOOKUP(L518,Paramètres!$F$5:$G$8,2,FALSE()),""))</f>
        <v/>
      </c>
      <c r="P518" s="9" t="str">
        <f aca="false">IF(OR(B518="",O518=""),"",IF(N518="",B518,N518)+O518)</f>
        <v/>
      </c>
      <c r="Q518" s="10"/>
      <c r="R518" s="8"/>
      <c r="S518" s="7" t="str">
        <f aca="false">IF(OR(B518="",R518=""),"",R518-B518)</f>
        <v/>
      </c>
      <c r="T518" s="7" t="str">
        <f aca="true">IF(OR(B518="",P518=""),"",IF(R518&lt;&gt;"",IF(R518&gt;P518,"Traité hors délai","Non"),IF(Q518="Classé sans suite","Non",IF(TODAY()&gt;P518,"OUI","Non"))))</f>
        <v/>
      </c>
      <c r="U518" s="11"/>
    </row>
    <row r="519" customFormat="false" ht="15" hidden="false" customHeight="false" outlineLevel="0" collapsed="false">
      <c r="A519" s="7" t="str">
        <f aca="false">IF(B519="","",YEAR(B519)&amp;"/"&amp;TEXT(ROW()-4,"0000"))</f>
        <v/>
      </c>
      <c r="B519" s="8"/>
      <c r="C519" s="7" t="str">
        <f aca="false">IF(B519="","",INT((B519-DATE(YEAR(B519-WEEKDAY(B519-1)+4),1,3)+WEEKDAY(DATE(YEAR(B519-WEEKDAY(B519-1)+4),1,3))+5)/7))</f>
        <v/>
      </c>
      <c r="D519" s="9" t="str">
        <f aca="false">IF(B519="","",B519-WEEKDAY(B519,2)+1)</f>
        <v/>
      </c>
      <c r="E519" s="10"/>
      <c r="F519" s="8"/>
      <c r="G519" s="11"/>
      <c r="H519" s="10"/>
      <c r="I519" s="11"/>
      <c r="J519" s="10"/>
      <c r="K519" s="10"/>
      <c r="L519" s="10"/>
      <c r="M519" s="11"/>
      <c r="N519" s="8"/>
      <c r="O519" s="7" t="str">
        <f aca="false">IF(L519="","",IFERROR(VLOOKUP(L519,Paramètres!$F$5:$G$8,2,FALSE()),""))</f>
        <v/>
      </c>
      <c r="P519" s="9" t="str">
        <f aca="false">IF(OR(B519="",O519=""),"",IF(N519="",B519,N519)+O519)</f>
        <v/>
      </c>
      <c r="Q519" s="10"/>
      <c r="R519" s="8"/>
      <c r="S519" s="7" t="str">
        <f aca="false">IF(OR(B519="",R519=""),"",R519-B519)</f>
        <v/>
      </c>
      <c r="T519" s="7" t="str">
        <f aca="true">IF(OR(B519="",P519=""),"",IF(R519&lt;&gt;"",IF(R519&gt;P519,"Traité hors délai","Non"),IF(Q519="Classé sans suite","Non",IF(TODAY()&gt;P519,"OUI","Non"))))</f>
        <v/>
      </c>
      <c r="U519" s="11"/>
    </row>
    <row r="520" customFormat="false" ht="15" hidden="false" customHeight="false" outlineLevel="0" collapsed="false">
      <c r="A520" s="7" t="str">
        <f aca="false">IF(B520="","",YEAR(B520)&amp;"/"&amp;TEXT(ROW()-4,"0000"))</f>
        <v/>
      </c>
      <c r="B520" s="8"/>
      <c r="C520" s="7" t="str">
        <f aca="false">IF(B520="","",INT((B520-DATE(YEAR(B520-WEEKDAY(B520-1)+4),1,3)+WEEKDAY(DATE(YEAR(B520-WEEKDAY(B520-1)+4),1,3))+5)/7))</f>
        <v/>
      </c>
      <c r="D520" s="9" t="str">
        <f aca="false">IF(B520="","",B520-WEEKDAY(B520,2)+1)</f>
        <v/>
      </c>
      <c r="E520" s="10"/>
      <c r="F520" s="8"/>
      <c r="G520" s="11"/>
      <c r="H520" s="10"/>
      <c r="I520" s="11"/>
      <c r="J520" s="10"/>
      <c r="K520" s="10"/>
      <c r="L520" s="10"/>
      <c r="M520" s="11"/>
      <c r="N520" s="8"/>
      <c r="O520" s="7" t="str">
        <f aca="false">IF(L520="","",IFERROR(VLOOKUP(L520,Paramètres!$F$5:$G$8,2,FALSE()),""))</f>
        <v/>
      </c>
      <c r="P520" s="9" t="str">
        <f aca="false">IF(OR(B520="",O520=""),"",IF(N520="",B520,N520)+O520)</f>
        <v/>
      </c>
      <c r="Q520" s="10"/>
      <c r="R520" s="8"/>
      <c r="S520" s="7" t="str">
        <f aca="false">IF(OR(B520="",R520=""),"",R520-B520)</f>
        <v/>
      </c>
      <c r="T520" s="7" t="str">
        <f aca="true">IF(OR(B520="",P520=""),"",IF(R520&lt;&gt;"",IF(R520&gt;P520,"Traité hors délai","Non"),IF(Q520="Classé sans suite","Non",IF(TODAY()&gt;P520,"OUI","Non"))))</f>
        <v/>
      </c>
      <c r="U520" s="11"/>
    </row>
    <row r="521" customFormat="false" ht="15" hidden="false" customHeight="false" outlineLevel="0" collapsed="false">
      <c r="A521" s="7" t="str">
        <f aca="false">IF(B521="","",YEAR(B521)&amp;"/"&amp;TEXT(ROW()-4,"0000"))</f>
        <v/>
      </c>
      <c r="B521" s="8"/>
      <c r="C521" s="7" t="str">
        <f aca="false">IF(B521="","",INT((B521-DATE(YEAR(B521-WEEKDAY(B521-1)+4),1,3)+WEEKDAY(DATE(YEAR(B521-WEEKDAY(B521-1)+4),1,3))+5)/7))</f>
        <v/>
      </c>
      <c r="D521" s="9" t="str">
        <f aca="false">IF(B521="","",B521-WEEKDAY(B521,2)+1)</f>
        <v/>
      </c>
      <c r="E521" s="10"/>
      <c r="F521" s="8"/>
      <c r="G521" s="11"/>
      <c r="H521" s="10"/>
      <c r="I521" s="11"/>
      <c r="J521" s="10"/>
      <c r="K521" s="10"/>
      <c r="L521" s="10"/>
      <c r="M521" s="11"/>
      <c r="N521" s="8"/>
      <c r="O521" s="7" t="str">
        <f aca="false">IF(L521="","",IFERROR(VLOOKUP(L521,Paramètres!$F$5:$G$8,2,FALSE()),""))</f>
        <v/>
      </c>
      <c r="P521" s="9" t="str">
        <f aca="false">IF(OR(B521="",O521=""),"",IF(N521="",B521,N521)+O521)</f>
        <v/>
      </c>
      <c r="Q521" s="10"/>
      <c r="R521" s="8"/>
      <c r="S521" s="7" t="str">
        <f aca="false">IF(OR(B521="",R521=""),"",R521-B521)</f>
        <v/>
      </c>
      <c r="T521" s="7" t="str">
        <f aca="true">IF(OR(B521="",P521=""),"",IF(R521&lt;&gt;"",IF(R521&gt;P521,"Traité hors délai","Non"),IF(Q521="Classé sans suite","Non",IF(TODAY()&gt;P521,"OUI","Non"))))</f>
        <v/>
      </c>
      <c r="U521" s="11"/>
    </row>
    <row r="522" customFormat="false" ht="15" hidden="false" customHeight="false" outlineLevel="0" collapsed="false">
      <c r="A522" s="7" t="str">
        <f aca="false">IF(B522="","",YEAR(B522)&amp;"/"&amp;TEXT(ROW()-4,"0000"))</f>
        <v/>
      </c>
      <c r="B522" s="8"/>
      <c r="C522" s="7" t="str">
        <f aca="false">IF(B522="","",INT((B522-DATE(YEAR(B522-WEEKDAY(B522-1)+4),1,3)+WEEKDAY(DATE(YEAR(B522-WEEKDAY(B522-1)+4),1,3))+5)/7))</f>
        <v/>
      </c>
      <c r="D522" s="9" t="str">
        <f aca="false">IF(B522="","",B522-WEEKDAY(B522,2)+1)</f>
        <v/>
      </c>
      <c r="E522" s="10"/>
      <c r="F522" s="8"/>
      <c r="G522" s="11"/>
      <c r="H522" s="10"/>
      <c r="I522" s="11"/>
      <c r="J522" s="10"/>
      <c r="K522" s="10"/>
      <c r="L522" s="10"/>
      <c r="M522" s="11"/>
      <c r="N522" s="8"/>
      <c r="O522" s="7" t="str">
        <f aca="false">IF(L522="","",IFERROR(VLOOKUP(L522,Paramètres!$F$5:$G$8,2,FALSE()),""))</f>
        <v/>
      </c>
      <c r="P522" s="9" t="str">
        <f aca="false">IF(OR(B522="",O522=""),"",IF(N522="",B522,N522)+O522)</f>
        <v/>
      </c>
      <c r="Q522" s="10"/>
      <c r="R522" s="8"/>
      <c r="S522" s="7" t="str">
        <f aca="false">IF(OR(B522="",R522=""),"",R522-B522)</f>
        <v/>
      </c>
      <c r="T522" s="7" t="str">
        <f aca="true">IF(OR(B522="",P522=""),"",IF(R522&lt;&gt;"",IF(R522&gt;P522,"Traité hors délai","Non"),IF(Q522="Classé sans suite","Non",IF(TODAY()&gt;P522,"OUI","Non"))))</f>
        <v/>
      </c>
      <c r="U522" s="11"/>
    </row>
    <row r="523" customFormat="false" ht="15" hidden="false" customHeight="false" outlineLevel="0" collapsed="false">
      <c r="A523" s="7" t="str">
        <f aca="false">IF(B523="","",YEAR(B523)&amp;"/"&amp;TEXT(ROW()-4,"0000"))</f>
        <v/>
      </c>
      <c r="B523" s="8"/>
      <c r="C523" s="7" t="str">
        <f aca="false">IF(B523="","",INT((B523-DATE(YEAR(B523-WEEKDAY(B523-1)+4),1,3)+WEEKDAY(DATE(YEAR(B523-WEEKDAY(B523-1)+4),1,3))+5)/7))</f>
        <v/>
      </c>
      <c r="D523" s="9" t="str">
        <f aca="false">IF(B523="","",B523-WEEKDAY(B523,2)+1)</f>
        <v/>
      </c>
      <c r="E523" s="10"/>
      <c r="F523" s="8"/>
      <c r="G523" s="11"/>
      <c r="H523" s="10"/>
      <c r="I523" s="11"/>
      <c r="J523" s="10"/>
      <c r="K523" s="10"/>
      <c r="L523" s="10"/>
      <c r="M523" s="11"/>
      <c r="N523" s="8"/>
      <c r="O523" s="7" t="str">
        <f aca="false">IF(L523="","",IFERROR(VLOOKUP(L523,Paramètres!$F$5:$G$8,2,FALSE()),""))</f>
        <v/>
      </c>
      <c r="P523" s="9" t="str">
        <f aca="false">IF(OR(B523="",O523=""),"",IF(N523="",B523,N523)+O523)</f>
        <v/>
      </c>
      <c r="Q523" s="10"/>
      <c r="R523" s="8"/>
      <c r="S523" s="7" t="str">
        <f aca="false">IF(OR(B523="",R523=""),"",R523-B523)</f>
        <v/>
      </c>
      <c r="T523" s="7" t="str">
        <f aca="true">IF(OR(B523="",P523=""),"",IF(R523&lt;&gt;"",IF(R523&gt;P523,"Traité hors délai","Non"),IF(Q523="Classé sans suite","Non",IF(TODAY()&gt;P523,"OUI","Non"))))</f>
        <v/>
      </c>
      <c r="U523" s="11"/>
    </row>
    <row r="524" customFormat="false" ht="15" hidden="false" customHeight="false" outlineLevel="0" collapsed="false">
      <c r="A524" s="7" t="str">
        <f aca="false">IF(B524="","",YEAR(B524)&amp;"/"&amp;TEXT(ROW()-4,"0000"))</f>
        <v/>
      </c>
      <c r="B524" s="8"/>
      <c r="C524" s="7" t="str">
        <f aca="false">IF(B524="","",INT((B524-DATE(YEAR(B524-WEEKDAY(B524-1)+4),1,3)+WEEKDAY(DATE(YEAR(B524-WEEKDAY(B524-1)+4),1,3))+5)/7))</f>
        <v/>
      </c>
      <c r="D524" s="9" t="str">
        <f aca="false">IF(B524="","",B524-WEEKDAY(B524,2)+1)</f>
        <v/>
      </c>
      <c r="E524" s="10"/>
      <c r="F524" s="8"/>
      <c r="G524" s="11"/>
      <c r="H524" s="10"/>
      <c r="I524" s="11"/>
      <c r="J524" s="10"/>
      <c r="K524" s="10"/>
      <c r="L524" s="10"/>
      <c r="M524" s="11"/>
      <c r="N524" s="8"/>
      <c r="O524" s="7" t="str">
        <f aca="false">IF(L524="","",IFERROR(VLOOKUP(L524,Paramètres!$F$5:$G$8,2,FALSE()),""))</f>
        <v/>
      </c>
      <c r="P524" s="9" t="str">
        <f aca="false">IF(OR(B524="",O524=""),"",IF(N524="",B524,N524)+O524)</f>
        <v/>
      </c>
      <c r="Q524" s="10"/>
      <c r="R524" s="8"/>
      <c r="S524" s="7" t="str">
        <f aca="false">IF(OR(B524="",R524=""),"",R524-B524)</f>
        <v/>
      </c>
      <c r="T524" s="7" t="str">
        <f aca="true">IF(OR(B524="",P524=""),"",IF(R524&lt;&gt;"",IF(R524&gt;P524,"Traité hors délai","Non"),IF(Q524="Classé sans suite","Non",IF(TODAY()&gt;P524,"OUI","Non"))))</f>
        <v/>
      </c>
      <c r="U524" s="11"/>
    </row>
    <row r="525" customFormat="false" ht="15" hidden="false" customHeight="false" outlineLevel="0" collapsed="false">
      <c r="A525" s="7" t="str">
        <f aca="false">IF(B525="","",YEAR(B525)&amp;"/"&amp;TEXT(ROW()-4,"0000"))</f>
        <v/>
      </c>
      <c r="B525" s="8"/>
      <c r="C525" s="7" t="str">
        <f aca="false">IF(B525="","",INT((B525-DATE(YEAR(B525-WEEKDAY(B525-1)+4),1,3)+WEEKDAY(DATE(YEAR(B525-WEEKDAY(B525-1)+4),1,3))+5)/7))</f>
        <v/>
      </c>
      <c r="D525" s="9" t="str">
        <f aca="false">IF(B525="","",B525-WEEKDAY(B525,2)+1)</f>
        <v/>
      </c>
      <c r="E525" s="10"/>
      <c r="F525" s="8"/>
      <c r="G525" s="11"/>
      <c r="H525" s="10"/>
      <c r="I525" s="11"/>
      <c r="J525" s="10"/>
      <c r="K525" s="10"/>
      <c r="L525" s="10"/>
      <c r="M525" s="11"/>
      <c r="N525" s="8"/>
      <c r="O525" s="7" t="str">
        <f aca="false">IF(L525="","",IFERROR(VLOOKUP(L525,Paramètres!$F$5:$G$8,2,FALSE()),""))</f>
        <v/>
      </c>
      <c r="P525" s="9" t="str">
        <f aca="false">IF(OR(B525="",O525=""),"",IF(N525="",B525,N525)+O525)</f>
        <v/>
      </c>
      <c r="Q525" s="10"/>
      <c r="R525" s="8"/>
      <c r="S525" s="7" t="str">
        <f aca="false">IF(OR(B525="",R525=""),"",R525-B525)</f>
        <v/>
      </c>
      <c r="T525" s="7" t="str">
        <f aca="true">IF(OR(B525="",P525=""),"",IF(R525&lt;&gt;"",IF(R525&gt;P525,"Traité hors délai","Non"),IF(Q525="Classé sans suite","Non",IF(TODAY()&gt;P525,"OUI","Non"))))</f>
        <v/>
      </c>
      <c r="U525" s="11"/>
    </row>
    <row r="526" customFormat="false" ht="15" hidden="false" customHeight="false" outlineLevel="0" collapsed="false">
      <c r="A526" s="7" t="str">
        <f aca="false">IF(B526="","",YEAR(B526)&amp;"/"&amp;TEXT(ROW()-4,"0000"))</f>
        <v/>
      </c>
      <c r="B526" s="8"/>
      <c r="C526" s="7" t="str">
        <f aca="false">IF(B526="","",INT((B526-DATE(YEAR(B526-WEEKDAY(B526-1)+4),1,3)+WEEKDAY(DATE(YEAR(B526-WEEKDAY(B526-1)+4),1,3))+5)/7))</f>
        <v/>
      </c>
      <c r="D526" s="9" t="str">
        <f aca="false">IF(B526="","",B526-WEEKDAY(B526,2)+1)</f>
        <v/>
      </c>
      <c r="E526" s="10"/>
      <c r="F526" s="8"/>
      <c r="G526" s="11"/>
      <c r="H526" s="10"/>
      <c r="I526" s="11"/>
      <c r="J526" s="10"/>
      <c r="K526" s="10"/>
      <c r="L526" s="10"/>
      <c r="M526" s="11"/>
      <c r="N526" s="8"/>
      <c r="O526" s="7" t="str">
        <f aca="false">IF(L526="","",IFERROR(VLOOKUP(L526,Paramètres!$F$5:$G$8,2,FALSE()),""))</f>
        <v/>
      </c>
      <c r="P526" s="9" t="str">
        <f aca="false">IF(OR(B526="",O526=""),"",IF(N526="",B526,N526)+O526)</f>
        <v/>
      </c>
      <c r="Q526" s="10"/>
      <c r="R526" s="8"/>
      <c r="S526" s="7" t="str">
        <f aca="false">IF(OR(B526="",R526=""),"",R526-B526)</f>
        <v/>
      </c>
      <c r="T526" s="7" t="str">
        <f aca="true">IF(OR(B526="",P526=""),"",IF(R526&lt;&gt;"",IF(R526&gt;P526,"Traité hors délai","Non"),IF(Q526="Classé sans suite","Non",IF(TODAY()&gt;P526,"OUI","Non"))))</f>
        <v/>
      </c>
      <c r="U526" s="11"/>
    </row>
    <row r="527" customFormat="false" ht="15" hidden="false" customHeight="false" outlineLevel="0" collapsed="false">
      <c r="A527" s="7" t="str">
        <f aca="false">IF(B527="","",YEAR(B527)&amp;"/"&amp;TEXT(ROW()-4,"0000"))</f>
        <v/>
      </c>
      <c r="B527" s="8"/>
      <c r="C527" s="7" t="str">
        <f aca="false">IF(B527="","",INT((B527-DATE(YEAR(B527-WEEKDAY(B527-1)+4),1,3)+WEEKDAY(DATE(YEAR(B527-WEEKDAY(B527-1)+4),1,3))+5)/7))</f>
        <v/>
      </c>
      <c r="D527" s="9" t="str">
        <f aca="false">IF(B527="","",B527-WEEKDAY(B527,2)+1)</f>
        <v/>
      </c>
      <c r="E527" s="10"/>
      <c r="F527" s="8"/>
      <c r="G527" s="11"/>
      <c r="H527" s="10"/>
      <c r="I527" s="11"/>
      <c r="J527" s="10"/>
      <c r="K527" s="10"/>
      <c r="L527" s="10"/>
      <c r="M527" s="11"/>
      <c r="N527" s="8"/>
      <c r="O527" s="7" t="str">
        <f aca="false">IF(L527="","",IFERROR(VLOOKUP(L527,Paramètres!$F$5:$G$8,2,FALSE()),""))</f>
        <v/>
      </c>
      <c r="P527" s="9" t="str">
        <f aca="false">IF(OR(B527="",O527=""),"",IF(N527="",B527,N527)+O527)</f>
        <v/>
      </c>
      <c r="Q527" s="10"/>
      <c r="R527" s="8"/>
      <c r="S527" s="7" t="str">
        <f aca="false">IF(OR(B527="",R527=""),"",R527-B527)</f>
        <v/>
      </c>
      <c r="T527" s="7" t="str">
        <f aca="true">IF(OR(B527="",P527=""),"",IF(R527&lt;&gt;"",IF(R527&gt;P527,"Traité hors délai","Non"),IF(Q527="Classé sans suite","Non",IF(TODAY()&gt;P527,"OUI","Non"))))</f>
        <v/>
      </c>
      <c r="U527" s="11"/>
    </row>
    <row r="528" customFormat="false" ht="15" hidden="false" customHeight="false" outlineLevel="0" collapsed="false">
      <c r="A528" s="7" t="str">
        <f aca="false">IF(B528="","",YEAR(B528)&amp;"/"&amp;TEXT(ROW()-4,"0000"))</f>
        <v/>
      </c>
      <c r="B528" s="8"/>
      <c r="C528" s="7" t="str">
        <f aca="false">IF(B528="","",INT((B528-DATE(YEAR(B528-WEEKDAY(B528-1)+4),1,3)+WEEKDAY(DATE(YEAR(B528-WEEKDAY(B528-1)+4),1,3))+5)/7))</f>
        <v/>
      </c>
      <c r="D528" s="9" t="str">
        <f aca="false">IF(B528="","",B528-WEEKDAY(B528,2)+1)</f>
        <v/>
      </c>
      <c r="E528" s="10"/>
      <c r="F528" s="8"/>
      <c r="G528" s="11"/>
      <c r="H528" s="10"/>
      <c r="I528" s="11"/>
      <c r="J528" s="10"/>
      <c r="K528" s="10"/>
      <c r="L528" s="10"/>
      <c r="M528" s="11"/>
      <c r="N528" s="8"/>
      <c r="O528" s="7" t="str">
        <f aca="false">IF(L528="","",IFERROR(VLOOKUP(L528,Paramètres!$F$5:$G$8,2,FALSE()),""))</f>
        <v/>
      </c>
      <c r="P528" s="9" t="str">
        <f aca="false">IF(OR(B528="",O528=""),"",IF(N528="",B528,N528)+O528)</f>
        <v/>
      </c>
      <c r="Q528" s="10"/>
      <c r="R528" s="8"/>
      <c r="S528" s="7" t="str">
        <f aca="false">IF(OR(B528="",R528=""),"",R528-B528)</f>
        <v/>
      </c>
      <c r="T528" s="7" t="str">
        <f aca="true">IF(OR(B528="",P528=""),"",IF(R528&lt;&gt;"",IF(R528&gt;P528,"Traité hors délai","Non"),IF(Q528="Classé sans suite","Non",IF(TODAY()&gt;P528,"OUI","Non"))))</f>
        <v/>
      </c>
      <c r="U528" s="11"/>
    </row>
    <row r="529" customFormat="false" ht="15" hidden="false" customHeight="false" outlineLevel="0" collapsed="false">
      <c r="A529" s="7" t="str">
        <f aca="false">IF(B529="","",YEAR(B529)&amp;"/"&amp;TEXT(ROW()-4,"0000"))</f>
        <v/>
      </c>
      <c r="B529" s="8"/>
      <c r="C529" s="7" t="str">
        <f aca="false">IF(B529="","",INT((B529-DATE(YEAR(B529-WEEKDAY(B529-1)+4),1,3)+WEEKDAY(DATE(YEAR(B529-WEEKDAY(B529-1)+4),1,3))+5)/7))</f>
        <v/>
      </c>
      <c r="D529" s="9" t="str">
        <f aca="false">IF(B529="","",B529-WEEKDAY(B529,2)+1)</f>
        <v/>
      </c>
      <c r="E529" s="10"/>
      <c r="F529" s="8"/>
      <c r="G529" s="11"/>
      <c r="H529" s="10"/>
      <c r="I529" s="11"/>
      <c r="J529" s="10"/>
      <c r="K529" s="10"/>
      <c r="L529" s="10"/>
      <c r="M529" s="11"/>
      <c r="N529" s="8"/>
      <c r="O529" s="7" t="str">
        <f aca="false">IF(L529="","",IFERROR(VLOOKUP(L529,Paramètres!$F$5:$G$8,2,FALSE()),""))</f>
        <v/>
      </c>
      <c r="P529" s="9" t="str">
        <f aca="false">IF(OR(B529="",O529=""),"",IF(N529="",B529,N529)+O529)</f>
        <v/>
      </c>
      <c r="Q529" s="10"/>
      <c r="R529" s="8"/>
      <c r="S529" s="7" t="str">
        <f aca="false">IF(OR(B529="",R529=""),"",R529-B529)</f>
        <v/>
      </c>
      <c r="T529" s="7" t="str">
        <f aca="true">IF(OR(B529="",P529=""),"",IF(R529&lt;&gt;"",IF(R529&gt;P529,"Traité hors délai","Non"),IF(Q529="Classé sans suite","Non",IF(TODAY()&gt;P529,"OUI","Non"))))</f>
        <v/>
      </c>
      <c r="U529" s="11"/>
    </row>
    <row r="530" customFormat="false" ht="15" hidden="false" customHeight="false" outlineLevel="0" collapsed="false">
      <c r="A530" s="7" t="str">
        <f aca="false">IF(B530="","",YEAR(B530)&amp;"/"&amp;TEXT(ROW()-4,"0000"))</f>
        <v/>
      </c>
      <c r="B530" s="8"/>
      <c r="C530" s="7" t="str">
        <f aca="false">IF(B530="","",INT((B530-DATE(YEAR(B530-WEEKDAY(B530-1)+4),1,3)+WEEKDAY(DATE(YEAR(B530-WEEKDAY(B530-1)+4),1,3))+5)/7))</f>
        <v/>
      </c>
      <c r="D530" s="9" t="str">
        <f aca="false">IF(B530="","",B530-WEEKDAY(B530,2)+1)</f>
        <v/>
      </c>
      <c r="E530" s="10"/>
      <c r="F530" s="8"/>
      <c r="G530" s="11"/>
      <c r="H530" s="10"/>
      <c r="I530" s="11"/>
      <c r="J530" s="10"/>
      <c r="K530" s="10"/>
      <c r="L530" s="10"/>
      <c r="M530" s="11"/>
      <c r="N530" s="8"/>
      <c r="O530" s="7" t="str">
        <f aca="false">IF(L530="","",IFERROR(VLOOKUP(L530,Paramètres!$F$5:$G$8,2,FALSE()),""))</f>
        <v/>
      </c>
      <c r="P530" s="9" t="str">
        <f aca="false">IF(OR(B530="",O530=""),"",IF(N530="",B530,N530)+O530)</f>
        <v/>
      </c>
      <c r="Q530" s="10"/>
      <c r="R530" s="8"/>
      <c r="S530" s="7" t="str">
        <f aca="false">IF(OR(B530="",R530=""),"",R530-B530)</f>
        <v/>
      </c>
      <c r="T530" s="7" t="str">
        <f aca="true">IF(OR(B530="",P530=""),"",IF(R530&lt;&gt;"",IF(R530&gt;P530,"Traité hors délai","Non"),IF(Q530="Classé sans suite","Non",IF(TODAY()&gt;P530,"OUI","Non"))))</f>
        <v/>
      </c>
      <c r="U530" s="11"/>
    </row>
    <row r="531" customFormat="false" ht="15" hidden="false" customHeight="false" outlineLevel="0" collapsed="false">
      <c r="A531" s="7" t="str">
        <f aca="false">IF(B531="","",YEAR(B531)&amp;"/"&amp;TEXT(ROW()-4,"0000"))</f>
        <v/>
      </c>
      <c r="B531" s="8"/>
      <c r="C531" s="7" t="str">
        <f aca="false">IF(B531="","",INT((B531-DATE(YEAR(B531-WEEKDAY(B531-1)+4),1,3)+WEEKDAY(DATE(YEAR(B531-WEEKDAY(B531-1)+4),1,3))+5)/7))</f>
        <v/>
      </c>
      <c r="D531" s="9" t="str">
        <f aca="false">IF(B531="","",B531-WEEKDAY(B531,2)+1)</f>
        <v/>
      </c>
      <c r="E531" s="10"/>
      <c r="F531" s="8"/>
      <c r="G531" s="11"/>
      <c r="H531" s="10"/>
      <c r="I531" s="11"/>
      <c r="J531" s="10"/>
      <c r="K531" s="10"/>
      <c r="L531" s="10"/>
      <c r="M531" s="11"/>
      <c r="N531" s="8"/>
      <c r="O531" s="7" t="str">
        <f aca="false">IF(L531="","",IFERROR(VLOOKUP(L531,Paramètres!$F$5:$G$8,2,FALSE()),""))</f>
        <v/>
      </c>
      <c r="P531" s="9" t="str">
        <f aca="false">IF(OR(B531="",O531=""),"",IF(N531="",B531,N531)+O531)</f>
        <v/>
      </c>
      <c r="Q531" s="10"/>
      <c r="R531" s="8"/>
      <c r="S531" s="7" t="str">
        <f aca="false">IF(OR(B531="",R531=""),"",R531-B531)</f>
        <v/>
      </c>
      <c r="T531" s="7" t="str">
        <f aca="true">IF(OR(B531="",P531=""),"",IF(R531&lt;&gt;"",IF(R531&gt;P531,"Traité hors délai","Non"),IF(Q531="Classé sans suite","Non",IF(TODAY()&gt;P531,"OUI","Non"))))</f>
        <v/>
      </c>
      <c r="U531" s="11"/>
    </row>
    <row r="532" customFormat="false" ht="15" hidden="false" customHeight="false" outlineLevel="0" collapsed="false">
      <c r="A532" s="7" t="str">
        <f aca="false">IF(B532="","",YEAR(B532)&amp;"/"&amp;TEXT(ROW()-4,"0000"))</f>
        <v/>
      </c>
      <c r="B532" s="8"/>
      <c r="C532" s="7" t="str">
        <f aca="false">IF(B532="","",INT((B532-DATE(YEAR(B532-WEEKDAY(B532-1)+4),1,3)+WEEKDAY(DATE(YEAR(B532-WEEKDAY(B532-1)+4),1,3))+5)/7))</f>
        <v/>
      </c>
      <c r="D532" s="9" t="str">
        <f aca="false">IF(B532="","",B532-WEEKDAY(B532,2)+1)</f>
        <v/>
      </c>
      <c r="E532" s="10"/>
      <c r="F532" s="8"/>
      <c r="G532" s="11"/>
      <c r="H532" s="10"/>
      <c r="I532" s="11"/>
      <c r="J532" s="10"/>
      <c r="K532" s="10"/>
      <c r="L532" s="10"/>
      <c r="M532" s="11"/>
      <c r="N532" s="8"/>
      <c r="O532" s="7" t="str">
        <f aca="false">IF(L532="","",IFERROR(VLOOKUP(L532,Paramètres!$F$5:$G$8,2,FALSE()),""))</f>
        <v/>
      </c>
      <c r="P532" s="9" t="str">
        <f aca="false">IF(OR(B532="",O532=""),"",IF(N532="",B532,N532)+O532)</f>
        <v/>
      </c>
      <c r="Q532" s="10"/>
      <c r="R532" s="8"/>
      <c r="S532" s="7" t="str">
        <f aca="false">IF(OR(B532="",R532=""),"",R532-B532)</f>
        <v/>
      </c>
      <c r="T532" s="7" t="str">
        <f aca="true">IF(OR(B532="",P532=""),"",IF(R532&lt;&gt;"",IF(R532&gt;P532,"Traité hors délai","Non"),IF(Q532="Classé sans suite","Non",IF(TODAY()&gt;P532,"OUI","Non"))))</f>
        <v/>
      </c>
      <c r="U532" s="11"/>
    </row>
    <row r="533" customFormat="false" ht="15" hidden="false" customHeight="false" outlineLevel="0" collapsed="false">
      <c r="A533" s="7" t="str">
        <f aca="false">IF(B533="","",YEAR(B533)&amp;"/"&amp;TEXT(ROW()-4,"0000"))</f>
        <v/>
      </c>
      <c r="B533" s="8"/>
      <c r="C533" s="7" t="str">
        <f aca="false">IF(B533="","",INT((B533-DATE(YEAR(B533-WEEKDAY(B533-1)+4),1,3)+WEEKDAY(DATE(YEAR(B533-WEEKDAY(B533-1)+4),1,3))+5)/7))</f>
        <v/>
      </c>
      <c r="D533" s="9" t="str">
        <f aca="false">IF(B533="","",B533-WEEKDAY(B533,2)+1)</f>
        <v/>
      </c>
      <c r="E533" s="10"/>
      <c r="F533" s="8"/>
      <c r="G533" s="11"/>
      <c r="H533" s="10"/>
      <c r="I533" s="11"/>
      <c r="J533" s="10"/>
      <c r="K533" s="10"/>
      <c r="L533" s="10"/>
      <c r="M533" s="11"/>
      <c r="N533" s="8"/>
      <c r="O533" s="7" t="str">
        <f aca="false">IF(L533="","",IFERROR(VLOOKUP(L533,Paramètres!$F$5:$G$8,2,FALSE()),""))</f>
        <v/>
      </c>
      <c r="P533" s="9" t="str">
        <f aca="false">IF(OR(B533="",O533=""),"",IF(N533="",B533,N533)+O533)</f>
        <v/>
      </c>
      <c r="Q533" s="10"/>
      <c r="R533" s="8"/>
      <c r="S533" s="7" t="str">
        <f aca="false">IF(OR(B533="",R533=""),"",R533-B533)</f>
        <v/>
      </c>
      <c r="T533" s="7" t="str">
        <f aca="true">IF(OR(B533="",P533=""),"",IF(R533&lt;&gt;"",IF(R533&gt;P533,"Traité hors délai","Non"),IF(Q533="Classé sans suite","Non",IF(TODAY()&gt;P533,"OUI","Non"))))</f>
        <v/>
      </c>
      <c r="U533" s="11"/>
    </row>
    <row r="534" customFormat="false" ht="15" hidden="false" customHeight="false" outlineLevel="0" collapsed="false">
      <c r="A534" s="7" t="str">
        <f aca="false">IF(B534="","",YEAR(B534)&amp;"/"&amp;TEXT(ROW()-4,"0000"))</f>
        <v/>
      </c>
      <c r="B534" s="8"/>
      <c r="C534" s="7" t="str">
        <f aca="false">IF(B534="","",INT((B534-DATE(YEAR(B534-WEEKDAY(B534-1)+4),1,3)+WEEKDAY(DATE(YEAR(B534-WEEKDAY(B534-1)+4),1,3))+5)/7))</f>
        <v/>
      </c>
      <c r="D534" s="9" t="str">
        <f aca="false">IF(B534="","",B534-WEEKDAY(B534,2)+1)</f>
        <v/>
      </c>
      <c r="E534" s="10"/>
      <c r="F534" s="8"/>
      <c r="G534" s="11"/>
      <c r="H534" s="10"/>
      <c r="I534" s="11"/>
      <c r="J534" s="10"/>
      <c r="K534" s="10"/>
      <c r="L534" s="10"/>
      <c r="M534" s="11"/>
      <c r="N534" s="8"/>
      <c r="O534" s="7" t="str">
        <f aca="false">IF(L534="","",IFERROR(VLOOKUP(L534,Paramètres!$F$5:$G$8,2,FALSE()),""))</f>
        <v/>
      </c>
      <c r="P534" s="9" t="str">
        <f aca="false">IF(OR(B534="",O534=""),"",IF(N534="",B534,N534)+O534)</f>
        <v/>
      </c>
      <c r="Q534" s="10"/>
      <c r="R534" s="8"/>
      <c r="S534" s="7" t="str">
        <f aca="false">IF(OR(B534="",R534=""),"",R534-B534)</f>
        <v/>
      </c>
      <c r="T534" s="7" t="str">
        <f aca="true">IF(OR(B534="",P534=""),"",IF(R534&lt;&gt;"",IF(R534&gt;P534,"Traité hors délai","Non"),IF(Q534="Classé sans suite","Non",IF(TODAY()&gt;P534,"OUI","Non"))))</f>
        <v/>
      </c>
      <c r="U534" s="11"/>
    </row>
    <row r="535" customFormat="false" ht="15" hidden="false" customHeight="false" outlineLevel="0" collapsed="false">
      <c r="A535" s="7" t="str">
        <f aca="false">IF(B535="","",YEAR(B535)&amp;"/"&amp;TEXT(ROW()-4,"0000"))</f>
        <v/>
      </c>
      <c r="B535" s="8"/>
      <c r="C535" s="7" t="str">
        <f aca="false">IF(B535="","",INT((B535-DATE(YEAR(B535-WEEKDAY(B535-1)+4),1,3)+WEEKDAY(DATE(YEAR(B535-WEEKDAY(B535-1)+4),1,3))+5)/7))</f>
        <v/>
      </c>
      <c r="D535" s="9" t="str">
        <f aca="false">IF(B535="","",B535-WEEKDAY(B535,2)+1)</f>
        <v/>
      </c>
      <c r="E535" s="10"/>
      <c r="F535" s="8"/>
      <c r="G535" s="11"/>
      <c r="H535" s="10"/>
      <c r="I535" s="11"/>
      <c r="J535" s="10"/>
      <c r="K535" s="10"/>
      <c r="L535" s="10"/>
      <c r="M535" s="11"/>
      <c r="N535" s="8"/>
      <c r="O535" s="7" t="str">
        <f aca="false">IF(L535="","",IFERROR(VLOOKUP(L535,Paramètres!$F$5:$G$8,2,FALSE()),""))</f>
        <v/>
      </c>
      <c r="P535" s="9" t="str">
        <f aca="false">IF(OR(B535="",O535=""),"",IF(N535="",B535,N535)+O535)</f>
        <v/>
      </c>
      <c r="Q535" s="10"/>
      <c r="R535" s="8"/>
      <c r="S535" s="7" t="str">
        <f aca="false">IF(OR(B535="",R535=""),"",R535-B535)</f>
        <v/>
      </c>
      <c r="T535" s="7" t="str">
        <f aca="true">IF(OR(B535="",P535=""),"",IF(R535&lt;&gt;"",IF(R535&gt;P535,"Traité hors délai","Non"),IF(Q535="Classé sans suite","Non",IF(TODAY()&gt;P535,"OUI","Non"))))</f>
        <v/>
      </c>
      <c r="U535" s="11"/>
    </row>
    <row r="536" customFormat="false" ht="15" hidden="false" customHeight="false" outlineLevel="0" collapsed="false">
      <c r="A536" s="7" t="str">
        <f aca="false">IF(B536="","",YEAR(B536)&amp;"/"&amp;TEXT(ROW()-4,"0000"))</f>
        <v/>
      </c>
      <c r="B536" s="8"/>
      <c r="C536" s="7" t="str">
        <f aca="false">IF(B536="","",INT((B536-DATE(YEAR(B536-WEEKDAY(B536-1)+4),1,3)+WEEKDAY(DATE(YEAR(B536-WEEKDAY(B536-1)+4),1,3))+5)/7))</f>
        <v/>
      </c>
      <c r="D536" s="9" t="str">
        <f aca="false">IF(B536="","",B536-WEEKDAY(B536,2)+1)</f>
        <v/>
      </c>
      <c r="E536" s="10"/>
      <c r="F536" s="8"/>
      <c r="G536" s="11"/>
      <c r="H536" s="10"/>
      <c r="I536" s="11"/>
      <c r="J536" s="10"/>
      <c r="K536" s="10"/>
      <c r="L536" s="10"/>
      <c r="M536" s="11"/>
      <c r="N536" s="8"/>
      <c r="O536" s="7" t="str">
        <f aca="false">IF(L536="","",IFERROR(VLOOKUP(L536,Paramètres!$F$5:$G$8,2,FALSE()),""))</f>
        <v/>
      </c>
      <c r="P536" s="9" t="str">
        <f aca="false">IF(OR(B536="",O536=""),"",IF(N536="",B536,N536)+O536)</f>
        <v/>
      </c>
      <c r="Q536" s="10"/>
      <c r="R536" s="8"/>
      <c r="S536" s="7" t="str">
        <f aca="false">IF(OR(B536="",R536=""),"",R536-B536)</f>
        <v/>
      </c>
      <c r="T536" s="7" t="str">
        <f aca="true">IF(OR(B536="",P536=""),"",IF(R536&lt;&gt;"",IF(R536&gt;P536,"Traité hors délai","Non"),IF(Q536="Classé sans suite","Non",IF(TODAY()&gt;P536,"OUI","Non"))))</f>
        <v/>
      </c>
      <c r="U536" s="11"/>
    </row>
    <row r="537" customFormat="false" ht="15" hidden="false" customHeight="false" outlineLevel="0" collapsed="false">
      <c r="A537" s="7" t="str">
        <f aca="false">IF(B537="","",YEAR(B537)&amp;"/"&amp;TEXT(ROW()-4,"0000"))</f>
        <v/>
      </c>
      <c r="B537" s="8"/>
      <c r="C537" s="7" t="str">
        <f aca="false">IF(B537="","",INT((B537-DATE(YEAR(B537-WEEKDAY(B537-1)+4),1,3)+WEEKDAY(DATE(YEAR(B537-WEEKDAY(B537-1)+4),1,3))+5)/7))</f>
        <v/>
      </c>
      <c r="D537" s="9" t="str">
        <f aca="false">IF(B537="","",B537-WEEKDAY(B537,2)+1)</f>
        <v/>
      </c>
      <c r="E537" s="10"/>
      <c r="F537" s="8"/>
      <c r="G537" s="11"/>
      <c r="H537" s="10"/>
      <c r="I537" s="11"/>
      <c r="J537" s="10"/>
      <c r="K537" s="10"/>
      <c r="L537" s="10"/>
      <c r="M537" s="11"/>
      <c r="N537" s="8"/>
      <c r="O537" s="7" t="str">
        <f aca="false">IF(L537="","",IFERROR(VLOOKUP(L537,Paramètres!$F$5:$G$8,2,FALSE()),""))</f>
        <v/>
      </c>
      <c r="P537" s="9" t="str">
        <f aca="false">IF(OR(B537="",O537=""),"",IF(N537="",B537,N537)+O537)</f>
        <v/>
      </c>
      <c r="Q537" s="10"/>
      <c r="R537" s="8"/>
      <c r="S537" s="7" t="str">
        <f aca="false">IF(OR(B537="",R537=""),"",R537-B537)</f>
        <v/>
      </c>
      <c r="T537" s="7" t="str">
        <f aca="true">IF(OR(B537="",P537=""),"",IF(R537&lt;&gt;"",IF(R537&gt;P537,"Traité hors délai","Non"),IF(Q537="Classé sans suite","Non",IF(TODAY()&gt;P537,"OUI","Non"))))</f>
        <v/>
      </c>
      <c r="U537" s="11"/>
    </row>
    <row r="538" customFormat="false" ht="15" hidden="false" customHeight="false" outlineLevel="0" collapsed="false">
      <c r="A538" s="7" t="str">
        <f aca="false">IF(B538="","",YEAR(B538)&amp;"/"&amp;TEXT(ROW()-4,"0000"))</f>
        <v/>
      </c>
      <c r="B538" s="8"/>
      <c r="C538" s="7" t="str">
        <f aca="false">IF(B538="","",INT((B538-DATE(YEAR(B538-WEEKDAY(B538-1)+4),1,3)+WEEKDAY(DATE(YEAR(B538-WEEKDAY(B538-1)+4),1,3))+5)/7))</f>
        <v/>
      </c>
      <c r="D538" s="9" t="str">
        <f aca="false">IF(B538="","",B538-WEEKDAY(B538,2)+1)</f>
        <v/>
      </c>
      <c r="E538" s="10"/>
      <c r="F538" s="8"/>
      <c r="G538" s="11"/>
      <c r="H538" s="10"/>
      <c r="I538" s="11"/>
      <c r="J538" s="10"/>
      <c r="K538" s="10"/>
      <c r="L538" s="10"/>
      <c r="M538" s="11"/>
      <c r="N538" s="8"/>
      <c r="O538" s="7" t="str">
        <f aca="false">IF(L538="","",IFERROR(VLOOKUP(L538,Paramètres!$F$5:$G$8,2,FALSE()),""))</f>
        <v/>
      </c>
      <c r="P538" s="9" t="str">
        <f aca="false">IF(OR(B538="",O538=""),"",IF(N538="",B538,N538)+O538)</f>
        <v/>
      </c>
      <c r="Q538" s="10"/>
      <c r="R538" s="8"/>
      <c r="S538" s="7" t="str">
        <f aca="false">IF(OR(B538="",R538=""),"",R538-B538)</f>
        <v/>
      </c>
      <c r="T538" s="7" t="str">
        <f aca="true">IF(OR(B538="",P538=""),"",IF(R538&lt;&gt;"",IF(R538&gt;P538,"Traité hors délai","Non"),IF(Q538="Classé sans suite","Non",IF(TODAY()&gt;P538,"OUI","Non"))))</f>
        <v/>
      </c>
      <c r="U538" s="11"/>
    </row>
    <row r="539" customFormat="false" ht="15" hidden="false" customHeight="false" outlineLevel="0" collapsed="false">
      <c r="A539" s="7" t="str">
        <f aca="false">IF(B539="","",YEAR(B539)&amp;"/"&amp;TEXT(ROW()-4,"0000"))</f>
        <v/>
      </c>
      <c r="B539" s="8"/>
      <c r="C539" s="7" t="str">
        <f aca="false">IF(B539="","",INT((B539-DATE(YEAR(B539-WEEKDAY(B539-1)+4),1,3)+WEEKDAY(DATE(YEAR(B539-WEEKDAY(B539-1)+4),1,3))+5)/7))</f>
        <v/>
      </c>
      <c r="D539" s="9" t="str">
        <f aca="false">IF(B539="","",B539-WEEKDAY(B539,2)+1)</f>
        <v/>
      </c>
      <c r="E539" s="10"/>
      <c r="F539" s="8"/>
      <c r="G539" s="11"/>
      <c r="H539" s="10"/>
      <c r="I539" s="11"/>
      <c r="J539" s="10"/>
      <c r="K539" s="10"/>
      <c r="L539" s="10"/>
      <c r="M539" s="11"/>
      <c r="N539" s="8"/>
      <c r="O539" s="7" t="str">
        <f aca="false">IF(L539="","",IFERROR(VLOOKUP(L539,Paramètres!$F$5:$G$8,2,FALSE()),""))</f>
        <v/>
      </c>
      <c r="P539" s="9" t="str">
        <f aca="false">IF(OR(B539="",O539=""),"",IF(N539="",B539,N539)+O539)</f>
        <v/>
      </c>
      <c r="Q539" s="10"/>
      <c r="R539" s="8"/>
      <c r="S539" s="7" t="str">
        <f aca="false">IF(OR(B539="",R539=""),"",R539-B539)</f>
        <v/>
      </c>
      <c r="T539" s="7" t="str">
        <f aca="true">IF(OR(B539="",P539=""),"",IF(R539&lt;&gt;"",IF(R539&gt;P539,"Traité hors délai","Non"),IF(Q539="Classé sans suite","Non",IF(TODAY()&gt;P539,"OUI","Non"))))</f>
        <v/>
      </c>
      <c r="U539" s="11"/>
    </row>
    <row r="540" customFormat="false" ht="15" hidden="false" customHeight="false" outlineLevel="0" collapsed="false">
      <c r="A540" s="7" t="str">
        <f aca="false">IF(B540="","",YEAR(B540)&amp;"/"&amp;TEXT(ROW()-4,"0000"))</f>
        <v/>
      </c>
      <c r="B540" s="8"/>
      <c r="C540" s="7" t="str">
        <f aca="false">IF(B540="","",INT((B540-DATE(YEAR(B540-WEEKDAY(B540-1)+4),1,3)+WEEKDAY(DATE(YEAR(B540-WEEKDAY(B540-1)+4),1,3))+5)/7))</f>
        <v/>
      </c>
      <c r="D540" s="9" t="str">
        <f aca="false">IF(B540="","",B540-WEEKDAY(B540,2)+1)</f>
        <v/>
      </c>
      <c r="E540" s="10"/>
      <c r="F540" s="8"/>
      <c r="G540" s="11"/>
      <c r="H540" s="10"/>
      <c r="I540" s="11"/>
      <c r="J540" s="10"/>
      <c r="K540" s="10"/>
      <c r="L540" s="10"/>
      <c r="M540" s="11"/>
      <c r="N540" s="8"/>
      <c r="O540" s="7" t="str">
        <f aca="false">IF(L540="","",IFERROR(VLOOKUP(L540,Paramètres!$F$5:$G$8,2,FALSE()),""))</f>
        <v/>
      </c>
      <c r="P540" s="9" t="str">
        <f aca="false">IF(OR(B540="",O540=""),"",IF(N540="",B540,N540)+O540)</f>
        <v/>
      </c>
      <c r="Q540" s="10"/>
      <c r="R540" s="8"/>
      <c r="S540" s="7" t="str">
        <f aca="false">IF(OR(B540="",R540=""),"",R540-B540)</f>
        <v/>
      </c>
      <c r="T540" s="7" t="str">
        <f aca="true">IF(OR(B540="",P540=""),"",IF(R540&lt;&gt;"",IF(R540&gt;P540,"Traité hors délai","Non"),IF(Q540="Classé sans suite","Non",IF(TODAY()&gt;P540,"OUI","Non"))))</f>
        <v/>
      </c>
      <c r="U540" s="11"/>
    </row>
    <row r="541" customFormat="false" ht="15" hidden="false" customHeight="false" outlineLevel="0" collapsed="false">
      <c r="A541" s="7" t="str">
        <f aca="false">IF(B541="","",YEAR(B541)&amp;"/"&amp;TEXT(ROW()-4,"0000"))</f>
        <v/>
      </c>
      <c r="B541" s="8"/>
      <c r="C541" s="7" t="str">
        <f aca="false">IF(B541="","",INT((B541-DATE(YEAR(B541-WEEKDAY(B541-1)+4),1,3)+WEEKDAY(DATE(YEAR(B541-WEEKDAY(B541-1)+4),1,3))+5)/7))</f>
        <v/>
      </c>
      <c r="D541" s="9" t="str">
        <f aca="false">IF(B541="","",B541-WEEKDAY(B541,2)+1)</f>
        <v/>
      </c>
      <c r="E541" s="10"/>
      <c r="F541" s="8"/>
      <c r="G541" s="11"/>
      <c r="H541" s="10"/>
      <c r="I541" s="11"/>
      <c r="J541" s="10"/>
      <c r="K541" s="10"/>
      <c r="L541" s="10"/>
      <c r="M541" s="11"/>
      <c r="N541" s="8"/>
      <c r="O541" s="7" t="str">
        <f aca="false">IF(L541="","",IFERROR(VLOOKUP(L541,Paramètres!$F$5:$G$8,2,FALSE()),""))</f>
        <v/>
      </c>
      <c r="P541" s="9" t="str">
        <f aca="false">IF(OR(B541="",O541=""),"",IF(N541="",B541,N541)+O541)</f>
        <v/>
      </c>
      <c r="Q541" s="10"/>
      <c r="R541" s="8"/>
      <c r="S541" s="7" t="str">
        <f aca="false">IF(OR(B541="",R541=""),"",R541-B541)</f>
        <v/>
      </c>
      <c r="T541" s="7" t="str">
        <f aca="true">IF(OR(B541="",P541=""),"",IF(R541&lt;&gt;"",IF(R541&gt;P541,"Traité hors délai","Non"),IF(Q541="Classé sans suite","Non",IF(TODAY()&gt;P541,"OUI","Non"))))</f>
        <v/>
      </c>
      <c r="U541" s="11"/>
    </row>
    <row r="542" customFormat="false" ht="15" hidden="false" customHeight="false" outlineLevel="0" collapsed="false">
      <c r="A542" s="7" t="str">
        <f aca="false">IF(B542="","",YEAR(B542)&amp;"/"&amp;TEXT(ROW()-4,"0000"))</f>
        <v/>
      </c>
      <c r="B542" s="8"/>
      <c r="C542" s="7" t="str">
        <f aca="false">IF(B542="","",INT((B542-DATE(YEAR(B542-WEEKDAY(B542-1)+4),1,3)+WEEKDAY(DATE(YEAR(B542-WEEKDAY(B542-1)+4),1,3))+5)/7))</f>
        <v/>
      </c>
      <c r="D542" s="9" t="str">
        <f aca="false">IF(B542="","",B542-WEEKDAY(B542,2)+1)</f>
        <v/>
      </c>
      <c r="E542" s="10"/>
      <c r="F542" s="8"/>
      <c r="G542" s="11"/>
      <c r="H542" s="10"/>
      <c r="I542" s="11"/>
      <c r="J542" s="10"/>
      <c r="K542" s="10"/>
      <c r="L542" s="10"/>
      <c r="M542" s="11"/>
      <c r="N542" s="8"/>
      <c r="O542" s="7" t="str">
        <f aca="false">IF(L542="","",IFERROR(VLOOKUP(L542,Paramètres!$F$5:$G$8,2,FALSE()),""))</f>
        <v/>
      </c>
      <c r="P542" s="9" t="str">
        <f aca="false">IF(OR(B542="",O542=""),"",IF(N542="",B542,N542)+O542)</f>
        <v/>
      </c>
      <c r="Q542" s="10"/>
      <c r="R542" s="8"/>
      <c r="S542" s="7" t="str">
        <f aca="false">IF(OR(B542="",R542=""),"",R542-B542)</f>
        <v/>
      </c>
      <c r="T542" s="7" t="str">
        <f aca="true">IF(OR(B542="",P542=""),"",IF(R542&lt;&gt;"",IF(R542&gt;P542,"Traité hors délai","Non"),IF(Q542="Classé sans suite","Non",IF(TODAY()&gt;P542,"OUI","Non"))))</f>
        <v/>
      </c>
      <c r="U542" s="11"/>
    </row>
    <row r="543" customFormat="false" ht="15" hidden="false" customHeight="false" outlineLevel="0" collapsed="false">
      <c r="A543" s="7" t="str">
        <f aca="false">IF(B543="","",YEAR(B543)&amp;"/"&amp;TEXT(ROW()-4,"0000"))</f>
        <v/>
      </c>
      <c r="B543" s="8"/>
      <c r="C543" s="7" t="str">
        <f aca="false">IF(B543="","",INT((B543-DATE(YEAR(B543-WEEKDAY(B543-1)+4),1,3)+WEEKDAY(DATE(YEAR(B543-WEEKDAY(B543-1)+4),1,3))+5)/7))</f>
        <v/>
      </c>
      <c r="D543" s="9" t="str">
        <f aca="false">IF(B543="","",B543-WEEKDAY(B543,2)+1)</f>
        <v/>
      </c>
      <c r="E543" s="10"/>
      <c r="F543" s="8"/>
      <c r="G543" s="11"/>
      <c r="H543" s="10"/>
      <c r="I543" s="11"/>
      <c r="J543" s="10"/>
      <c r="K543" s="10"/>
      <c r="L543" s="10"/>
      <c r="M543" s="11"/>
      <c r="N543" s="8"/>
      <c r="O543" s="7" t="str">
        <f aca="false">IF(L543="","",IFERROR(VLOOKUP(L543,Paramètres!$F$5:$G$8,2,FALSE()),""))</f>
        <v/>
      </c>
      <c r="P543" s="9" t="str">
        <f aca="false">IF(OR(B543="",O543=""),"",IF(N543="",B543,N543)+O543)</f>
        <v/>
      </c>
      <c r="Q543" s="10"/>
      <c r="R543" s="8"/>
      <c r="S543" s="7" t="str">
        <f aca="false">IF(OR(B543="",R543=""),"",R543-B543)</f>
        <v/>
      </c>
      <c r="T543" s="7" t="str">
        <f aca="true">IF(OR(B543="",P543=""),"",IF(R543&lt;&gt;"",IF(R543&gt;P543,"Traité hors délai","Non"),IF(Q543="Classé sans suite","Non",IF(TODAY()&gt;P543,"OUI","Non"))))</f>
        <v/>
      </c>
      <c r="U543" s="11"/>
    </row>
    <row r="544" customFormat="false" ht="15" hidden="false" customHeight="false" outlineLevel="0" collapsed="false">
      <c r="A544" s="7" t="str">
        <f aca="false">IF(B544="","",YEAR(B544)&amp;"/"&amp;TEXT(ROW()-4,"0000"))</f>
        <v/>
      </c>
      <c r="B544" s="8"/>
      <c r="C544" s="7" t="str">
        <f aca="false">IF(B544="","",INT((B544-DATE(YEAR(B544-WEEKDAY(B544-1)+4),1,3)+WEEKDAY(DATE(YEAR(B544-WEEKDAY(B544-1)+4),1,3))+5)/7))</f>
        <v/>
      </c>
      <c r="D544" s="9" t="str">
        <f aca="false">IF(B544="","",B544-WEEKDAY(B544,2)+1)</f>
        <v/>
      </c>
      <c r="E544" s="10"/>
      <c r="F544" s="8"/>
      <c r="G544" s="11"/>
      <c r="H544" s="10"/>
      <c r="I544" s="11"/>
      <c r="J544" s="10"/>
      <c r="K544" s="10"/>
      <c r="L544" s="10"/>
      <c r="M544" s="11"/>
      <c r="N544" s="8"/>
      <c r="O544" s="7" t="str">
        <f aca="false">IF(L544="","",IFERROR(VLOOKUP(L544,Paramètres!$F$5:$G$8,2,FALSE()),""))</f>
        <v/>
      </c>
      <c r="P544" s="9" t="str">
        <f aca="false">IF(OR(B544="",O544=""),"",IF(N544="",B544,N544)+O544)</f>
        <v/>
      </c>
      <c r="Q544" s="10"/>
      <c r="R544" s="8"/>
      <c r="S544" s="7" t="str">
        <f aca="false">IF(OR(B544="",R544=""),"",R544-B544)</f>
        <v/>
      </c>
      <c r="T544" s="7" t="str">
        <f aca="true">IF(OR(B544="",P544=""),"",IF(R544&lt;&gt;"",IF(R544&gt;P544,"Traité hors délai","Non"),IF(Q544="Classé sans suite","Non",IF(TODAY()&gt;P544,"OUI","Non"))))</f>
        <v/>
      </c>
      <c r="U544" s="11"/>
    </row>
    <row r="545" customFormat="false" ht="15" hidden="false" customHeight="false" outlineLevel="0" collapsed="false">
      <c r="A545" s="7" t="str">
        <f aca="false">IF(B545="","",YEAR(B545)&amp;"/"&amp;TEXT(ROW()-4,"0000"))</f>
        <v/>
      </c>
      <c r="B545" s="8"/>
      <c r="C545" s="7" t="str">
        <f aca="false">IF(B545="","",INT((B545-DATE(YEAR(B545-WEEKDAY(B545-1)+4),1,3)+WEEKDAY(DATE(YEAR(B545-WEEKDAY(B545-1)+4),1,3))+5)/7))</f>
        <v/>
      </c>
      <c r="D545" s="9" t="str">
        <f aca="false">IF(B545="","",B545-WEEKDAY(B545,2)+1)</f>
        <v/>
      </c>
      <c r="E545" s="10"/>
      <c r="F545" s="8"/>
      <c r="G545" s="11"/>
      <c r="H545" s="10"/>
      <c r="I545" s="11"/>
      <c r="J545" s="10"/>
      <c r="K545" s="10"/>
      <c r="L545" s="10"/>
      <c r="M545" s="11"/>
      <c r="N545" s="8"/>
      <c r="O545" s="7" t="str">
        <f aca="false">IF(L545="","",IFERROR(VLOOKUP(L545,Paramètres!$F$5:$G$8,2,FALSE()),""))</f>
        <v/>
      </c>
      <c r="P545" s="9" t="str">
        <f aca="false">IF(OR(B545="",O545=""),"",IF(N545="",B545,N545)+O545)</f>
        <v/>
      </c>
      <c r="Q545" s="10"/>
      <c r="R545" s="8"/>
      <c r="S545" s="7" t="str">
        <f aca="false">IF(OR(B545="",R545=""),"",R545-B545)</f>
        <v/>
      </c>
      <c r="T545" s="7" t="str">
        <f aca="true">IF(OR(B545="",P545=""),"",IF(R545&lt;&gt;"",IF(R545&gt;P545,"Traité hors délai","Non"),IF(Q545="Classé sans suite","Non",IF(TODAY()&gt;P545,"OUI","Non"))))</f>
        <v/>
      </c>
      <c r="U545" s="11"/>
    </row>
    <row r="546" customFormat="false" ht="15" hidden="false" customHeight="false" outlineLevel="0" collapsed="false">
      <c r="A546" s="7" t="str">
        <f aca="false">IF(B546="","",YEAR(B546)&amp;"/"&amp;TEXT(ROW()-4,"0000"))</f>
        <v/>
      </c>
      <c r="B546" s="8"/>
      <c r="C546" s="7" t="str">
        <f aca="false">IF(B546="","",INT((B546-DATE(YEAR(B546-WEEKDAY(B546-1)+4),1,3)+WEEKDAY(DATE(YEAR(B546-WEEKDAY(B546-1)+4),1,3))+5)/7))</f>
        <v/>
      </c>
      <c r="D546" s="9" t="str">
        <f aca="false">IF(B546="","",B546-WEEKDAY(B546,2)+1)</f>
        <v/>
      </c>
      <c r="E546" s="10"/>
      <c r="F546" s="8"/>
      <c r="G546" s="11"/>
      <c r="H546" s="10"/>
      <c r="I546" s="11"/>
      <c r="J546" s="10"/>
      <c r="K546" s="10"/>
      <c r="L546" s="10"/>
      <c r="M546" s="11"/>
      <c r="N546" s="8"/>
      <c r="O546" s="7" t="str">
        <f aca="false">IF(L546="","",IFERROR(VLOOKUP(L546,Paramètres!$F$5:$G$8,2,FALSE()),""))</f>
        <v/>
      </c>
      <c r="P546" s="9" t="str">
        <f aca="false">IF(OR(B546="",O546=""),"",IF(N546="",B546,N546)+O546)</f>
        <v/>
      </c>
      <c r="Q546" s="10"/>
      <c r="R546" s="8"/>
      <c r="S546" s="7" t="str">
        <f aca="false">IF(OR(B546="",R546=""),"",R546-B546)</f>
        <v/>
      </c>
      <c r="T546" s="7" t="str">
        <f aca="true">IF(OR(B546="",P546=""),"",IF(R546&lt;&gt;"",IF(R546&gt;P546,"Traité hors délai","Non"),IF(Q546="Classé sans suite","Non",IF(TODAY()&gt;P546,"OUI","Non"))))</f>
        <v/>
      </c>
      <c r="U546" s="11"/>
    </row>
    <row r="547" customFormat="false" ht="15" hidden="false" customHeight="false" outlineLevel="0" collapsed="false">
      <c r="A547" s="7" t="str">
        <f aca="false">IF(B547="","",YEAR(B547)&amp;"/"&amp;TEXT(ROW()-4,"0000"))</f>
        <v/>
      </c>
      <c r="B547" s="8"/>
      <c r="C547" s="7" t="str">
        <f aca="false">IF(B547="","",INT((B547-DATE(YEAR(B547-WEEKDAY(B547-1)+4),1,3)+WEEKDAY(DATE(YEAR(B547-WEEKDAY(B547-1)+4),1,3))+5)/7))</f>
        <v/>
      </c>
      <c r="D547" s="9" t="str">
        <f aca="false">IF(B547="","",B547-WEEKDAY(B547,2)+1)</f>
        <v/>
      </c>
      <c r="E547" s="10"/>
      <c r="F547" s="8"/>
      <c r="G547" s="11"/>
      <c r="H547" s="10"/>
      <c r="I547" s="11"/>
      <c r="J547" s="10"/>
      <c r="K547" s="10"/>
      <c r="L547" s="10"/>
      <c r="M547" s="11"/>
      <c r="N547" s="8"/>
      <c r="O547" s="7" t="str">
        <f aca="false">IF(L547="","",IFERROR(VLOOKUP(L547,Paramètres!$F$5:$G$8,2,FALSE()),""))</f>
        <v/>
      </c>
      <c r="P547" s="9" t="str">
        <f aca="false">IF(OR(B547="",O547=""),"",IF(N547="",B547,N547)+O547)</f>
        <v/>
      </c>
      <c r="Q547" s="10"/>
      <c r="R547" s="8"/>
      <c r="S547" s="7" t="str">
        <f aca="false">IF(OR(B547="",R547=""),"",R547-B547)</f>
        <v/>
      </c>
      <c r="T547" s="7" t="str">
        <f aca="true">IF(OR(B547="",P547=""),"",IF(R547&lt;&gt;"",IF(R547&gt;P547,"Traité hors délai","Non"),IF(Q547="Classé sans suite","Non",IF(TODAY()&gt;P547,"OUI","Non"))))</f>
        <v/>
      </c>
      <c r="U547" s="11"/>
    </row>
    <row r="548" customFormat="false" ht="15" hidden="false" customHeight="false" outlineLevel="0" collapsed="false">
      <c r="A548" s="7" t="str">
        <f aca="false">IF(B548="","",YEAR(B548)&amp;"/"&amp;TEXT(ROW()-4,"0000"))</f>
        <v/>
      </c>
      <c r="B548" s="8"/>
      <c r="C548" s="7" t="str">
        <f aca="false">IF(B548="","",INT((B548-DATE(YEAR(B548-WEEKDAY(B548-1)+4),1,3)+WEEKDAY(DATE(YEAR(B548-WEEKDAY(B548-1)+4),1,3))+5)/7))</f>
        <v/>
      </c>
      <c r="D548" s="9" t="str">
        <f aca="false">IF(B548="","",B548-WEEKDAY(B548,2)+1)</f>
        <v/>
      </c>
      <c r="E548" s="10"/>
      <c r="F548" s="8"/>
      <c r="G548" s="11"/>
      <c r="H548" s="10"/>
      <c r="I548" s="11"/>
      <c r="J548" s="10"/>
      <c r="K548" s="10"/>
      <c r="L548" s="10"/>
      <c r="M548" s="11"/>
      <c r="N548" s="8"/>
      <c r="O548" s="7" t="str">
        <f aca="false">IF(L548="","",IFERROR(VLOOKUP(L548,Paramètres!$F$5:$G$8,2,FALSE()),""))</f>
        <v/>
      </c>
      <c r="P548" s="9" t="str">
        <f aca="false">IF(OR(B548="",O548=""),"",IF(N548="",B548,N548)+O548)</f>
        <v/>
      </c>
      <c r="Q548" s="10"/>
      <c r="R548" s="8"/>
      <c r="S548" s="7" t="str">
        <f aca="false">IF(OR(B548="",R548=""),"",R548-B548)</f>
        <v/>
      </c>
      <c r="T548" s="7" t="str">
        <f aca="true">IF(OR(B548="",P548=""),"",IF(R548&lt;&gt;"",IF(R548&gt;P548,"Traité hors délai","Non"),IF(Q548="Classé sans suite","Non",IF(TODAY()&gt;P548,"OUI","Non"))))</f>
        <v/>
      </c>
      <c r="U548" s="11"/>
    </row>
    <row r="549" customFormat="false" ht="15" hidden="false" customHeight="false" outlineLevel="0" collapsed="false">
      <c r="A549" s="7" t="str">
        <f aca="false">IF(B549="","",YEAR(B549)&amp;"/"&amp;TEXT(ROW()-4,"0000"))</f>
        <v/>
      </c>
      <c r="B549" s="8"/>
      <c r="C549" s="7" t="str">
        <f aca="false">IF(B549="","",INT((B549-DATE(YEAR(B549-WEEKDAY(B549-1)+4),1,3)+WEEKDAY(DATE(YEAR(B549-WEEKDAY(B549-1)+4),1,3))+5)/7))</f>
        <v/>
      </c>
      <c r="D549" s="9" t="str">
        <f aca="false">IF(B549="","",B549-WEEKDAY(B549,2)+1)</f>
        <v/>
      </c>
      <c r="E549" s="10"/>
      <c r="F549" s="8"/>
      <c r="G549" s="11"/>
      <c r="H549" s="10"/>
      <c r="I549" s="11"/>
      <c r="J549" s="10"/>
      <c r="K549" s="10"/>
      <c r="L549" s="10"/>
      <c r="M549" s="11"/>
      <c r="N549" s="8"/>
      <c r="O549" s="7" t="str">
        <f aca="false">IF(L549="","",IFERROR(VLOOKUP(L549,Paramètres!$F$5:$G$8,2,FALSE()),""))</f>
        <v/>
      </c>
      <c r="P549" s="9" t="str">
        <f aca="false">IF(OR(B549="",O549=""),"",IF(N549="",B549,N549)+O549)</f>
        <v/>
      </c>
      <c r="Q549" s="10"/>
      <c r="R549" s="8"/>
      <c r="S549" s="7" t="str">
        <f aca="false">IF(OR(B549="",R549=""),"",R549-B549)</f>
        <v/>
      </c>
      <c r="T549" s="7" t="str">
        <f aca="true">IF(OR(B549="",P549=""),"",IF(R549&lt;&gt;"",IF(R549&gt;P549,"Traité hors délai","Non"),IF(Q549="Classé sans suite","Non",IF(TODAY()&gt;P549,"OUI","Non"))))</f>
        <v/>
      </c>
      <c r="U549" s="11"/>
    </row>
    <row r="550" customFormat="false" ht="15" hidden="false" customHeight="false" outlineLevel="0" collapsed="false">
      <c r="A550" s="7" t="str">
        <f aca="false">IF(B550="","",YEAR(B550)&amp;"/"&amp;TEXT(ROW()-4,"0000"))</f>
        <v/>
      </c>
      <c r="B550" s="8"/>
      <c r="C550" s="7" t="str">
        <f aca="false">IF(B550="","",INT((B550-DATE(YEAR(B550-WEEKDAY(B550-1)+4),1,3)+WEEKDAY(DATE(YEAR(B550-WEEKDAY(B550-1)+4),1,3))+5)/7))</f>
        <v/>
      </c>
      <c r="D550" s="9" t="str">
        <f aca="false">IF(B550="","",B550-WEEKDAY(B550,2)+1)</f>
        <v/>
      </c>
      <c r="E550" s="10"/>
      <c r="F550" s="8"/>
      <c r="G550" s="11"/>
      <c r="H550" s="10"/>
      <c r="I550" s="11"/>
      <c r="J550" s="10"/>
      <c r="K550" s="10"/>
      <c r="L550" s="10"/>
      <c r="M550" s="11"/>
      <c r="N550" s="8"/>
      <c r="O550" s="7" t="str">
        <f aca="false">IF(L550="","",IFERROR(VLOOKUP(L550,Paramètres!$F$5:$G$8,2,FALSE()),""))</f>
        <v/>
      </c>
      <c r="P550" s="9" t="str">
        <f aca="false">IF(OR(B550="",O550=""),"",IF(N550="",B550,N550)+O550)</f>
        <v/>
      </c>
      <c r="Q550" s="10"/>
      <c r="R550" s="8"/>
      <c r="S550" s="7" t="str">
        <f aca="false">IF(OR(B550="",R550=""),"",R550-B550)</f>
        <v/>
      </c>
      <c r="T550" s="7" t="str">
        <f aca="true">IF(OR(B550="",P550=""),"",IF(R550&lt;&gt;"",IF(R550&gt;P550,"Traité hors délai","Non"),IF(Q550="Classé sans suite","Non",IF(TODAY()&gt;P550,"OUI","Non"))))</f>
        <v/>
      </c>
      <c r="U550" s="11"/>
    </row>
    <row r="551" customFormat="false" ht="15" hidden="false" customHeight="false" outlineLevel="0" collapsed="false">
      <c r="A551" s="7" t="str">
        <f aca="false">IF(B551="","",YEAR(B551)&amp;"/"&amp;TEXT(ROW()-4,"0000"))</f>
        <v/>
      </c>
      <c r="B551" s="8"/>
      <c r="C551" s="7" t="str">
        <f aca="false">IF(B551="","",INT((B551-DATE(YEAR(B551-WEEKDAY(B551-1)+4),1,3)+WEEKDAY(DATE(YEAR(B551-WEEKDAY(B551-1)+4),1,3))+5)/7))</f>
        <v/>
      </c>
      <c r="D551" s="9" t="str">
        <f aca="false">IF(B551="","",B551-WEEKDAY(B551,2)+1)</f>
        <v/>
      </c>
      <c r="E551" s="10"/>
      <c r="F551" s="8"/>
      <c r="G551" s="11"/>
      <c r="H551" s="10"/>
      <c r="I551" s="11"/>
      <c r="J551" s="10"/>
      <c r="K551" s="10"/>
      <c r="L551" s="10"/>
      <c r="M551" s="11"/>
      <c r="N551" s="8"/>
      <c r="O551" s="7" t="str">
        <f aca="false">IF(L551="","",IFERROR(VLOOKUP(L551,Paramètres!$F$5:$G$8,2,FALSE()),""))</f>
        <v/>
      </c>
      <c r="P551" s="9" t="str">
        <f aca="false">IF(OR(B551="",O551=""),"",IF(N551="",B551,N551)+O551)</f>
        <v/>
      </c>
      <c r="Q551" s="10"/>
      <c r="R551" s="8"/>
      <c r="S551" s="7" t="str">
        <f aca="false">IF(OR(B551="",R551=""),"",R551-B551)</f>
        <v/>
      </c>
      <c r="T551" s="7" t="str">
        <f aca="true">IF(OR(B551="",P551=""),"",IF(R551&lt;&gt;"",IF(R551&gt;P551,"Traité hors délai","Non"),IF(Q551="Classé sans suite","Non",IF(TODAY()&gt;P551,"OUI","Non"))))</f>
        <v/>
      </c>
      <c r="U551" s="11"/>
    </row>
    <row r="552" customFormat="false" ht="15" hidden="false" customHeight="false" outlineLevel="0" collapsed="false">
      <c r="A552" s="7" t="str">
        <f aca="false">IF(B552="","",YEAR(B552)&amp;"/"&amp;TEXT(ROW()-4,"0000"))</f>
        <v/>
      </c>
      <c r="B552" s="8"/>
      <c r="C552" s="7" t="str">
        <f aca="false">IF(B552="","",INT((B552-DATE(YEAR(B552-WEEKDAY(B552-1)+4),1,3)+WEEKDAY(DATE(YEAR(B552-WEEKDAY(B552-1)+4),1,3))+5)/7))</f>
        <v/>
      </c>
      <c r="D552" s="9" t="str">
        <f aca="false">IF(B552="","",B552-WEEKDAY(B552,2)+1)</f>
        <v/>
      </c>
      <c r="E552" s="10"/>
      <c r="F552" s="8"/>
      <c r="G552" s="11"/>
      <c r="H552" s="10"/>
      <c r="I552" s="11"/>
      <c r="J552" s="10"/>
      <c r="K552" s="10"/>
      <c r="L552" s="10"/>
      <c r="M552" s="11"/>
      <c r="N552" s="8"/>
      <c r="O552" s="7" t="str">
        <f aca="false">IF(L552="","",IFERROR(VLOOKUP(L552,Paramètres!$F$5:$G$8,2,FALSE()),""))</f>
        <v/>
      </c>
      <c r="P552" s="9" t="str">
        <f aca="false">IF(OR(B552="",O552=""),"",IF(N552="",B552,N552)+O552)</f>
        <v/>
      </c>
      <c r="Q552" s="10"/>
      <c r="R552" s="8"/>
      <c r="S552" s="7" t="str">
        <f aca="false">IF(OR(B552="",R552=""),"",R552-B552)</f>
        <v/>
      </c>
      <c r="T552" s="7" t="str">
        <f aca="true">IF(OR(B552="",P552=""),"",IF(R552&lt;&gt;"",IF(R552&gt;P552,"Traité hors délai","Non"),IF(Q552="Classé sans suite","Non",IF(TODAY()&gt;P552,"OUI","Non"))))</f>
        <v/>
      </c>
      <c r="U552" s="11"/>
    </row>
    <row r="553" customFormat="false" ht="15" hidden="false" customHeight="false" outlineLevel="0" collapsed="false">
      <c r="A553" s="7" t="str">
        <f aca="false">IF(B553="","",YEAR(B553)&amp;"/"&amp;TEXT(ROW()-4,"0000"))</f>
        <v/>
      </c>
      <c r="B553" s="8"/>
      <c r="C553" s="7" t="str">
        <f aca="false">IF(B553="","",INT((B553-DATE(YEAR(B553-WEEKDAY(B553-1)+4),1,3)+WEEKDAY(DATE(YEAR(B553-WEEKDAY(B553-1)+4),1,3))+5)/7))</f>
        <v/>
      </c>
      <c r="D553" s="9" t="str">
        <f aca="false">IF(B553="","",B553-WEEKDAY(B553,2)+1)</f>
        <v/>
      </c>
      <c r="E553" s="10"/>
      <c r="F553" s="8"/>
      <c r="G553" s="11"/>
      <c r="H553" s="10"/>
      <c r="I553" s="11"/>
      <c r="J553" s="10"/>
      <c r="K553" s="10"/>
      <c r="L553" s="10"/>
      <c r="M553" s="11"/>
      <c r="N553" s="8"/>
      <c r="O553" s="7" t="str">
        <f aca="false">IF(L553="","",IFERROR(VLOOKUP(L553,Paramètres!$F$5:$G$8,2,FALSE()),""))</f>
        <v/>
      </c>
      <c r="P553" s="9" t="str">
        <f aca="false">IF(OR(B553="",O553=""),"",IF(N553="",B553,N553)+O553)</f>
        <v/>
      </c>
      <c r="Q553" s="10"/>
      <c r="R553" s="8"/>
      <c r="S553" s="7" t="str">
        <f aca="false">IF(OR(B553="",R553=""),"",R553-B553)</f>
        <v/>
      </c>
      <c r="T553" s="7" t="str">
        <f aca="true">IF(OR(B553="",P553=""),"",IF(R553&lt;&gt;"",IF(R553&gt;P553,"Traité hors délai","Non"),IF(Q553="Classé sans suite","Non",IF(TODAY()&gt;P553,"OUI","Non"))))</f>
        <v/>
      </c>
      <c r="U553" s="11"/>
    </row>
    <row r="554" customFormat="false" ht="15" hidden="false" customHeight="false" outlineLevel="0" collapsed="false">
      <c r="A554" s="7" t="str">
        <f aca="false">IF(B554="","",YEAR(B554)&amp;"/"&amp;TEXT(ROW()-4,"0000"))</f>
        <v/>
      </c>
      <c r="B554" s="8"/>
      <c r="C554" s="7" t="str">
        <f aca="false">IF(B554="","",INT((B554-DATE(YEAR(B554-WEEKDAY(B554-1)+4),1,3)+WEEKDAY(DATE(YEAR(B554-WEEKDAY(B554-1)+4),1,3))+5)/7))</f>
        <v/>
      </c>
      <c r="D554" s="9" t="str">
        <f aca="false">IF(B554="","",B554-WEEKDAY(B554,2)+1)</f>
        <v/>
      </c>
      <c r="E554" s="10"/>
      <c r="F554" s="8"/>
      <c r="G554" s="11"/>
      <c r="H554" s="10"/>
      <c r="I554" s="11"/>
      <c r="J554" s="10"/>
      <c r="K554" s="10"/>
      <c r="L554" s="10"/>
      <c r="M554" s="11"/>
      <c r="N554" s="8"/>
      <c r="O554" s="7" t="str">
        <f aca="false">IF(L554="","",IFERROR(VLOOKUP(L554,Paramètres!$F$5:$G$8,2,FALSE()),""))</f>
        <v/>
      </c>
      <c r="P554" s="9" t="str">
        <f aca="false">IF(OR(B554="",O554=""),"",IF(N554="",B554,N554)+O554)</f>
        <v/>
      </c>
      <c r="Q554" s="10"/>
      <c r="R554" s="8"/>
      <c r="S554" s="7" t="str">
        <f aca="false">IF(OR(B554="",R554=""),"",R554-B554)</f>
        <v/>
      </c>
      <c r="T554" s="7" t="str">
        <f aca="true">IF(OR(B554="",P554=""),"",IF(R554&lt;&gt;"",IF(R554&gt;P554,"Traité hors délai","Non"),IF(Q554="Classé sans suite","Non",IF(TODAY()&gt;P554,"OUI","Non"))))</f>
        <v/>
      </c>
      <c r="U554" s="11"/>
    </row>
    <row r="555" customFormat="false" ht="15" hidden="false" customHeight="false" outlineLevel="0" collapsed="false">
      <c r="A555" s="7" t="str">
        <f aca="false">IF(B555="","",YEAR(B555)&amp;"/"&amp;TEXT(ROW()-4,"0000"))</f>
        <v/>
      </c>
      <c r="B555" s="8"/>
      <c r="C555" s="7" t="str">
        <f aca="false">IF(B555="","",INT((B555-DATE(YEAR(B555-WEEKDAY(B555-1)+4),1,3)+WEEKDAY(DATE(YEAR(B555-WEEKDAY(B555-1)+4),1,3))+5)/7))</f>
        <v/>
      </c>
      <c r="D555" s="9" t="str">
        <f aca="false">IF(B555="","",B555-WEEKDAY(B555,2)+1)</f>
        <v/>
      </c>
      <c r="E555" s="10"/>
      <c r="F555" s="8"/>
      <c r="G555" s="11"/>
      <c r="H555" s="10"/>
      <c r="I555" s="11"/>
      <c r="J555" s="10"/>
      <c r="K555" s="10"/>
      <c r="L555" s="10"/>
      <c r="M555" s="11"/>
      <c r="N555" s="8"/>
      <c r="O555" s="7" t="str">
        <f aca="false">IF(L555="","",IFERROR(VLOOKUP(L555,Paramètres!$F$5:$G$8,2,FALSE()),""))</f>
        <v/>
      </c>
      <c r="P555" s="9" t="str">
        <f aca="false">IF(OR(B555="",O555=""),"",IF(N555="",B555,N555)+O555)</f>
        <v/>
      </c>
      <c r="Q555" s="10"/>
      <c r="R555" s="8"/>
      <c r="S555" s="7" t="str">
        <f aca="false">IF(OR(B555="",R555=""),"",R555-B555)</f>
        <v/>
      </c>
      <c r="T555" s="7" t="str">
        <f aca="true">IF(OR(B555="",P555=""),"",IF(R555&lt;&gt;"",IF(R555&gt;P555,"Traité hors délai","Non"),IF(Q555="Classé sans suite","Non",IF(TODAY()&gt;P555,"OUI","Non"))))</f>
        <v/>
      </c>
      <c r="U555" s="11"/>
    </row>
    <row r="556" customFormat="false" ht="15" hidden="false" customHeight="false" outlineLevel="0" collapsed="false">
      <c r="A556" s="7" t="str">
        <f aca="false">IF(B556="","",YEAR(B556)&amp;"/"&amp;TEXT(ROW()-4,"0000"))</f>
        <v/>
      </c>
      <c r="B556" s="8"/>
      <c r="C556" s="7" t="str">
        <f aca="false">IF(B556="","",INT((B556-DATE(YEAR(B556-WEEKDAY(B556-1)+4),1,3)+WEEKDAY(DATE(YEAR(B556-WEEKDAY(B556-1)+4),1,3))+5)/7))</f>
        <v/>
      </c>
      <c r="D556" s="9" t="str">
        <f aca="false">IF(B556="","",B556-WEEKDAY(B556,2)+1)</f>
        <v/>
      </c>
      <c r="E556" s="10"/>
      <c r="F556" s="8"/>
      <c r="G556" s="11"/>
      <c r="H556" s="10"/>
      <c r="I556" s="11"/>
      <c r="J556" s="10"/>
      <c r="K556" s="10"/>
      <c r="L556" s="10"/>
      <c r="M556" s="11"/>
      <c r="N556" s="8"/>
      <c r="O556" s="7" t="str">
        <f aca="false">IF(L556="","",IFERROR(VLOOKUP(L556,Paramètres!$F$5:$G$8,2,FALSE()),""))</f>
        <v/>
      </c>
      <c r="P556" s="9" t="str">
        <f aca="false">IF(OR(B556="",O556=""),"",IF(N556="",B556,N556)+O556)</f>
        <v/>
      </c>
      <c r="Q556" s="10"/>
      <c r="R556" s="8"/>
      <c r="S556" s="7" t="str">
        <f aca="false">IF(OR(B556="",R556=""),"",R556-B556)</f>
        <v/>
      </c>
      <c r="T556" s="7" t="str">
        <f aca="true">IF(OR(B556="",P556=""),"",IF(R556&lt;&gt;"",IF(R556&gt;P556,"Traité hors délai","Non"),IF(Q556="Classé sans suite","Non",IF(TODAY()&gt;P556,"OUI","Non"))))</f>
        <v/>
      </c>
      <c r="U556" s="11"/>
    </row>
    <row r="557" customFormat="false" ht="15" hidden="false" customHeight="false" outlineLevel="0" collapsed="false">
      <c r="A557" s="7" t="str">
        <f aca="false">IF(B557="","",YEAR(B557)&amp;"/"&amp;TEXT(ROW()-4,"0000"))</f>
        <v/>
      </c>
      <c r="B557" s="8"/>
      <c r="C557" s="7" t="str">
        <f aca="false">IF(B557="","",INT((B557-DATE(YEAR(B557-WEEKDAY(B557-1)+4),1,3)+WEEKDAY(DATE(YEAR(B557-WEEKDAY(B557-1)+4),1,3))+5)/7))</f>
        <v/>
      </c>
      <c r="D557" s="9" t="str">
        <f aca="false">IF(B557="","",B557-WEEKDAY(B557,2)+1)</f>
        <v/>
      </c>
      <c r="E557" s="10"/>
      <c r="F557" s="8"/>
      <c r="G557" s="11"/>
      <c r="H557" s="10"/>
      <c r="I557" s="11"/>
      <c r="J557" s="10"/>
      <c r="K557" s="10"/>
      <c r="L557" s="10"/>
      <c r="M557" s="11"/>
      <c r="N557" s="8"/>
      <c r="O557" s="7" t="str">
        <f aca="false">IF(L557="","",IFERROR(VLOOKUP(L557,Paramètres!$F$5:$G$8,2,FALSE()),""))</f>
        <v/>
      </c>
      <c r="P557" s="9" t="str">
        <f aca="false">IF(OR(B557="",O557=""),"",IF(N557="",B557,N557)+O557)</f>
        <v/>
      </c>
      <c r="Q557" s="10"/>
      <c r="R557" s="8"/>
      <c r="S557" s="7" t="str">
        <f aca="false">IF(OR(B557="",R557=""),"",R557-B557)</f>
        <v/>
      </c>
      <c r="T557" s="7" t="str">
        <f aca="true">IF(OR(B557="",P557=""),"",IF(R557&lt;&gt;"",IF(R557&gt;P557,"Traité hors délai","Non"),IF(Q557="Classé sans suite","Non",IF(TODAY()&gt;P557,"OUI","Non"))))</f>
        <v/>
      </c>
      <c r="U557" s="11"/>
    </row>
    <row r="558" customFormat="false" ht="15" hidden="false" customHeight="false" outlineLevel="0" collapsed="false">
      <c r="A558" s="7" t="str">
        <f aca="false">IF(B558="","",YEAR(B558)&amp;"/"&amp;TEXT(ROW()-4,"0000"))</f>
        <v/>
      </c>
      <c r="B558" s="8"/>
      <c r="C558" s="7" t="str">
        <f aca="false">IF(B558="","",INT((B558-DATE(YEAR(B558-WEEKDAY(B558-1)+4),1,3)+WEEKDAY(DATE(YEAR(B558-WEEKDAY(B558-1)+4),1,3))+5)/7))</f>
        <v/>
      </c>
      <c r="D558" s="9" t="str">
        <f aca="false">IF(B558="","",B558-WEEKDAY(B558,2)+1)</f>
        <v/>
      </c>
      <c r="E558" s="10"/>
      <c r="F558" s="8"/>
      <c r="G558" s="11"/>
      <c r="H558" s="10"/>
      <c r="I558" s="11"/>
      <c r="J558" s="10"/>
      <c r="K558" s="10"/>
      <c r="L558" s="10"/>
      <c r="M558" s="11"/>
      <c r="N558" s="8"/>
      <c r="O558" s="7" t="str">
        <f aca="false">IF(L558="","",IFERROR(VLOOKUP(L558,Paramètres!$F$5:$G$8,2,FALSE()),""))</f>
        <v/>
      </c>
      <c r="P558" s="9" t="str">
        <f aca="false">IF(OR(B558="",O558=""),"",IF(N558="",B558,N558)+O558)</f>
        <v/>
      </c>
      <c r="Q558" s="10"/>
      <c r="R558" s="8"/>
      <c r="S558" s="7" t="str">
        <f aca="false">IF(OR(B558="",R558=""),"",R558-B558)</f>
        <v/>
      </c>
      <c r="T558" s="7" t="str">
        <f aca="true">IF(OR(B558="",P558=""),"",IF(R558&lt;&gt;"",IF(R558&gt;P558,"Traité hors délai","Non"),IF(Q558="Classé sans suite","Non",IF(TODAY()&gt;P558,"OUI","Non"))))</f>
        <v/>
      </c>
      <c r="U558" s="11"/>
    </row>
    <row r="559" customFormat="false" ht="15" hidden="false" customHeight="false" outlineLevel="0" collapsed="false">
      <c r="A559" s="7" t="str">
        <f aca="false">IF(B559="","",YEAR(B559)&amp;"/"&amp;TEXT(ROW()-4,"0000"))</f>
        <v/>
      </c>
      <c r="B559" s="8"/>
      <c r="C559" s="7" t="str">
        <f aca="false">IF(B559="","",INT((B559-DATE(YEAR(B559-WEEKDAY(B559-1)+4),1,3)+WEEKDAY(DATE(YEAR(B559-WEEKDAY(B559-1)+4),1,3))+5)/7))</f>
        <v/>
      </c>
      <c r="D559" s="9" t="str">
        <f aca="false">IF(B559="","",B559-WEEKDAY(B559,2)+1)</f>
        <v/>
      </c>
      <c r="E559" s="10"/>
      <c r="F559" s="8"/>
      <c r="G559" s="11"/>
      <c r="H559" s="10"/>
      <c r="I559" s="11"/>
      <c r="J559" s="10"/>
      <c r="K559" s="10"/>
      <c r="L559" s="10"/>
      <c r="M559" s="11"/>
      <c r="N559" s="8"/>
      <c r="O559" s="7" t="str">
        <f aca="false">IF(L559="","",IFERROR(VLOOKUP(L559,Paramètres!$F$5:$G$8,2,FALSE()),""))</f>
        <v/>
      </c>
      <c r="P559" s="9" t="str">
        <f aca="false">IF(OR(B559="",O559=""),"",IF(N559="",B559,N559)+O559)</f>
        <v/>
      </c>
      <c r="Q559" s="10"/>
      <c r="R559" s="8"/>
      <c r="S559" s="7" t="str">
        <f aca="false">IF(OR(B559="",R559=""),"",R559-B559)</f>
        <v/>
      </c>
      <c r="T559" s="7" t="str">
        <f aca="true">IF(OR(B559="",P559=""),"",IF(R559&lt;&gt;"",IF(R559&gt;P559,"Traité hors délai","Non"),IF(Q559="Classé sans suite","Non",IF(TODAY()&gt;P559,"OUI","Non"))))</f>
        <v/>
      </c>
      <c r="U559" s="11"/>
    </row>
    <row r="560" customFormat="false" ht="15" hidden="false" customHeight="false" outlineLevel="0" collapsed="false">
      <c r="A560" s="7" t="str">
        <f aca="false">IF(B560="","",YEAR(B560)&amp;"/"&amp;TEXT(ROW()-4,"0000"))</f>
        <v/>
      </c>
      <c r="B560" s="8"/>
      <c r="C560" s="7" t="str">
        <f aca="false">IF(B560="","",INT((B560-DATE(YEAR(B560-WEEKDAY(B560-1)+4),1,3)+WEEKDAY(DATE(YEAR(B560-WEEKDAY(B560-1)+4),1,3))+5)/7))</f>
        <v/>
      </c>
      <c r="D560" s="9" t="str">
        <f aca="false">IF(B560="","",B560-WEEKDAY(B560,2)+1)</f>
        <v/>
      </c>
      <c r="E560" s="10"/>
      <c r="F560" s="8"/>
      <c r="G560" s="11"/>
      <c r="H560" s="10"/>
      <c r="I560" s="11"/>
      <c r="J560" s="10"/>
      <c r="K560" s="10"/>
      <c r="L560" s="10"/>
      <c r="M560" s="11"/>
      <c r="N560" s="8"/>
      <c r="O560" s="7" t="str">
        <f aca="false">IF(L560="","",IFERROR(VLOOKUP(L560,Paramètres!$F$5:$G$8,2,FALSE()),""))</f>
        <v/>
      </c>
      <c r="P560" s="9" t="str">
        <f aca="false">IF(OR(B560="",O560=""),"",IF(N560="",B560,N560)+O560)</f>
        <v/>
      </c>
      <c r="Q560" s="10"/>
      <c r="R560" s="8"/>
      <c r="S560" s="7" t="str">
        <f aca="false">IF(OR(B560="",R560=""),"",R560-B560)</f>
        <v/>
      </c>
      <c r="T560" s="7" t="str">
        <f aca="true">IF(OR(B560="",P560=""),"",IF(R560&lt;&gt;"",IF(R560&gt;P560,"Traité hors délai","Non"),IF(Q560="Classé sans suite","Non",IF(TODAY()&gt;P560,"OUI","Non"))))</f>
        <v/>
      </c>
      <c r="U560" s="11"/>
    </row>
    <row r="561" customFormat="false" ht="15" hidden="false" customHeight="false" outlineLevel="0" collapsed="false">
      <c r="A561" s="7" t="str">
        <f aca="false">IF(B561="","",YEAR(B561)&amp;"/"&amp;TEXT(ROW()-4,"0000"))</f>
        <v/>
      </c>
      <c r="B561" s="8"/>
      <c r="C561" s="7" t="str">
        <f aca="false">IF(B561="","",INT((B561-DATE(YEAR(B561-WEEKDAY(B561-1)+4),1,3)+WEEKDAY(DATE(YEAR(B561-WEEKDAY(B561-1)+4),1,3))+5)/7))</f>
        <v/>
      </c>
      <c r="D561" s="9" t="str">
        <f aca="false">IF(B561="","",B561-WEEKDAY(B561,2)+1)</f>
        <v/>
      </c>
      <c r="E561" s="10"/>
      <c r="F561" s="8"/>
      <c r="G561" s="11"/>
      <c r="H561" s="10"/>
      <c r="I561" s="11"/>
      <c r="J561" s="10"/>
      <c r="K561" s="10"/>
      <c r="L561" s="10"/>
      <c r="M561" s="11"/>
      <c r="N561" s="8"/>
      <c r="O561" s="7" t="str">
        <f aca="false">IF(L561="","",IFERROR(VLOOKUP(L561,Paramètres!$F$5:$G$8,2,FALSE()),""))</f>
        <v/>
      </c>
      <c r="P561" s="9" t="str">
        <f aca="false">IF(OR(B561="",O561=""),"",IF(N561="",B561,N561)+O561)</f>
        <v/>
      </c>
      <c r="Q561" s="10"/>
      <c r="R561" s="8"/>
      <c r="S561" s="7" t="str">
        <f aca="false">IF(OR(B561="",R561=""),"",R561-B561)</f>
        <v/>
      </c>
      <c r="T561" s="7" t="str">
        <f aca="true">IF(OR(B561="",P561=""),"",IF(R561&lt;&gt;"",IF(R561&gt;P561,"Traité hors délai","Non"),IF(Q561="Classé sans suite","Non",IF(TODAY()&gt;P561,"OUI","Non"))))</f>
        <v/>
      </c>
      <c r="U561" s="11"/>
    </row>
    <row r="562" customFormat="false" ht="15" hidden="false" customHeight="false" outlineLevel="0" collapsed="false">
      <c r="A562" s="7" t="str">
        <f aca="false">IF(B562="","",YEAR(B562)&amp;"/"&amp;TEXT(ROW()-4,"0000"))</f>
        <v/>
      </c>
      <c r="B562" s="8"/>
      <c r="C562" s="7" t="str">
        <f aca="false">IF(B562="","",INT((B562-DATE(YEAR(B562-WEEKDAY(B562-1)+4),1,3)+WEEKDAY(DATE(YEAR(B562-WEEKDAY(B562-1)+4),1,3))+5)/7))</f>
        <v/>
      </c>
      <c r="D562" s="9" t="str">
        <f aca="false">IF(B562="","",B562-WEEKDAY(B562,2)+1)</f>
        <v/>
      </c>
      <c r="E562" s="10"/>
      <c r="F562" s="8"/>
      <c r="G562" s="11"/>
      <c r="H562" s="10"/>
      <c r="I562" s="11"/>
      <c r="J562" s="10"/>
      <c r="K562" s="10"/>
      <c r="L562" s="10"/>
      <c r="M562" s="11"/>
      <c r="N562" s="8"/>
      <c r="O562" s="7" t="str">
        <f aca="false">IF(L562="","",IFERROR(VLOOKUP(L562,Paramètres!$F$5:$G$8,2,FALSE()),""))</f>
        <v/>
      </c>
      <c r="P562" s="9" t="str">
        <f aca="false">IF(OR(B562="",O562=""),"",IF(N562="",B562,N562)+O562)</f>
        <v/>
      </c>
      <c r="Q562" s="10"/>
      <c r="R562" s="8"/>
      <c r="S562" s="7" t="str">
        <f aca="false">IF(OR(B562="",R562=""),"",R562-B562)</f>
        <v/>
      </c>
      <c r="T562" s="7" t="str">
        <f aca="true">IF(OR(B562="",P562=""),"",IF(R562&lt;&gt;"",IF(R562&gt;P562,"Traité hors délai","Non"),IF(Q562="Classé sans suite","Non",IF(TODAY()&gt;P562,"OUI","Non"))))</f>
        <v/>
      </c>
      <c r="U562" s="11"/>
    </row>
    <row r="563" customFormat="false" ht="15" hidden="false" customHeight="false" outlineLevel="0" collapsed="false">
      <c r="A563" s="7" t="str">
        <f aca="false">IF(B563="","",YEAR(B563)&amp;"/"&amp;TEXT(ROW()-4,"0000"))</f>
        <v/>
      </c>
      <c r="B563" s="8"/>
      <c r="C563" s="7" t="str">
        <f aca="false">IF(B563="","",INT((B563-DATE(YEAR(B563-WEEKDAY(B563-1)+4),1,3)+WEEKDAY(DATE(YEAR(B563-WEEKDAY(B563-1)+4),1,3))+5)/7))</f>
        <v/>
      </c>
      <c r="D563" s="9" t="str">
        <f aca="false">IF(B563="","",B563-WEEKDAY(B563,2)+1)</f>
        <v/>
      </c>
      <c r="E563" s="10"/>
      <c r="F563" s="8"/>
      <c r="G563" s="11"/>
      <c r="H563" s="10"/>
      <c r="I563" s="11"/>
      <c r="J563" s="10"/>
      <c r="K563" s="10"/>
      <c r="L563" s="10"/>
      <c r="M563" s="11"/>
      <c r="N563" s="8"/>
      <c r="O563" s="7" t="str">
        <f aca="false">IF(L563="","",IFERROR(VLOOKUP(L563,Paramètres!$F$5:$G$8,2,FALSE()),""))</f>
        <v/>
      </c>
      <c r="P563" s="9" t="str">
        <f aca="false">IF(OR(B563="",O563=""),"",IF(N563="",B563,N563)+O563)</f>
        <v/>
      </c>
      <c r="Q563" s="10"/>
      <c r="R563" s="8"/>
      <c r="S563" s="7" t="str">
        <f aca="false">IF(OR(B563="",R563=""),"",R563-B563)</f>
        <v/>
      </c>
      <c r="T563" s="7" t="str">
        <f aca="true">IF(OR(B563="",P563=""),"",IF(R563&lt;&gt;"",IF(R563&gt;P563,"Traité hors délai","Non"),IF(Q563="Classé sans suite","Non",IF(TODAY()&gt;P563,"OUI","Non"))))</f>
        <v/>
      </c>
      <c r="U563" s="11"/>
    </row>
    <row r="564" customFormat="false" ht="15" hidden="false" customHeight="false" outlineLevel="0" collapsed="false">
      <c r="A564" s="7" t="str">
        <f aca="false">IF(B564="","",YEAR(B564)&amp;"/"&amp;TEXT(ROW()-4,"0000"))</f>
        <v/>
      </c>
      <c r="B564" s="8"/>
      <c r="C564" s="7" t="str">
        <f aca="false">IF(B564="","",INT((B564-DATE(YEAR(B564-WEEKDAY(B564-1)+4),1,3)+WEEKDAY(DATE(YEAR(B564-WEEKDAY(B564-1)+4),1,3))+5)/7))</f>
        <v/>
      </c>
      <c r="D564" s="9" t="str">
        <f aca="false">IF(B564="","",B564-WEEKDAY(B564,2)+1)</f>
        <v/>
      </c>
      <c r="E564" s="10"/>
      <c r="F564" s="8"/>
      <c r="G564" s="11"/>
      <c r="H564" s="10"/>
      <c r="I564" s="11"/>
      <c r="J564" s="10"/>
      <c r="K564" s="10"/>
      <c r="L564" s="10"/>
      <c r="M564" s="11"/>
      <c r="N564" s="8"/>
      <c r="O564" s="7" t="str">
        <f aca="false">IF(L564="","",IFERROR(VLOOKUP(L564,Paramètres!$F$5:$G$8,2,FALSE()),""))</f>
        <v/>
      </c>
      <c r="P564" s="9" t="str">
        <f aca="false">IF(OR(B564="",O564=""),"",IF(N564="",B564,N564)+O564)</f>
        <v/>
      </c>
      <c r="Q564" s="10"/>
      <c r="R564" s="8"/>
      <c r="S564" s="7" t="str">
        <f aca="false">IF(OR(B564="",R564=""),"",R564-B564)</f>
        <v/>
      </c>
      <c r="T564" s="7" t="str">
        <f aca="true">IF(OR(B564="",P564=""),"",IF(R564&lt;&gt;"",IF(R564&gt;P564,"Traité hors délai","Non"),IF(Q564="Classé sans suite","Non",IF(TODAY()&gt;P564,"OUI","Non"))))</f>
        <v/>
      </c>
      <c r="U564" s="11"/>
    </row>
    <row r="565" customFormat="false" ht="15" hidden="false" customHeight="false" outlineLevel="0" collapsed="false">
      <c r="A565" s="7" t="str">
        <f aca="false">IF(B565="","",YEAR(B565)&amp;"/"&amp;TEXT(ROW()-4,"0000"))</f>
        <v/>
      </c>
      <c r="B565" s="8"/>
      <c r="C565" s="7" t="str">
        <f aca="false">IF(B565="","",INT((B565-DATE(YEAR(B565-WEEKDAY(B565-1)+4),1,3)+WEEKDAY(DATE(YEAR(B565-WEEKDAY(B565-1)+4),1,3))+5)/7))</f>
        <v/>
      </c>
      <c r="D565" s="9" t="str">
        <f aca="false">IF(B565="","",B565-WEEKDAY(B565,2)+1)</f>
        <v/>
      </c>
      <c r="E565" s="10"/>
      <c r="F565" s="8"/>
      <c r="G565" s="11"/>
      <c r="H565" s="10"/>
      <c r="I565" s="11"/>
      <c r="J565" s="10"/>
      <c r="K565" s="10"/>
      <c r="L565" s="10"/>
      <c r="M565" s="11"/>
      <c r="N565" s="8"/>
      <c r="O565" s="7" t="str">
        <f aca="false">IF(L565="","",IFERROR(VLOOKUP(L565,Paramètres!$F$5:$G$8,2,FALSE()),""))</f>
        <v/>
      </c>
      <c r="P565" s="9" t="str">
        <f aca="false">IF(OR(B565="",O565=""),"",IF(N565="",B565,N565)+O565)</f>
        <v/>
      </c>
      <c r="Q565" s="10"/>
      <c r="R565" s="8"/>
      <c r="S565" s="7" t="str">
        <f aca="false">IF(OR(B565="",R565=""),"",R565-B565)</f>
        <v/>
      </c>
      <c r="T565" s="7" t="str">
        <f aca="true">IF(OR(B565="",P565=""),"",IF(R565&lt;&gt;"",IF(R565&gt;P565,"Traité hors délai","Non"),IF(Q565="Classé sans suite","Non",IF(TODAY()&gt;P565,"OUI","Non"))))</f>
        <v/>
      </c>
      <c r="U565" s="11"/>
    </row>
    <row r="566" customFormat="false" ht="15" hidden="false" customHeight="false" outlineLevel="0" collapsed="false">
      <c r="A566" s="7" t="str">
        <f aca="false">IF(B566="","",YEAR(B566)&amp;"/"&amp;TEXT(ROW()-4,"0000"))</f>
        <v/>
      </c>
      <c r="B566" s="8"/>
      <c r="C566" s="7" t="str">
        <f aca="false">IF(B566="","",INT((B566-DATE(YEAR(B566-WEEKDAY(B566-1)+4),1,3)+WEEKDAY(DATE(YEAR(B566-WEEKDAY(B566-1)+4),1,3))+5)/7))</f>
        <v/>
      </c>
      <c r="D566" s="9" t="str">
        <f aca="false">IF(B566="","",B566-WEEKDAY(B566,2)+1)</f>
        <v/>
      </c>
      <c r="E566" s="10"/>
      <c r="F566" s="8"/>
      <c r="G566" s="11"/>
      <c r="H566" s="10"/>
      <c r="I566" s="11"/>
      <c r="J566" s="10"/>
      <c r="K566" s="10"/>
      <c r="L566" s="10"/>
      <c r="M566" s="11"/>
      <c r="N566" s="8"/>
      <c r="O566" s="7" t="str">
        <f aca="false">IF(L566="","",IFERROR(VLOOKUP(L566,Paramètres!$F$5:$G$8,2,FALSE()),""))</f>
        <v/>
      </c>
      <c r="P566" s="9" t="str">
        <f aca="false">IF(OR(B566="",O566=""),"",IF(N566="",B566,N566)+O566)</f>
        <v/>
      </c>
      <c r="Q566" s="10"/>
      <c r="R566" s="8"/>
      <c r="S566" s="7" t="str">
        <f aca="false">IF(OR(B566="",R566=""),"",R566-B566)</f>
        <v/>
      </c>
      <c r="T566" s="7" t="str">
        <f aca="true">IF(OR(B566="",P566=""),"",IF(R566&lt;&gt;"",IF(R566&gt;P566,"Traité hors délai","Non"),IF(Q566="Classé sans suite","Non",IF(TODAY()&gt;P566,"OUI","Non"))))</f>
        <v/>
      </c>
      <c r="U566" s="11"/>
    </row>
    <row r="567" customFormat="false" ht="15" hidden="false" customHeight="false" outlineLevel="0" collapsed="false">
      <c r="A567" s="7" t="str">
        <f aca="false">IF(B567="","",YEAR(B567)&amp;"/"&amp;TEXT(ROW()-4,"0000"))</f>
        <v/>
      </c>
      <c r="B567" s="8"/>
      <c r="C567" s="7" t="str">
        <f aca="false">IF(B567="","",INT((B567-DATE(YEAR(B567-WEEKDAY(B567-1)+4),1,3)+WEEKDAY(DATE(YEAR(B567-WEEKDAY(B567-1)+4),1,3))+5)/7))</f>
        <v/>
      </c>
      <c r="D567" s="9" t="str">
        <f aca="false">IF(B567="","",B567-WEEKDAY(B567,2)+1)</f>
        <v/>
      </c>
      <c r="E567" s="10"/>
      <c r="F567" s="8"/>
      <c r="G567" s="11"/>
      <c r="H567" s="10"/>
      <c r="I567" s="11"/>
      <c r="J567" s="10"/>
      <c r="K567" s="10"/>
      <c r="L567" s="10"/>
      <c r="M567" s="11"/>
      <c r="N567" s="8"/>
      <c r="O567" s="7" t="str">
        <f aca="false">IF(L567="","",IFERROR(VLOOKUP(L567,Paramètres!$F$5:$G$8,2,FALSE()),""))</f>
        <v/>
      </c>
      <c r="P567" s="9" t="str">
        <f aca="false">IF(OR(B567="",O567=""),"",IF(N567="",B567,N567)+O567)</f>
        <v/>
      </c>
      <c r="Q567" s="10"/>
      <c r="R567" s="8"/>
      <c r="S567" s="7" t="str">
        <f aca="false">IF(OR(B567="",R567=""),"",R567-B567)</f>
        <v/>
      </c>
      <c r="T567" s="7" t="str">
        <f aca="true">IF(OR(B567="",P567=""),"",IF(R567&lt;&gt;"",IF(R567&gt;P567,"Traité hors délai","Non"),IF(Q567="Classé sans suite","Non",IF(TODAY()&gt;P567,"OUI","Non"))))</f>
        <v/>
      </c>
      <c r="U567" s="11"/>
    </row>
    <row r="568" customFormat="false" ht="15" hidden="false" customHeight="false" outlineLevel="0" collapsed="false">
      <c r="A568" s="7" t="str">
        <f aca="false">IF(B568="","",YEAR(B568)&amp;"/"&amp;TEXT(ROW()-4,"0000"))</f>
        <v/>
      </c>
      <c r="B568" s="8"/>
      <c r="C568" s="7" t="str">
        <f aca="false">IF(B568="","",INT((B568-DATE(YEAR(B568-WEEKDAY(B568-1)+4),1,3)+WEEKDAY(DATE(YEAR(B568-WEEKDAY(B568-1)+4),1,3))+5)/7))</f>
        <v/>
      </c>
      <c r="D568" s="9" t="str">
        <f aca="false">IF(B568="","",B568-WEEKDAY(B568,2)+1)</f>
        <v/>
      </c>
      <c r="E568" s="10"/>
      <c r="F568" s="8"/>
      <c r="G568" s="11"/>
      <c r="H568" s="10"/>
      <c r="I568" s="11"/>
      <c r="J568" s="10"/>
      <c r="K568" s="10"/>
      <c r="L568" s="10"/>
      <c r="M568" s="11"/>
      <c r="N568" s="8"/>
      <c r="O568" s="7" t="str">
        <f aca="false">IF(L568="","",IFERROR(VLOOKUP(L568,Paramètres!$F$5:$G$8,2,FALSE()),""))</f>
        <v/>
      </c>
      <c r="P568" s="9" t="str">
        <f aca="false">IF(OR(B568="",O568=""),"",IF(N568="",B568,N568)+O568)</f>
        <v/>
      </c>
      <c r="Q568" s="10"/>
      <c r="R568" s="8"/>
      <c r="S568" s="7" t="str">
        <f aca="false">IF(OR(B568="",R568=""),"",R568-B568)</f>
        <v/>
      </c>
      <c r="T568" s="7" t="str">
        <f aca="true">IF(OR(B568="",P568=""),"",IF(R568&lt;&gt;"",IF(R568&gt;P568,"Traité hors délai","Non"),IF(Q568="Classé sans suite","Non",IF(TODAY()&gt;P568,"OUI","Non"))))</f>
        <v/>
      </c>
      <c r="U568" s="11"/>
    </row>
    <row r="569" customFormat="false" ht="15" hidden="false" customHeight="false" outlineLevel="0" collapsed="false">
      <c r="A569" s="7" t="str">
        <f aca="false">IF(B569="","",YEAR(B569)&amp;"/"&amp;TEXT(ROW()-4,"0000"))</f>
        <v/>
      </c>
      <c r="B569" s="8"/>
      <c r="C569" s="7" t="str">
        <f aca="false">IF(B569="","",INT((B569-DATE(YEAR(B569-WEEKDAY(B569-1)+4),1,3)+WEEKDAY(DATE(YEAR(B569-WEEKDAY(B569-1)+4),1,3))+5)/7))</f>
        <v/>
      </c>
      <c r="D569" s="9" t="str">
        <f aca="false">IF(B569="","",B569-WEEKDAY(B569,2)+1)</f>
        <v/>
      </c>
      <c r="E569" s="10"/>
      <c r="F569" s="8"/>
      <c r="G569" s="11"/>
      <c r="H569" s="10"/>
      <c r="I569" s="11"/>
      <c r="J569" s="10"/>
      <c r="K569" s="10"/>
      <c r="L569" s="10"/>
      <c r="M569" s="11"/>
      <c r="N569" s="8"/>
      <c r="O569" s="7" t="str">
        <f aca="false">IF(L569="","",IFERROR(VLOOKUP(L569,Paramètres!$F$5:$G$8,2,FALSE()),""))</f>
        <v/>
      </c>
      <c r="P569" s="9" t="str">
        <f aca="false">IF(OR(B569="",O569=""),"",IF(N569="",B569,N569)+O569)</f>
        <v/>
      </c>
      <c r="Q569" s="10"/>
      <c r="R569" s="8"/>
      <c r="S569" s="7" t="str">
        <f aca="false">IF(OR(B569="",R569=""),"",R569-B569)</f>
        <v/>
      </c>
      <c r="T569" s="7" t="str">
        <f aca="true">IF(OR(B569="",P569=""),"",IF(R569&lt;&gt;"",IF(R569&gt;P569,"Traité hors délai","Non"),IF(Q569="Classé sans suite","Non",IF(TODAY()&gt;P569,"OUI","Non"))))</f>
        <v/>
      </c>
      <c r="U569" s="11"/>
    </row>
    <row r="570" customFormat="false" ht="15" hidden="false" customHeight="false" outlineLevel="0" collapsed="false">
      <c r="A570" s="7" t="str">
        <f aca="false">IF(B570="","",YEAR(B570)&amp;"/"&amp;TEXT(ROW()-4,"0000"))</f>
        <v/>
      </c>
      <c r="B570" s="8"/>
      <c r="C570" s="7" t="str">
        <f aca="false">IF(B570="","",INT((B570-DATE(YEAR(B570-WEEKDAY(B570-1)+4),1,3)+WEEKDAY(DATE(YEAR(B570-WEEKDAY(B570-1)+4),1,3))+5)/7))</f>
        <v/>
      </c>
      <c r="D570" s="9" t="str">
        <f aca="false">IF(B570="","",B570-WEEKDAY(B570,2)+1)</f>
        <v/>
      </c>
      <c r="E570" s="10"/>
      <c r="F570" s="8"/>
      <c r="G570" s="11"/>
      <c r="H570" s="10"/>
      <c r="I570" s="11"/>
      <c r="J570" s="10"/>
      <c r="K570" s="10"/>
      <c r="L570" s="10"/>
      <c r="M570" s="11"/>
      <c r="N570" s="8"/>
      <c r="O570" s="7" t="str">
        <f aca="false">IF(L570="","",IFERROR(VLOOKUP(L570,Paramètres!$F$5:$G$8,2,FALSE()),""))</f>
        <v/>
      </c>
      <c r="P570" s="9" t="str">
        <f aca="false">IF(OR(B570="",O570=""),"",IF(N570="",B570,N570)+O570)</f>
        <v/>
      </c>
      <c r="Q570" s="10"/>
      <c r="R570" s="8"/>
      <c r="S570" s="7" t="str">
        <f aca="false">IF(OR(B570="",R570=""),"",R570-B570)</f>
        <v/>
      </c>
      <c r="T570" s="7" t="str">
        <f aca="true">IF(OR(B570="",P570=""),"",IF(R570&lt;&gt;"",IF(R570&gt;P570,"Traité hors délai","Non"),IF(Q570="Classé sans suite","Non",IF(TODAY()&gt;P570,"OUI","Non"))))</f>
        <v/>
      </c>
      <c r="U570" s="11"/>
    </row>
    <row r="571" customFormat="false" ht="15" hidden="false" customHeight="false" outlineLevel="0" collapsed="false">
      <c r="A571" s="7" t="str">
        <f aca="false">IF(B571="","",YEAR(B571)&amp;"/"&amp;TEXT(ROW()-4,"0000"))</f>
        <v/>
      </c>
      <c r="B571" s="8"/>
      <c r="C571" s="7" t="str">
        <f aca="false">IF(B571="","",INT((B571-DATE(YEAR(B571-WEEKDAY(B571-1)+4),1,3)+WEEKDAY(DATE(YEAR(B571-WEEKDAY(B571-1)+4),1,3))+5)/7))</f>
        <v/>
      </c>
      <c r="D571" s="9" t="str">
        <f aca="false">IF(B571="","",B571-WEEKDAY(B571,2)+1)</f>
        <v/>
      </c>
      <c r="E571" s="10"/>
      <c r="F571" s="8"/>
      <c r="G571" s="11"/>
      <c r="H571" s="10"/>
      <c r="I571" s="11"/>
      <c r="J571" s="10"/>
      <c r="K571" s="10"/>
      <c r="L571" s="10"/>
      <c r="M571" s="11"/>
      <c r="N571" s="8"/>
      <c r="O571" s="7" t="str">
        <f aca="false">IF(L571="","",IFERROR(VLOOKUP(L571,Paramètres!$F$5:$G$8,2,FALSE()),""))</f>
        <v/>
      </c>
      <c r="P571" s="9" t="str">
        <f aca="false">IF(OR(B571="",O571=""),"",IF(N571="",B571,N571)+O571)</f>
        <v/>
      </c>
      <c r="Q571" s="10"/>
      <c r="R571" s="8"/>
      <c r="S571" s="7" t="str">
        <f aca="false">IF(OR(B571="",R571=""),"",R571-B571)</f>
        <v/>
      </c>
      <c r="T571" s="7" t="str">
        <f aca="true">IF(OR(B571="",P571=""),"",IF(R571&lt;&gt;"",IF(R571&gt;P571,"Traité hors délai","Non"),IF(Q571="Classé sans suite","Non",IF(TODAY()&gt;P571,"OUI","Non"))))</f>
        <v/>
      </c>
      <c r="U571" s="11"/>
    </row>
    <row r="572" customFormat="false" ht="15" hidden="false" customHeight="false" outlineLevel="0" collapsed="false">
      <c r="A572" s="7" t="str">
        <f aca="false">IF(B572="","",YEAR(B572)&amp;"/"&amp;TEXT(ROW()-4,"0000"))</f>
        <v/>
      </c>
      <c r="B572" s="8"/>
      <c r="C572" s="7" t="str">
        <f aca="false">IF(B572="","",INT((B572-DATE(YEAR(B572-WEEKDAY(B572-1)+4),1,3)+WEEKDAY(DATE(YEAR(B572-WEEKDAY(B572-1)+4),1,3))+5)/7))</f>
        <v/>
      </c>
      <c r="D572" s="9" t="str">
        <f aca="false">IF(B572="","",B572-WEEKDAY(B572,2)+1)</f>
        <v/>
      </c>
      <c r="E572" s="10"/>
      <c r="F572" s="8"/>
      <c r="G572" s="11"/>
      <c r="H572" s="10"/>
      <c r="I572" s="11"/>
      <c r="J572" s="10"/>
      <c r="K572" s="10"/>
      <c r="L572" s="10"/>
      <c r="M572" s="11"/>
      <c r="N572" s="8"/>
      <c r="O572" s="7" t="str">
        <f aca="false">IF(L572="","",IFERROR(VLOOKUP(L572,Paramètres!$F$5:$G$8,2,FALSE()),""))</f>
        <v/>
      </c>
      <c r="P572" s="9" t="str">
        <f aca="false">IF(OR(B572="",O572=""),"",IF(N572="",B572,N572)+O572)</f>
        <v/>
      </c>
      <c r="Q572" s="10"/>
      <c r="R572" s="8"/>
      <c r="S572" s="7" t="str">
        <f aca="false">IF(OR(B572="",R572=""),"",R572-B572)</f>
        <v/>
      </c>
      <c r="T572" s="7" t="str">
        <f aca="true">IF(OR(B572="",P572=""),"",IF(R572&lt;&gt;"",IF(R572&gt;P572,"Traité hors délai","Non"),IF(Q572="Classé sans suite","Non",IF(TODAY()&gt;P572,"OUI","Non"))))</f>
        <v/>
      </c>
      <c r="U572" s="11"/>
    </row>
    <row r="573" customFormat="false" ht="15" hidden="false" customHeight="false" outlineLevel="0" collapsed="false">
      <c r="A573" s="7" t="str">
        <f aca="false">IF(B573="","",YEAR(B573)&amp;"/"&amp;TEXT(ROW()-4,"0000"))</f>
        <v/>
      </c>
      <c r="B573" s="8"/>
      <c r="C573" s="7" t="str">
        <f aca="false">IF(B573="","",INT((B573-DATE(YEAR(B573-WEEKDAY(B573-1)+4),1,3)+WEEKDAY(DATE(YEAR(B573-WEEKDAY(B573-1)+4),1,3))+5)/7))</f>
        <v/>
      </c>
      <c r="D573" s="9" t="str">
        <f aca="false">IF(B573="","",B573-WEEKDAY(B573,2)+1)</f>
        <v/>
      </c>
      <c r="E573" s="10"/>
      <c r="F573" s="8"/>
      <c r="G573" s="11"/>
      <c r="H573" s="10"/>
      <c r="I573" s="11"/>
      <c r="J573" s="10"/>
      <c r="K573" s="10"/>
      <c r="L573" s="10"/>
      <c r="M573" s="11"/>
      <c r="N573" s="8"/>
      <c r="O573" s="7" t="str">
        <f aca="false">IF(L573="","",IFERROR(VLOOKUP(L573,Paramètres!$F$5:$G$8,2,FALSE()),""))</f>
        <v/>
      </c>
      <c r="P573" s="9" t="str">
        <f aca="false">IF(OR(B573="",O573=""),"",IF(N573="",B573,N573)+O573)</f>
        <v/>
      </c>
      <c r="Q573" s="10"/>
      <c r="R573" s="8"/>
      <c r="S573" s="7" t="str">
        <f aca="false">IF(OR(B573="",R573=""),"",R573-B573)</f>
        <v/>
      </c>
      <c r="T573" s="7" t="str">
        <f aca="true">IF(OR(B573="",P573=""),"",IF(R573&lt;&gt;"",IF(R573&gt;P573,"Traité hors délai","Non"),IF(Q573="Classé sans suite","Non",IF(TODAY()&gt;P573,"OUI","Non"))))</f>
        <v/>
      </c>
      <c r="U573" s="11"/>
    </row>
    <row r="574" customFormat="false" ht="15" hidden="false" customHeight="false" outlineLevel="0" collapsed="false">
      <c r="A574" s="7" t="str">
        <f aca="false">IF(B574="","",YEAR(B574)&amp;"/"&amp;TEXT(ROW()-4,"0000"))</f>
        <v/>
      </c>
      <c r="B574" s="8"/>
      <c r="C574" s="7" t="str">
        <f aca="false">IF(B574="","",INT((B574-DATE(YEAR(B574-WEEKDAY(B574-1)+4),1,3)+WEEKDAY(DATE(YEAR(B574-WEEKDAY(B574-1)+4),1,3))+5)/7))</f>
        <v/>
      </c>
      <c r="D574" s="9" t="str">
        <f aca="false">IF(B574="","",B574-WEEKDAY(B574,2)+1)</f>
        <v/>
      </c>
      <c r="E574" s="10"/>
      <c r="F574" s="8"/>
      <c r="G574" s="11"/>
      <c r="H574" s="10"/>
      <c r="I574" s="11"/>
      <c r="J574" s="10"/>
      <c r="K574" s="10"/>
      <c r="L574" s="10"/>
      <c r="M574" s="11"/>
      <c r="N574" s="8"/>
      <c r="O574" s="7" t="str">
        <f aca="false">IF(L574="","",IFERROR(VLOOKUP(L574,Paramètres!$F$5:$G$8,2,FALSE()),""))</f>
        <v/>
      </c>
      <c r="P574" s="9" t="str">
        <f aca="false">IF(OR(B574="",O574=""),"",IF(N574="",B574,N574)+O574)</f>
        <v/>
      </c>
      <c r="Q574" s="10"/>
      <c r="R574" s="8"/>
      <c r="S574" s="7" t="str">
        <f aca="false">IF(OR(B574="",R574=""),"",R574-B574)</f>
        <v/>
      </c>
      <c r="T574" s="7" t="str">
        <f aca="true">IF(OR(B574="",P574=""),"",IF(R574&lt;&gt;"",IF(R574&gt;P574,"Traité hors délai","Non"),IF(Q574="Classé sans suite","Non",IF(TODAY()&gt;P574,"OUI","Non"))))</f>
        <v/>
      </c>
      <c r="U574" s="11"/>
    </row>
    <row r="575" customFormat="false" ht="15" hidden="false" customHeight="false" outlineLevel="0" collapsed="false">
      <c r="A575" s="7" t="str">
        <f aca="false">IF(B575="","",YEAR(B575)&amp;"/"&amp;TEXT(ROW()-4,"0000"))</f>
        <v/>
      </c>
      <c r="B575" s="8"/>
      <c r="C575" s="7" t="str">
        <f aca="false">IF(B575="","",INT((B575-DATE(YEAR(B575-WEEKDAY(B575-1)+4),1,3)+WEEKDAY(DATE(YEAR(B575-WEEKDAY(B575-1)+4),1,3))+5)/7))</f>
        <v/>
      </c>
      <c r="D575" s="9" t="str">
        <f aca="false">IF(B575="","",B575-WEEKDAY(B575,2)+1)</f>
        <v/>
      </c>
      <c r="E575" s="10"/>
      <c r="F575" s="8"/>
      <c r="G575" s="11"/>
      <c r="H575" s="10"/>
      <c r="I575" s="11"/>
      <c r="J575" s="10"/>
      <c r="K575" s="10"/>
      <c r="L575" s="10"/>
      <c r="M575" s="11"/>
      <c r="N575" s="8"/>
      <c r="O575" s="7" t="str">
        <f aca="false">IF(L575="","",IFERROR(VLOOKUP(L575,Paramètres!$F$5:$G$8,2,FALSE()),""))</f>
        <v/>
      </c>
      <c r="P575" s="9" t="str">
        <f aca="false">IF(OR(B575="",O575=""),"",IF(N575="",B575,N575)+O575)</f>
        <v/>
      </c>
      <c r="Q575" s="10"/>
      <c r="R575" s="8"/>
      <c r="S575" s="7" t="str">
        <f aca="false">IF(OR(B575="",R575=""),"",R575-B575)</f>
        <v/>
      </c>
      <c r="T575" s="7" t="str">
        <f aca="true">IF(OR(B575="",P575=""),"",IF(R575&lt;&gt;"",IF(R575&gt;P575,"Traité hors délai","Non"),IF(Q575="Classé sans suite","Non",IF(TODAY()&gt;P575,"OUI","Non"))))</f>
        <v/>
      </c>
      <c r="U575" s="11"/>
    </row>
    <row r="576" customFormat="false" ht="15" hidden="false" customHeight="false" outlineLevel="0" collapsed="false">
      <c r="A576" s="7" t="str">
        <f aca="false">IF(B576="","",YEAR(B576)&amp;"/"&amp;TEXT(ROW()-4,"0000"))</f>
        <v/>
      </c>
      <c r="B576" s="8"/>
      <c r="C576" s="7" t="str">
        <f aca="false">IF(B576="","",INT((B576-DATE(YEAR(B576-WEEKDAY(B576-1)+4),1,3)+WEEKDAY(DATE(YEAR(B576-WEEKDAY(B576-1)+4),1,3))+5)/7))</f>
        <v/>
      </c>
      <c r="D576" s="9" t="str">
        <f aca="false">IF(B576="","",B576-WEEKDAY(B576,2)+1)</f>
        <v/>
      </c>
      <c r="E576" s="10"/>
      <c r="F576" s="8"/>
      <c r="G576" s="11"/>
      <c r="H576" s="10"/>
      <c r="I576" s="11"/>
      <c r="J576" s="10"/>
      <c r="K576" s="10"/>
      <c r="L576" s="10"/>
      <c r="M576" s="11"/>
      <c r="N576" s="8"/>
      <c r="O576" s="7" t="str">
        <f aca="false">IF(L576="","",IFERROR(VLOOKUP(L576,Paramètres!$F$5:$G$8,2,FALSE()),""))</f>
        <v/>
      </c>
      <c r="P576" s="9" t="str">
        <f aca="false">IF(OR(B576="",O576=""),"",IF(N576="",B576,N576)+O576)</f>
        <v/>
      </c>
      <c r="Q576" s="10"/>
      <c r="R576" s="8"/>
      <c r="S576" s="7" t="str">
        <f aca="false">IF(OR(B576="",R576=""),"",R576-B576)</f>
        <v/>
      </c>
      <c r="T576" s="7" t="str">
        <f aca="true">IF(OR(B576="",P576=""),"",IF(R576&lt;&gt;"",IF(R576&gt;P576,"Traité hors délai","Non"),IF(Q576="Classé sans suite","Non",IF(TODAY()&gt;P576,"OUI","Non"))))</f>
        <v/>
      </c>
      <c r="U576" s="11"/>
    </row>
    <row r="577" customFormat="false" ht="15" hidden="false" customHeight="false" outlineLevel="0" collapsed="false">
      <c r="A577" s="7" t="str">
        <f aca="false">IF(B577="","",YEAR(B577)&amp;"/"&amp;TEXT(ROW()-4,"0000"))</f>
        <v/>
      </c>
      <c r="B577" s="8"/>
      <c r="C577" s="7" t="str">
        <f aca="false">IF(B577="","",INT((B577-DATE(YEAR(B577-WEEKDAY(B577-1)+4),1,3)+WEEKDAY(DATE(YEAR(B577-WEEKDAY(B577-1)+4),1,3))+5)/7))</f>
        <v/>
      </c>
      <c r="D577" s="9" t="str">
        <f aca="false">IF(B577="","",B577-WEEKDAY(B577,2)+1)</f>
        <v/>
      </c>
      <c r="E577" s="10"/>
      <c r="F577" s="8"/>
      <c r="G577" s="11"/>
      <c r="H577" s="10"/>
      <c r="I577" s="11"/>
      <c r="J577" s="10"/>
      <c r="K577" s="10"/>
      <c r="L577" s="10"/>
      <c r="M577" s="11"/>
      <c r="N577" s="8"/>
      <c r="O577" s="7" t="str">
        <f aca="false">IF(L577="","",IFERROR(VLOOKUP(L577,Paramètres!$F$5:$G$8,2,FALSE()),""))</f>
        <v/>
      </c>
      <c r="P577" s="9" t="str">
        <f aca="false">IF(OR(B577="",O577=""),"",IF(N577="",B577,N577)+O577)</f>
        <v/>
      </c>
      <c r="Q577" s="10"/>
      <c r="R577" s="8"/>
      <c r="S577" s="7" t="str">
        <f aca="false">IF(OR(B577="",R577=""),"",R577-B577)</f>
        <v/>
      </c>
      <c r="T577" s="7" t="str">
        <f aca="true">IF(OR(B577="",P577=""),"",IF(R577&lt;&gt;"",IF(R577&gt;P577,"Traité hors délai","Non"),IF(Q577="Classé sans suite","Non",IF(TODAY()&gt;P577,"OUI","Non"))))</f>
        <v/>
      </c>
      <c r="U577" s="11"/>
    </row>
    <row r="578" customFormat="false" ht="15" hidden="false" customHeight="false" outlineLevel="0" collapsed="false">
      <c r="A578" s="7" t="str">
        <f aca="false">IF(B578="","",YEAR(B578)&amp;"/"&amp;TEXT(ROW()-4,"0000"))</f>
        <v/>
      </c>
      <c r="B578" s="8"/>
      <c r="C578" s="7" t="str">
        <f aca="false">IF(B578="","",INT((B578-DATE(YEAR(B578-WEEKDAY(B578-1)+4),1,3)+WEEKDAY(DATE(YEAR(B578-WEEKDAY(B578-1)+4),1,3))+5)/7))</f>
        <v/>
      </c>
      <c r="D578" s="9" t="str">
        <f aca="false">IF(B578="","",B578-WEEKDAY(B578,2)+1)</f>
        <v/>
      </c>
      <c r="E578" s="10"/>
      <c r="F578" s="8"/>
      <c r="G578" s="11"/>
      <c r="H578" s="10"/>
      <c r="I578" s="11"/>
      <c r="J578" s="10"/>
      <c r="K578" s="10"/>
      <c r="L578" s="10"/>
      <c r="M578" s="11"/>
      <c r="N578" s="8"/>
      <c r="O578" s="7" t="str">
        <f aca="false">IF(L578="","",IFERROR(VLOOKUP(L578,Paramètres!$F$5:$G$8,2,FALSE()),""))</f>
        <v/>
      </c>
      <c r="P578" s="9" t="str">
        <f aca="false">IF(OR(B578="",O578=""),"",IF(N578="",B578,N578)+O578)</f>
        <v/>
      </c>
      <c r="Q578" s="10"/>
      <c r="R578" s="8"/>
      <c r="S578" s="7" t="str">
        <f aca="false">IF(OR(B578="",R578=""),"",R578-B578)</f>
        <v/>
      </c>
      <c r="T578" s="7" t="str">
        <f aca="true">IF(OR(B578="",P578=""),"",IF(R578&lt;&gt;"",IF(R578&gt;P578,"Traité hors délai","Non"),IF(Q578="Classé sans suite","Non",IF(TODAY()&gt;P578,"OUI","Non"))))</f>
        <v/>
      </c>
      <c r="U578" s="11"/>
    </row>
    <row r="579" customFormat="false" ht="15" hidden="false" customHeight="false" outlineLevel="0" collapsed="false">
      <c r="A579" s="7" t="str">
        <f aca="false">IF(B579="","",YEAR(B579)&amp;"/"&amp;TEXT(ROW()-4,"0000"))</f>
        <v/>
      </c>
      <c r="B579" s="8"/>
      <c r="C579" s="7" t="str">
        <f aca="false">IF(B579="","",INT((B579-DATE(YEAR(B579-WEEKDAY(B579-1)+4),1,3)+WEEKDAY(DATE(YEAR(B579-WEEKDAY(B579-1)+4),1,3))+5)/7))</f>
        <v/>
      </c>
      <c r="D579" s="9" t="str">
        <f aca="false">IF(B579="","",B579-WEEKDAY(B579,2)+1)</f>
        <v/>
      </c>
      <c r="E579" s="10"/>
      <c r="F579" s="8"/>
      <c r="G579" s="11"/>
      <c r="H579" s="10"/>
      <c r="I579" s="11"/>
      <c r="J579" s="10"/>
      <c r="K579" s="10"/>
      <c r="L579" s="10"/>
      <c r="M579" s="11"/>
      <c r="N579" s="8"/>
      <c r="O579" s="7" t="str">
        <f aca="false">IF(L579="","",IFERROR(VLOOKUP(L579,Paramètres!$F$5:$G$8,2,FALSE()),""))</f>
        <v/>
      </c>
      <c r="P579" s="9" t="str">
        <f aca="false">IF(OR(B579="",O579=""),"",IF(N579="",B579,N579)+O579)</f>
        <v/>
      </c>
      <c r="Q579" s="10"/>
      <c r="R579" s="8"/>
      <c r="S579" s="7" t="str">
        <f aca="false">IF(OR(B579="",R579=""),"",R579-B579)</f>
        <v/>
      </c>
      <c r="T579" s="7" t="str">
        <f aca="true">IF(OR(B579="",P579=""),"",IF(R579&lt;&gt;"",IF(R579&gt;P579,"Traité hors délai","Non"),IF(Q579="Classé sans suite","Non",IF(TODAY()&gt;P579,"OUI","Non"))))</f>
        <v/>
      </c>
      <c r="U579" s="11"/>
    </row>
    <row r="580" customFormat="false" ht="15" hidden="false" customHeight="false" outlineLevel="0" collapsed="false">
      <c r="A580" s="7" t="str">
        <f aca="false">IF(B580="","",YEAR(B580)&amp;"/"&amp;TEXT(ROW()-4,"0000"))</f>
        <v/>
      </c>
      <c r="B580" s="8"/>
      <c r="C580" s="7" t="str">
        <f aca="false">IF(B580="","",INT((B580-DATE(YEAR(B580-WEEKDAY(B580-1)+4),1,3)+WEEKDAY(DATE(YEAR(B580-WEEKDAY(B580-1)+4),1,3))+5)/7))</f>
        <v/>
      </c>
      <c r="D580" s="9" t="str">
        <f aca="false">IF(B580="","",B580-WEEKDAY(B580,2)+1)</f>
        <v/>
      </c>
      <c r="E580" s="10"/>
      <c r="F580" s="8"/>
      <c r="G580" s="11"/>
      <c r="H580" s="10"/>
      <c r="I580" s="11"/>
      <c r="J580" s="10"/>
      <c r="K580" s="10"/>
      <c r="L580" s="10"/>
      <c r="M580" s="11"/>
      <c r="N580" s="8"/>
      <c r="O580" s="7" t="str">
        <f aca="false">IF(L580="","",IFERROR(VLOOKUP(L580,Paramètres!$F$5:$G$8,2,FALSE()),""))</f>
        <v/>
      </c>
      <c r="P580" s="9" t="str">
        <f aca="false">IF(OR(B580="",O580=""),"",IF(N580="",B580,N580)+O580)</f>
        <v/>
      </c>
      <c r="Q580" s="10"/>
      <c r="R580" s="8"/>
      <c r="S580" s="7" t="str">
        <f aca="false">IF(OR(B580="",R580=""),"",R580-B580)</f>
        <v/>
      </c>
      <c r="T580" s="7" t="str">
        <f aca="true">IF(OR(B580="",P580=""),"",IF(R580&lt;&gt;"",IF(R580&gt;P580,"Traité hors délai","Non"),IF(Q580="Classé sans suite","Non",IF(TODAY()&gt;P580,"OUI","Non"))))</f>
        <v/>
      </c>
      <c r="U580" s="11"/>
    </row>
    <row r="581" customFormat="false" ht="15" hidden="false" customHeight="false" outlineLevel="0" collapsed="false">
      <c r="A581" s="7" t="str">
        <f aca="false">IF(B581="","",YEAR(B581)&amp;"/"&amp;TEXT(ROW()-4,"0000"))</f>
        <v/>
      </c>
      <c r="B581" s="8"/>
      <c r="C581" s="7" t="str">
        <f aca="false">IF(B581="","",INT((B581-DATE(YEAR(B581-WEEKDAY(B581-1)+4),1,3)+WEEKDAY(DATE(YEAR(B581-WEEKDAY(B581-1)+4),1,3))+5)/7))</f>
        <v/>
      </c>
      <c r="D581" s="9" t="str">
        <f aca="false">IF(B581="","",B581-WEEKDAY(B581,2)+1)</f>
        <v/>
      </c>
      <c r="E581" s="10"/>
      <c r="F581" s="8"/>
      <c r="G581" s="11"/>
      <c r="H581" s="10"/>
      <c r="I581" s="11"/>
      <c r="J581" s="10"/>
      <c r="K581" s="10"/>
      <c r="L581" s="10"/>
      <c r="M581" s="11"/>
      <c r="N581" s="8"/>
      <c r="O581" s="7" t="str">
        <f aca="false">IF(L581="","",IFERROR(VLOOKUP(L581,Paramètres!$F$5:$G$8,2,FALSE()),""))</f>
        <v/>
      </c>
      <c r="P581" s="9" t="str">
        <f aca="false">IF(OR(B581="",O581=""),"",IF(N581="",B581,N581)+O581)</f>
        <v/>
      </c>
      <c r="Q581" s="10"/>
      <c r="R581" s="8"/>
      <c r="S581" s="7" t="str">
        <f aca="false">IF(OR(B581="",R581=""),"",R581-B581)</f>
        <v/>
      </c>
      <c r="T581" s="7" t="str">
        <f aca="true">IF(OR(B581="",P581=""),"",IF(R581&lt;&gt;"",IF(R581&gt;P581,"Traité hors délai","Non"),IF(Q581="Classé sans suite","Non",IF(TODAY()&gt;P581,"OUI","Non"))))</f>
        <v/>
      </c>
      <c r="U581" s="11"/>
    </row>
    <row r="582" customFormat="false" ht="15" hidden="false" customHeight="false" outlineLevel="0" collapsed="false">
      <c r="A582" s="7" t="str">
        <f aca="false">IF(B582="","",YEAR(B582)&amp;"/"&amp;TEXT(ROW()-4,"0000"))</f>
        <v/>
      </c>
      <c r="B582" s="8"/>
      <c r="C582" s="7" t="str">
        <f aca="false">IF(B582="","",INT((B582-DATE(YEAR(B582-WEEKDAY(B582-1)+4),1,3)+WEEKDAY(DATE(YEAR(B582-WEEKDAY(B582-1)+4),1,3))+5)/7))</f>
        <v/>
      </c>
      <c r="D582" s="9" t="str">
        <f aca="false">IF(B582="","",B582-WEEKDAY(B582,2)+1)</f>
        <v/>
      </c>
      <c r="E582" s="10"/>
      <c r="F582" s="8"/>
      <c r="G582" s="11"/>
      <c r="H582" s="10"/>
      <c r="I582" s="11"/>
      <c r="J582" s="10"/>
      <c r="K582" s="10"/>
      <c r="L582" s="10"/>
      <c r="M582" s="11"/>
      <c r="N582" s="8"/>
      <c r="O582" s="7" t="str">
        <f aca="false">IF(L582="","",IFERROR(VLOOKUP(L582,Paramètres!$F$5:$G$8,2,FALSE()),""))</f>
        <v/>
      </c>
      <c r="P582" s="9" t="str">
        <f aca="false">IF(OR(B582="",O582=""),"",IF(N582="",B582,N582)+O582)</f>
        <v/>
      </c>
      <c r="Q582" s="10"/>
      <c r="R582" s="8"/>
      <c r="S582" s="7" t="str">
        <f aca="false">IF(OR(B582="",R582=""),"",R582-B582)</f>
        <v/>
      </c>
      <c r="T582" s="7" t="str">
        <f aca="true">IF(OR(B582="",P582=""),"",IF(R582&lt;&gt;"",IF(R582&gt;P582,"Traité hors délai","Non"),IF(Q582="Classé sans suite","Non",IF(TODAY()&gt;P582,"OUI","Non"))))</f>
        <v/>
      </c>
      <c r="U582" s="11"/>
    </row>
    <row r="583" customFormat="false" ht="15" hidden="false" customHeight="false" outlineLevel="0" collapsed="false">
      <c r="A583" s="7" t="str">
        <f aca="false">IF(B583="","",YEAR(B583)&amp;"/"&amp;TEXT(ROW()-4,"0000"))</f>
        <v/>
      </c>
      <c r="B583" s="8"/>
      <c r="C583" s="7" t="str">
        <f aca="false">IF(B583="","",INT((B583-DATE(YEAR(B583-WEEKDAY(B583-1)+4),1,3)+WEEKDAY(DATE(YEAR(B583-WEEKDAY(B583-1)+4),1,3))+5)/7))</f>
        <v/>
      </c>
      <c r="D583" s="9" t="str">
        <f aca="false">IF(B583="","",B583-WEEKDAY(B583,2)+1)</f>
        <v/>
      </c>
      <c r="E583" s="10"/>
      <c r="F583" s="8"/>
      <c r="G583" s="11"/>
      <c r="H583" s="10"/>
      <c r="I583" s="11"/>
      <c r="J583" s="10"/>
      <c r="K583" s="10"/>
      <c r="L583" s="10"/>
      <c r="M583" s="11"/>
      <c r="N583" s="8"/>
      <c r="O583" s="7" t="str">
        <f aca="false">IF(L583="","",IFERROR(VLOOKUP(L583,Paramètres!$F$5:$G$8,2,FALSE()),""))</f>
        <v/>
      </c>
      <c r="P583" s="9" t="str">
        <f aca="false">IF(OR(B583="",O583=""),"",IF(N583="",B583,N583)+O583)</f>
        <v/>
      </c>
      <c r="Q583" s="10"/>
      <c r="R583" s="8"/>
      <c r="S583" s="7" t="str">
        <f aca="false">IF(OR(B583="",R583=""),"",R583-B583)</f>
        <v/>
      </c>
      <c r="T583" s="7" t="str">
        <f aca="true">IF(OR(B583="",P583=""),"",IF(R583&lt;&gt;"",IF(R583&gt;P583,"Traité hors délai","Non"),IF(Q583="Classé sans suite","Non",IF(TODAY()&gt;P583,"OUI","Non"))))</f>
        <v/>
      </c>
      <c r="U583" s="11"/>
    </row>
    <row r="584" customFormat="false" ht="15" hidden="false" customHeight="false" outlineLevel="0" collapsed="false">
      <c r="A584" s="7" t="str">
        <f aca="false">IF(B584="","",YEAR(B584)&amp;"/"&amp;TEXT(ROW()-4,"0000"))</f>
        <v/>
      </c>
      <c r="B584" s="8"/>
      <c r="C584" s="7" t="str">
        <f aca="false">IF(B584="","",INT((B584-DATE(YEAR(B584-WEEKDAY(B584-1)+4),1,3)+WEEKDAY(DATE(YEAR(B584-WEEKDAY(B584-1)+4),1,3))+5)/7))</f>
        <v/>
      </c>
      <c r="D584" s="9" t="str">
        <f aca="false">IF(B584="","",B584-WEEKDAY(B584,2)+1)</f>
        <v/>
      </c>
      <c r="E584" s="10"/>
      <c r="F584" s="8"/>
      <c r="G584" s="11"/>
      <c r="H584" s="10"/>
      <c r="I584" s="11"/>
      <c r="J584" s="10"/>
      <c r="K584" s="10"/>
      <c r="L584" s="10"/>
      <c r="M584" s="11"/>
      <c r="N584" s="8"/>
      <c r="O584" s="7" t="str">
        <f aca="false">IF(L584="","",IFERROR(VLOOKUP(L584,Paramètres!$F$5:$G$8,2,FALSE()),""))</f>
        <v/>
      </c>
      <c r="P584" s="9" t="str">
        <f aca="false">IF(OR(B584="",O584=""),"",IF(N584="",B584,N584)+O584)</f>
        <v/>
      </c>
      <c r="Q584" s="10"/>
      <c r="R584" s="8"/>
      <c r="S584" s="7" t="str">
        <f aca="false">IF(OR(B584="",R584=""),"",R584-B584)</f>
        <v/>
      </c>
      <c r="T584" s="7" t="str">
        <f aca="true">IF(OR(B584="",P584=""),"",IF(R584&lt;&gt;"",IF(R584&gt;P584,"Traité hors délai","Non"),IF(Q584="Classé sans suite","Non",IF(TODAY()&gt;P584,"OUI","Non"))))</f>
        <v/>
      </c>
      <c r="U584" s="11"/>
    </row>
    <row r="585" customFormat="false" ht="15" hidden="false" customHeight="false" outlineLevel="0" collapsed="false">
      <c r="A585" s="7" t="str">
        <f aca="false">IF(B585="","",YEAR(B585)&amp;"/"&amp;TEXT(ROW()-4,"0000"))</f>
        <v/>
      </c>
      <c r="B585" s="8"/>
      <c r="C585" s="7" t="str">
        <f aca="false">IF(B585="","",INT((B585-DATE(YEAR(B585-WEEKDAY(B585-1)+4),1,3)+WEEKDAY(DATE(YEAR(B585-WEEKDAY(B585-1)+4),1,3))+5)/7))</f>
        <v/>
      </c>
      <c r="D585" s="9" t="str">
        <f aca="false">IF(B585="","",B585-WEEKDAY(B585,2)+1)</f>
        <v/>
      </c>
      <c r="E585" s="10"/>
      <c r="F585" s="8"/>
      <c r="G585" s="11"/>
      <c r="H585" s="10"/>
      <c r="I585" s="11"/>
      <c r="J585" s="10"/>
      <c r="K585" s="10"/>
      <c r="L585" s="10"/>
      <c r="M585" s="11"/>
      <c r="N585" s="8"/>
      <c r="O585" s="7" t="str">
        <f aca="false">IF(L585="","",IFERROR(VLOOKUP(L585,Paramètres!$F$5:$G$8,2,FALSE()),""))</f>
        <v/>
      </c>
      <c r="P585" s="9" t="str">
        <f aca="false">IF(OR(B585="",O585=""),"",IF(N585="",B585,N585)+O585)</f>
        <v/>
      </c>
      <c r="Q585" s="10"/>
      <c r="R585" s="8"/>
      <c r="S585" s="7" t="str">
        <f aca="false">IF(OR(B585="",R585=""),"",R585-B585)</f>
        <v/>
      </c>
      <c r="T585" s="7" t="str">
        <f aca="true">IF(OR(B585="",P585=""),"",IF(R585&lt;&gt;"",IF(R585&gt;P585,"Traité hors délai","Non"),IF(Q585="Classé sans suite","Non",IF(TODAY()&gt;P585,"OUI","Non"))))</f>
        <v/>
      </c>
      <c r="U585" s="11"/>
    </row>
    <row r="586" customFormat="false" ht="15" hidden="false" customHeight="false" outlineLevel="0" collapsed="false">
      <c r="A586" s="7" t="str">
        <f aca="false">IF(B586="","",YEAR(B586)&amp;"/"&amp;TEXT(ROW()-4,"0000"))</f>
        <v/>
      </c>
      <c r="B586" s="8"/>
      <c r="C586" s="7" t="str">
        <f aca="false">IF(B586="","",INT((B586-DATE(YEAR(B586-WEEKDAY(B586-1)+4),1,3)+WEEKDAY(DATE(YEAR(B586-WEEKDAY(B586-1)+4),1,3))+5)/7))</f>
        <v/>
      </c>
      <c r="D586" s="9" t="str">
        <f aca="false">IF(B586="","",B586-WEEKDAY(B586,2)+1)</f>
        <v/>
      </c>
      <c r="E586" s="10"/>
      <c r="F586" s="8"/>
      <c r="G586" s="11"/>
      <c r="H586" s="10"/>
      <c r="I586" s="11"/>
      <c r="J586" s="10"/>
      <c r="K586" s="10"/>
      <c r="L586" s="10"/>
      <c r="M586" s="11"/>
      <c r="N586" s="8"/>
      <c r="O586" s="7" t="str">
        <f aca="false">IF(L586="","",IFERROR(VLOOKUP(L586,Paramètres!$F$5:$G$8,2,FALSE()),""))</f>
        <v/>
      </c>
      <c r="P586" s="9" t="str">
        <f aca="false">IF(OR(B586="",O586=""),"",IF(N586="",B586,N586)+O586)</f>
        <v/>
      </c>
      <c r="Q586" s="10"/>
      <c r="R586" s="8"/>
      <c r="S586" s="7" t="str">
        <f aca="false">IF(OR(B586="",R586=""),"",R586-B586)</f>
        <v/>
      </c>
      <c r="T586" s="7" t="str">
        <f aca="true">IF(OR(B586="",P586=""),"",IF(R586&lt;&gt;"",IF(R586&gt;P586,"Traité hors délai","Non"),IF(Q586="Classé sans suite","Non",IF(TODAY()&gt;P586,"OUI","Non"))))</f>
        <v/>
      </c>
      <c r="U586" s="11"/>
    </row>
    <row r="587" customFormat="false" ht="15" hidden="false" customHeight="false" outlineLevel="0" collapsed="false">
      <c r="A587" s="7" t="str">
        <f aca="false">IF(B587="","",YEAR(B587)&amp;"/"&amp;TEXT(ROW()-4,"0000"))</f>
        <v/>
      </c>
      <c r="B587" s="8"/>
      <c r="C587" s="7" t="str">
        <f aca="false">IF(B587="","",INT((B587-DATE(YEAR(B587-WEEKDAY(B587-1)+4),1,3)+WEEKDAY(DATE(YEAR(B587-WEEKDAY(B587-1)+4),1,3))+5)/7))</f>
        <v/>
      </c>
      <c r="D587" s="9" t="str">
        <f aca="false">IF(B587="","",B587-WEEKDAY(B587,2)+1)</f>
        <v/>
      </c>
      <c r="E587" s="10"/>
      <c r="F587" s="8"/>
      <c r="G587" s="11"/>
      <c r="H587" s="10"/>
      <c r="I587" s="11"/>
      <c r="J587" s="10"/>
      <c r="K587" s="10"/>
      <c r="L587" s="10"/>
      <c r="M587" s="11"/>
      <c r="N587" s="8"/>
      <c r="O587" s="7" t="str">
        <f aca="false">IF(L587="","",IFERROR(VLOOKUP(L587,Paramètres!$F$5:$G$8,2,FALSE()),""))</f>
        <v/>
      </c>
      <c r="P587" s="9" t="str">
        <f aca="false">IF(OR(B587="",O587=""),"",IF(N587="",B587,N587)+O587)</f>
        <v/>
      </c>
      <c r="Q587" s="10"/>
      <c r="R587" s="8"/>
      <c r="S587" s="7" t="str">
        <f aca="false">IF(OR(B587="",R587=""),"",R587-B587)</f>
        <v/>
      </c>
      <c r="T587" s="7" t="str">
        <f aca="true">IF(OR(B587="",P587=""),"",IF(R587&lt;&gt;"",IF(R587&gt;P587,"Traité hors délai","Non"),IF(Q587="Classé sans suite","Non",IF(TODAY()&gt;P587,"OUI","Non"))))</f>
        <v/>
      </c>
      <c r="U587" s="11"/>
    </row>
    <row r="588" customFormat="false" ht="15" hidden="false" customHeight="false" outlineLevel="0" collapsed="false">
      <c r="A588" s="7" t="str">
        <f aca="false">IF(B588="","",YEAR(B588)&amp;"/"&amp;TEXT(ROW()-4,"0000"))</f>
        <v/>
      </c>
      <c r="B588" s="8"/>
      <c r="C588" s="7" t="str">
        <f aca="false">IF(B588="","",INT((B588-DATE(YEAR(B588-WEEKDAY(B588-1)+4),1,3)+WEEKDAY(DATE(YEAR(B588-WEEKDAY(B588-1)+4),1,3))+5)/7))</f>
        <v/>
      </c>
      <c r="D588" s="9" t="str">
        <f aca="false">IF(B588="","",B588-WEEKDAY(B588,2)+1)</f>
        <v/>
      </c>
      <c r="E588" s="10"/>
      <c r="F588" s="8"/>
      <c r="G588" s="11"/>
      <c r="H588" s="10"/>
      <c r="I588" s="11"/>
      <c r="J588" s="10"/>
      <c r="K588" s="10"/>
      <c r="L588" s="10"/>
      <c r="M588" s="11"/>
      <c r="N588" s="8"/>
      <c r="O588" s="7" t="str">
        <f aca="false">IF(L588="","",IFERROR(VLOOKUP(L588,Paramètres!$F$5:$G$8,2,FALSE()),""))</f>
        <v/>
      </c>
      <c r="P588" s="9" t="str">
        <f aca="false">IF(OR(B588="",O588=""),"",IF(N588="",B588,N588)+O588)</f>
        <v/>
      </c>
      <c r="Q588" s="10"/>
      <c r="R588" s="8"/>
      <c r="S588" s="7" t="str">
        <f aca="false">IF(OR(B588="",R588=""),"",R588-B588)</f>
        <v/>
      </c>
      <c r="T588" s="7" t="str">
        <f aca="true">IF(OR(B588="",P588=""),"",IF(R588&lt;&gt;"",IF(R588&gt;P588,"Traité hors délai","Non"),IF(Q588="Classé sans suite","Non",IF(TODAY()&gt;P588,"OUI","Non"))))</f>
        <v/>
      </c>
      <c r="U588" s="11"/>
    </row>
    <row r="589" customFormat="false" ht="15" hidden="false" customHeight="false" outlineLevel="0" collapsed="false">
      <c r="A589" s="7" t="str">
        <f aca="false">IF(B589="","",YEAR(B589)&amp;"/"&amp;TEXT(ROW()-4,"0000"))</f>
        <v/>
      </c>
      <c r="B589" s="8"/>
      <c r="C589" s="7" t="str">
        <f aca="false">IF(B589="","",INT((B589-DATE(YEAR(B589-WEEKDAY(B589-1)+4),1,3)+WEEKDAY(DATE(YEAR(B589-WEEKDAY(B589-1)+4),1,3))+5)/7))</f>
        <v/>
      </c>
      <c r="D589" s="9" t="str">
        <f aca="false">IF(B589="","",B589-WEEKDAY(B589,2)+1)</f>
        <v/>
      </c>
      <c r="E589" s="10"/>
      <c r="F589" s="8"/>
      <c r="G589" s="11"/>
      <c r="H589" s="10"/>
      <c r="I589" s="11"/>
      <c r="J589" s="10"/>
      <c r="K589" s="10"/>
      <c r="L589" s="10"/>
      <c r="M589" s="11"/>
      <c r="N589" s="8"/>
      <c r="O589" s="7" t="str">
        <f aca="false">IF(L589="","",IFERROR(VLOOKUP(L589,Paramètres!$F$5:$G$8,2,FALSE()),""))</f>
        <v/>
      </c>
      <c r="P589" s="9" t="str">
        <f aca="false">IF(OR(B589="",O589=""),"",IF(N589="",B589,N589)+O589)</f>
        <v/>
      </c>
      <c r="Q589" s="10"/>
      <c r="R589" s="8"/>
      <c r="S589" s="7" t="str">
        <f aca="false">IF(OR(B589="",R589=""),"",R589-B589)</f>
        <v/>
      </c>
      <c r="T589" s="7" t="str">
        <f aca="true">IF(OR(B589="",P589=""),"",IF(R589&lt;&gt;"",IF(R589&gt;P589,"Traité hors délai","Non"),IF(Q589="Classé sans suite","Non",IF(TODAY()&gt;P589,"OUI","Non"))))</f>
        <v/>
      </c>
      <c r="U589" s="11"/>
    </row>
    <row r="590" customFormat="false" ht="15" hidden="false" customHeight="false" outlineLevel="0" collapsed="false">
      <c r="A590" s="7" t="str">
        <f aca="false">IF(B590="","",YEAR(B590)&amp;"/"&amp;TEXT(ROW()-4,"0000"))</f>
        <v/>
      </c>
      <c r="B590" s="8"/>
      <c r="C590" s="7" t="str">
        <f aca="false">IF(B590="","",INT((B590-DATE(YEAR(B590-WEEKDAY(B590-1)+4),1,3)+WEEKDAY(DATE(YEAR(B590-WEEKDAY(B590-1)+4),1,3))+5)/7))</f>
        <v/>
      </c>
      <c r="D590" s="9" t="str">
        <f aca="false">IF(B590="","",B590-WEEKDAY(B590,2)+1)</f>
        <v/>
      </c>
      <c r="E590" s="10"/>
      <c r="F590" s="8"/>
      <c r="G590" s="11"/>
      <c r="H590" s="10"/>
      <c r="I590" s="11"/>
      <c r="J590" s="10"/>
      <c r="K590" s="10"/>
      <c r="L590" s="10"/>
      <c r="M590" s="11"/>
      <c r="N590" s="8"/>
      <c r="O590" s="7" t="str">
        <f aca="false">IF(L590="","",IFERROR(VLOOKUP(L590,Paramètres!$F$5:$G$8,2,FALSE()),""))</f>
        <v/>
      </c>
      <c r="P590" s="9" t="str">
        <f aca="false">IF(OR(B590="",O590=""),"",IF(N590="",B590,N590)+O590)</f>
        <v/>
      </c>
      <c r="Q590" s="10"/>
      <c r="R590" s="8"/>
      <c r="S590" s="7" t="str">
        <f aca="false">IF(OR(B590="",R590=""),"",R590-B590)</f>
        <v/>
      </c>
      <c r="T590" s="7" t="str">
        <f aca="true">IF(OR(B590="",P590=""),"",IF(R590&lt;&gt;"",IF(R590&gt;P590,"Traité hors délai","Non"),IF(Q590="Classé sans suite","Non",IF(TODAY()&gt;P590,"OUI","Non"))))</f>
        <v/>
      </c>
      <c r="U590" s="11"/>
    </row>
    <row r="591" customFormat="false" ht="15" hidden="false" customHeight="false" outlineLevel="0" collapsed="false">
      <c r="A591" s="7" t="str">
        <f aca="false">IF(B591="","",YEAR(B591)&amp;"/"&amp;TEXT(ROW()-4,"0000"))</f>
        <v/>
      </c>
      <c r="B591" s="8"/>
      <c r="C591" s="7" t="str">
        <f aca="false">IF(B591="","",INT((B591-DATE(YEAR(B591-WEEKDAY(B591-1)+4),1,3)+WEEKDAY(DATE(YEAR(B591-WEEKDAY(B591-1)+4),1,3))+5)/7))</f>
        <v/>
      </c>
      <c r="D591" s="9" t="str">
        <f aca="false">IF(B591="","",B591-WEEKDAY(B591,2)+1)</f>
        <v/>
      </c>
      <c r="E591" s="10"/>
      <c r="F591" s="8"/>
      <c r="G591" s="11"/>
      <c r="H591" s="10"/>
      <c r="I591" s="11"/>
      <c r="J591" s="10"/>
      <c r="K591" s="10"/>
      <c r="L591" s="10"/>
      <c r="M591" s="11"/>
      <c r="N591" s="8"/>
      <c r="O591" s="7" t="str">
        <f aca="false">IF(L591="","",IFERROR(VLOOKUP(L591,Paramètres!$F$5:$G$8,2,FALSE()),""))</f>
        <v/>
      </c>
      <c r="P591" s="9" t="str">
        <f aca="false">IF(OR(B591="",O591=""),"",IF(N591="",B591,N591)+O591)</f>
        <v/>
      </c>
      <c r="Q591" s="10"/>
      <c r="R591" s="8"/>
      <c r="S591" s="7" t="str">
        <f aca="false">IF(OR(B591="",R591=""),"",R591-B591)</f>
        <v/>
      </c>
      <c r="T591" s="7" t="str">
        <f aca="true">IF(OR(B591="",P591=""),"",IF(R591&lt;&gt;"",IF(R591&gt;P591,"Traité hors délai","Non"),IF(Q591="Classé sans suite","Non",IF(TODAY()&gt;P591,"OUI","Non"))))</f>
        <v/>
      </c>
      <c r="U591" s="11"/>
    </row>
    <row r="592" customFormat="false" ht="15" hidden="false" customHeight="false" outlineLevel="0" collapsed="false">
      <c r="A592" s="7" t="str">
        <f aca="false">IF(B592="","",YEAR(B592)&amp;"/"&amp;TEXT(ROW()-4,"0000"))</f>
        <v/>
      </c>
      <c r="B592" s="8"/>
      <c r="C592" s="7" t="str">
        <f aca="false">IF(B592="","",INT((B592-DATE(YEAR(B592-WEEKDAY(B592-1)+4),1,3)+WEEKDAY(DATE(YEAR(B592-WEEKDAY(B592-1)+4),1,3))+5)/7))</f>
        <v/>
      </c>
      <c r="D592" s="9" t="str">
        <f aca="false">IF(B592="","",B592-WEEKDAY(B592,2)+1)</f>
        <v/>
      </c>
      <c r="E592" s="10"/>
      <c r="F592" s="8"/>
      <c r="G592" s="11"/>
      <c r="H592" s="10"/>
      <c r="I592" s="11"/>
      <c r="J592" s="10"/>
      <c r="K592" s="10"/>
      <c r="L592" s="10"/>
      <c r="M592" s="11"/>
      <c r="N592" s="8"/>
      <c r="O592" s="7" t="str">
        <f aca="false">IF(L592="","",IFERROR(VLOOKUP(L592,Paramètres!$F$5:$G$8,2,FALSE()),""))</f>
        <v/>
      </c>
      <c r="P592" s="9" t="str">
        <f aca="false">IF(OR(B592="",O592=""),"",IF(N592="",B592,N592)+O592)</f>
        <v/>
      </c>
      <c r="Q592" s="10"/>
      <c r="R592" s="8"/>
      <c r="S592" s="7" t="str">
        <f aca="false">IF(OR(B592="",R592=""),"",R592-B592)</f>
        <v/>
      </c>
      <c r="T592" s="7" t="str">
        <f aca="true">IF(OR(B592="",P592=""),"",IF(R592&lt;&gt;"",IF(R592&gt;P592,"Traité hors délai","Non"),IF(Q592="Classé sans suite","Non",IF(TODAY()&gt;P592,"OUI","Non"))))</f>
        <v/>
      </c>
      <c r="U592" s="11"/>
    </row>
    <row r="593" customFormat="false" ht="15" hidden="false" customHeight="false" outlineLevel="0" collapsed="false">
      <c r="A593" s="7" t="str">
        <f aca="false">IF(B593="","",YEAR(B593)&amp;"/"&amp;TEXT(ROW()-4,"0000"))</f>
        <v/>
      </c>
      <c r="B593" s="8"/>
      <c r="C593" s="7" t="str">
        <f aca="false">IF(B593="","",INT((B593-DATE(YEAR(B593-WEEKDAY(B593-1)+4),1,3)+WEEKDAY(DATE(YEAR(B593-WEEKDAY(B593-1)+4),1,3))+5)/7))</f>
        <v/>
      </c>
      <c r="D593" s="9" t="str">
        <f aca="false">IF(B593="","",B593-WEEKDAY(B593,2)+1)</f>
        <v/>
      </c>
      <c r="E593" s="10"/>
      <c r="F593" s="8"/>
      <c r="G593" s="11"/>
      <c r="H593" s="10"/>
      <c r="I593" s="11"/>
      <c r="J593" s="10"/>
      <c r="K593" s="10"/>
      <c r="L593" s="10"/>
      <c r="M593" s="11"/>
      <c r="N593" s="8"/>
      <c r="O593" s="7" t="str">
        <f aca="false">IF(L593="","",IFERROR(VLOOKUP(L593,Paramètres!$F$5:$G$8,2,FALSE()),""))</f>
        <v/>
      </c>
      <c r="P593" s="9" t="str">
        <f aca="false">IF(OR(B593="",O593=""),"",IF(N593="",B593,N593)+O593)</f>
        <v/>
      </c>
      <c r="Q593" s="10"/>
      <c r="R593" s="8"/>
      <c r="S593" s="7" t="str">
        <f aca="false">IF(OR(B593="",R593=""),"",R593-B593)</f>
        <v/>
      </c>
      <c r="T593" s="7" t="str">
        <f aca="true">IF(OR(B593="",P593=""),"",IF(R593&lt;&gt;"",IF(R593&gt;P593,"Traité hors délai","Non"),IF(Q593="Classé sans suite","Non",IF(TODAY()&gt;P593,"OUI","Non"))))</f>
        <v/>
      </c>
      <c r="U593" s="11"/>
    </row>
    <row r="594" customFormat="false" ht="15" hidden="false" customHeight="false" outlineLevel="0" collapsed="false">
      <c r="A594" s="7" t="str">
        <f aca="false">IF(B594="","",YEAR(B594)&amp;"/"&amp;TEXT(ROW()-4,"0000"))</f>
        <v/>
      </c>
      <c r="B594" s="8"/>
      <c r="C594" s="7" t="str">
        <f aca="false">IF(B594="","",INT((B594-DATE(YEAR(B594-WEEKDAY(B594-1)+4),1,3)+WEEKDAY(DATE(YEAR(B594-WEEKDAY(B594-1)+4),1,3))+5)/7))</f>
        <v/>
      </c>
      <c r="D594" s="9" t="str">
        <f aca="false">IF(B594="","",B594-WEEKDAY(B594,2)+1)</f>
        <v/>
      </c>
      <c r="E594" s="10"/>
      <c r="F594" s="8"/>
      <c r="G594" s="11"/>
      <c r="H594" s="10"/>
      <c r="I594" s="11"/>
      <c r="J594" s="10"/>
      <c r="K594" s="10"/>
      <c r="L594" s="10"/>
      <c r="M594" s="11"/>
      <c r="N594" s="8"/>
      <c r="O594" s="7" t="str">
        <f aca="false">IF(L594="","",IFERROR(VLOOKUP(L594,Paramètres!$F$5:$G$8,2,FALSE()),""))</f>
        <v/>
      </c>
      <c r="P594" s="9" t="str">
        <f aca="false">IF(OR(B594="",O594=""),"",IF(N594="",B594,N594)+O594)</f>
        <v/>
      </c>
      <c r="Q594" s="10"/>
      <c r="R594" s="8"/>
      <c r="S594" s="7" t="str">
        <f aca="false">IF(OR(B594="",R594=""),"",R594-B594)</f>
        <v/>
      </c>
      <c r="T594" s="7" t="str">
        <f aca="true">IF(OR(B594="",P594=""),"",IF(R594&lt;&gt;"",IF(R594&gt;P594,"Traité hors délai","Non"),IF(Q594="Classé sans suite","Non",IF(TODAY()&gt;P594,"OUI","Non"))))</f>
        <v/>
      </c>
      <c r="U594" s="11"/>
    </row>
    <row r="595" customFormat="false" ht="15" hidden="false" customHeight="false" outlineLevel="0" collapsed="false">
      <c r="A595" s="7" t="str">
        <f aca="false">IF(B595="","",YEAR(B595)&amp;"/"&amp;TEXT(ROW()-4,"0000"))</f>
        <v/>
      </c>
      <c r="B595" s="8"/>
      <c r="C595" s="7" t="str">
        <f aca="false">IF(B595="","",INT((B595-DATE(YEAR(B595-WEEKDAY(B595-1)+4),1,3)+WEEKDAY(DATE(YEAR(B595-WEEKDAY(B595-1)+4),1,3))+5)/7))</f>
        <v/>
      </c>
      <c r="D595" s="9" t="str">
        <f aca="false">IF(B595="","",B595-WEEKDAY(B595,2)+1)</f>
        <v/>
      </c>
      <c r="E595" s="10"/>
      <c r="F595" s="8"/>
      <c r="G595" s="11"/>
      <c r="H595" s="10"/>
      <c r="I595" s="11"/>
      <c r="J595" s="10"/>
      <c r="K595" s="10"/>
      <c r="L595" s="10"/>
      <c r="M595" s="11"/>
      <c r="N595" s="8"/>
      <c r="O595" s="7" t="str">
        <f aca="false">IF(L595="","",IFERROR(VLOOKUP(L595,Paramètres!$F$5:$G$8,2,FALSE()),""))</f>
        <v/>
      </c>
      <c r="P595" s="9" t="str">
        <f aca="false">IF(OR(B595="",O595=""),"",IF(N595="",B595,N595)+O595)</f>
        <v/>
      </c>
      <c r="Q595" s="10"/>
      <c r="R595" s="8"/>
      <c r="S595" s="7" t="str">
        <f aca="false">IF(OR(B595="",R595=""),"",R595-B595)</f>
        <v/>
      </c>
      <c r="T595" s="7" t="str">
        <f aca="true">IF(OR(B595="",P595=""),"",IF(R595&lt;&gt;"",IF(R595&gt;P595,"Traité hors délai","Non"),IF(Q595="Classé sans suite","Non",IF(TODAY()&gt;P595,"OUI","Non"))))</f>
        <v/>
      </c>
      <c r="U595" s="11"/>
    </row>
    <row r="596" customFormat="false" ht="15" hidden="false" customHeight="false" outlineLevel="0" collapsed="false">
      <c r="A596" s="7" t="str">
        <f aca="false">IF(B596="","",YEAR(B596)&amp;"/"&amp;TEXT(ROW()-4,"0000"))</f>
        <v/>
      </c>
      <c r="B596" s="8"/>
      <c r="C596" s="7" t="str">
        <f aca="false">IF(B596="","",INT((B596-DATE(YEAR(B596-WEEKDAY(B596-1)+4),1,3)+WEEKDAY(DATE(YEAR(B596-WEEKDAY(B596-1)+4),1,3))+5)/7))</f>
        <v/>
      </c>
      <c r="D596" s="9" t="str">
        <f aca="false">IF(B596="","",B596-WEEKDAY(B596,2)+1)</f>
        <v/>
      </c>
      <c r="E596" s="10"/>
      <c r="F596" s="8"/>
      <c r="G596" s="11"/>
      <c r="H596" s="10"/>
      <c r="I596" s="11"/>
      <c r="J596" s="10"/>
      <c r="K596" s="10"/>
      <c r="L596" s="10"/>
      <c r="M596" s="11"/>
      <c r="N596" s="8"/>
      <c r="O596" s="7" t="str">
        <f aca="false">IF(L596="","",IFERROR(VLOOKUP(L596,Paramètres!$F$5:$G$8,2,FALSE()),""))</f>
        <v/>
      </c>
      <c r="P596" s="9" t="str">
        <f aca="false">IF(OR(B596="",O596=""),"",IF(N596="",B596,N596)+O596)</f>
        <v/>
      </c>
      <c r="Q596" s="10"/>
      <c r="R596" s="8"/>
      <c r="S596" s="7" t="str">
        <f aca="false">IF(OR(B596="",R596=""),"",R596-B596)</f>
        <v/>
      </c>
      <c r="T596" s="7" t="str">
        <f aca="true">IF(OR(B596="",P596=""),"",IF(R596&lt;&gt;"",IF(R596&gt;P596,"Traité hors délai","Non"),IF(Q596="Classé sans suite","Non",IF(TODAY()&gt;P596,"OUI","Non"))))</f>
        <v/>
      </c>
      <c r="U596" s="11"/>
    </row>
    <row r="597" customFormat="false" ht="15" hidden="false" customHeight="false" outlineLevel="0" collapsed="false">
      <c r="A597" s="7" t="str">
        <f aca="false">IF(B597="","",YEAR(B597)&amp;"/"&amp;TEXT(ROW()-4,"0000"))</f>
        <v/>
      </c>
      <c r="B597" s="8"/>
      <c r="C597" s="7" t="str">
        <f aca="false">IF(B597="","",INT((B597-DATE(YEAR(B597-WEEKDAY(B597-1)+4),1,3)+WEEKDAY(DATE(YEAR(B597-WEEKDAY(B597-1)+4),1,3))+5)/7))</f>
        <v/>
      </c>
      <c r="D597" s="9" t="str">
        <f aca="false">IF(B597="","",B597-WEEKDAY(B597,2)+1)</f>
        <v/>
      </c>
      <c r="E597" s="10"/>
      <c r="F597" s="8"/>
      <c r="G597" s="11"/>
      <c r="H597" s="10"/>
      <c r="I597" s="11"/>
      <c r="J597" s="10"/>
      <c r="K597" s="10"/>
      <c r="L597" s="10"/>
      <c r="M597" s="11"/>
      <c r="N597" s="8"/>
      <c r="O597" s="7" t="str">
        <f aca="false">IF(L597="","",IFERROR(VLOOKUP(L597,Paramètres!$F$5:$G$8,2,FALSE()),""))</f>
        <v/>
      </c>
      <c r="P597" s="9" t="str">
        <f aca="false">IF(OR(B597="",O597=""),"",IF(N597="",B597,N597)+O597)</f>
        <v/>
      </c>
      <c r="Q597" s="10"/>
      <c r="R597" s="8"/>
      <c r="S597" s="7" t="str">
        <f aca="false">IF(OR(B597="",R597=""),"",R597-B597)</f>
        <v/>
      </c>
      <c r="T597" s="7" t="str">
        <f aca="true">IF(OR(B597="",P597=""),"",IF(R597&lt;&gt;"",IF(R597&gt;P597,"Traité hors délai","Non"),IF(Q597="Classé sans suite","Non",IF(TODAY()&gt;P597,"OUI","Non"))))</f>
        <v/>
      </c>
      <c r="U597" s="11"/>
    </row>
    <row r="598" customFormat="false" ht="15" hidden="false" customHeight="false" outlineLevel="0" collapsed="false">
      <c r="A598" s="7" t="str">
        <f aca="false">IF(B598="","",YEAR(B598)&amp;"/"&amp;TEXT(ROW()-4,"0000"))</f>
        <v/>
      </c>
      <c r="B598" s="8"/>
      <c r="C598" s="7" t="str">
        <f aca="false">IF(B598="","",INT((B598-DATE(YEAR(B598-WEEKDAY(B598-1)+4),1,3)+WEEKDAY(DATE(YEAR(B598-WEEKDAY(B598-1)+4),1,3))+5)/7))</f>
        <v/>
      </c>
      <c r="D598" s="9" t="str">
        <f aca="false">IF(B598="","",B598-WEEKDAY(B598,2)+1)</f>
        <v/>
      </c>
      <c r="E598" s="10"/>
      <c r="F598" s="8"/>
      <c r="G598" s="11"/>
      <c r="H598" s="10"/>
      <c r="I598" s="11"/>
      <c r="J598" s="10"/>
      <c r="K598" s="10"/>
      <c r="L598" s="10"/>
      <c r="M598" s="11"/>
      <c r="N598" s="8"/>
      <c r="O598" s="7" t="str">
        <f aca="false">IF(L598="","",IFERROR(VLOOKUP(L598,Paramètres!$F$5:$G$8,2,FALSE()),""))</f>
        <v/>
      </c>
      <c r="P598" s="9" t="str">
        <f aca="false">IF(OR(B598="",O598=""),"",IF(N598="",B598,N598)+O598)</f>
        <v/>
      </c>
      <c r="Q598" s="10"/>
      <c r="R598" s="8"/>
      <c r="S598" s="7" t="str">
        <f aca="false">IF(OR(B598="",R598=""),"",R598-B598)</f>
        <v/>
      </c>
      <c r="T598" s="7" t="str">
        <f aca="true">IF(OR(B598="",P598=""),"",IF(R598&lt;&gt;"",IF(R598&gt;P598,"Traité hors délai","Non"),IF(Q598="Classé sans suite","Non",IF(TODAY()&gt;P598,"OUI","Non"))))</f>
        <v/>
      </c>
      <c r="U598" s="11"/>
    </row>
    <row r="599" customFormat="false" ht="15" hidden="false" customHeight="false" outlineLevel="0" collapsed="false">
      <c r="A599" s="7" t="str">
        <f aca="false">IF(B599="","",YEAR(B599)&amp;"/"&amp;TEXT(ROW()-4,"0000"))</f>
        <v/>
      </c>
      <c r="B599" s="8"/>
      <c r="C599" s="7" t="str">
        <f aca="false">IF(B599="","",INT((B599-DATE(YEAR(B599-WEEKDAY(B599-1)+4),1,3)+WEEKDAY(DATE(YEAR(B599-WEEKDAY(B599-1)+4),1,3))+5)/7))</f>
        <v/>
      </c>
      <c r="D599" s="9" t="str">
        <f aca="false">IF(B599="","",B599-WEEKDAY(B599,2)+1)</f>
        <v/>
      </c>
      <c r="E599" s="10"/>
      <c r="F599" s="8"/>
      <c r="G599" s="11"/>
      <c r="H599" s="10"/>
      <c r="I599" s="11"/>
      <c r="J599" s="10"/>
      <c r="K599" s="10"/>
      <c r="L599" s="10"/>
      <c r="M599" s="11"/>
      <c r="N599" s="8"/>
      <c r="O599" s="7" t="str">
        <f aca="false">IF(L599="","",IFERROR(VLOOKUP(L599,Paramètres!$F$5:$G$8,2,FALSE()),""))</f>
        <v/>
      </c>
      <c r="P599" s="9" t="str">
        <f aca="false">IF(OR(B599="",O599=""),"",IF(N599="",B599,N599)+O599)</f>
        <v/>
      </c>
      <c r="Q599" s="10"/>
      <c r="R599" s="8"/>
      <c r="S599" s="7" t="str">
        <f aca="false">IF(OR(B599="",R599=""),"",R599-B599)</f>
        <v/>
      </c>
      <c r="T599" s="7" t="str">
        <f aca="true">IF(OR(B599="",P599=""),"",IF(R599&lt;&gt;"",IF(R599&gt;P599,"Traité hors délai","Non"),IF(Q599="Classé sans suite","Non",IF(TODAY()&gt;P599,"OUI","Non"))))</f>
        <v/>
      </c>
      <c r="U599" s="11"/>
    </row>
    <row r="600" customFormat="false" ht="15" hidden="false" customHeight="false" outlineLevel="0" collapsed="false">
      <c r="A600" s="7" t="str">
        <f aca="false">IF(B600="","",YEAR(B600)&amp;"/"&amp;TEXT(ROW()-4,"0000"))</f>
        <v/>
      </c>
      <c r="B600" s="8"/>
      <c r="C600" s="7" t="str">
        <f aca="false">IF(B600="","",INT((B600-DATE(YEAR(B600-WEEKDAY(B600-1)+4),1,3)+WEEKDAY(DATE(YEAR(B600-WEEKDAY(B600-1)+4),1,3))+5)/7))</f>
        <v/>
      </c>
      <c r="D600" s="9" t="str">
        <f aca="false">IF(B600="","",B600-WEEKDAY(B600,2)+1)</f>
        <v/>
      </c>
      <c r="E600" s="10"/>
      <c r="F600" s="8"/>
      <c r="G600" s="11"/>
      <c r="H600" s="10"/>
      <c r="I600" s="11"/>
      <c r="J600" s="10"/>
      <c r="K600" s="10"/>
      <c r="L600" s="10"/>
      <c r="M600" s="11"/>
      <c r="N600" s="8"/>
      <c r="O600" s="7" t="str">
        <f aca="false">IF(L600="","",IFERROR(VLOOKUP(L600,Paramètres!$F$5:$G$8,2,FALSE()),""))</f>
        <v/>
      </c>
      <c r="P600" s="9" t="str">
        <f aca="false">IF(OR(B600="",O600=""),"",IF(N600="",B600,N600)+O600)</f>
        <v/>
      </c>
      <c r="Q600" s="10"/>
      <c r="R600" s="8"/>
      <c r="S600" s="7" t="str">
        <f aca="false">IF(OR(B600="",R600=""),"",R600-B600)</f>
        <v/>
      </c>
      <c r="T600" s="7" t="str">
        <f aca="true">IF(OR(B600="",P600=""),"",IF(R600&lt;&gt;"",IF(R600&gt;P600,"Traité hors délai","Non"),IF(Q600="Classé sans suite","Non",IF(TODAY()&gt;P600,"OUI","Non"))))</f>
        <v/>
      </c>
      <c r="U600" s="11"/>
    </row>
    <row r="601" customFormat="false" ht="15" hidden="false" customHeight="false" outlineLevel="0" collapsed="false">
      <c r="A601" s="7" t="str">
        <f aca="false">IF(B601="","",YEAR(B601)&amp;"/"&amp;TEXT(ROW()-4,"0000"))</f>
        <v/>
      </c>
      <c r="B601" s="8"/>
      <c r="C601" s="7" t="str">
        <f aca="false">IF(B601="","",INT((B601-DATE(YEAR(B601-WEEKDAY(B601-1)+4),1,3)+WEEKDAY(DATE(YEAR(B601-WEEKDAY(B601-1)+4),1,3))+5)/7))</f>
        <v/>
      </c>
      <c r="D601" s="9" t="str">
        <f aca="false">IF(B601="","",B601-WEEKDAY(B601,2)+1)</f>
        <v/>
      </c>
      <c r="E601" s="10"/>
      <c r="F601" s="8"/>
      <c r="G601" s="11"/>
      <c r="H601" s="10"/>
      <c r="I601" s="11"/>
      <c r="J601" s="10"/>
      <c r="K601" s="10"/>
      <c r="L601" s="10"/>
      <c r="M601" s="11"/>
      <c r="N601" s="8"/>
      <c r="O601" s="7" t="str">
        <f aca="false">IF(L601="","",IFERROR(VLOOKUP(L601,Paramètres!$F$5:$G$8,2,FALSE()),""))</f>
        <v/>
      </c>
      <c r="P601" s="9" t="str">
        <f aca="false">IF(OR(B601="",O601=""),"",IF(N601="",B601,N601)+O601)</f>
        <v/>
      </c>
      <c r="Q601" s="10"/>
      <c r="R601" s="8"/>
      <c r="S601" s="7" t="str">
        <f aca="false">IF(OR(B601="",R601=""),"",R601-B601)</f>
        <v/>
      </c>
      <c r="T601" s="7" t="str">
        <f aca="true">IF(OR(B601="",P601=""),"",IF(R601&lt;&gt;"",IF(R601&gt;P601,"Traité hors délai","Non"),IF(Q601="Classé sans suite","Non",IF(TODAY()&gt;P601,"OUI","Non"))))</f>
        <v/>
      </c>
      <c r="U601" s="11"/>
    </row>
    <row r="602" customFormat="false" ht="15" hidden="false" customHeight="false" outlineLevel="0" collapsed="false">
      <c r="A602" s="7" t="str">
        <f aca="false">IF(B602="","",YEAR(B602)&amp;"/"&amp;TEXT(ROW()-4,"0000"))</f>
        <v/>
      </c>
      <c r="B602" s="8"/>
      <c r="C602" s="7" t="str">
        <f aca="false">IF(B602="","",INT((B602-DATE(YEAR(B602-WEEKDAY(B602-1)+4),1,3)+WEEKDAY(DATE(YEAR(B602-WEEKDAY(B602-1)+4),1,3))+5)/7))</f>
        <v/>
      </c>
      <c r="D602" s="9" t="str">
        <f aca="false">IF(B602="","",B602-WEEKDAY(B602,2)+1)</f>
        <v/>
      </c>
      <c r="E602" s="10"/>
      <c r="F602" s="8"/>
      <c r="G602" s="11"/>
      <c r="H602" s="10"/>
      <c r="I602" s="11"/>
      <c r="J602" s="10"/>
      <c r="K602" s="10"/>
      <c r="L602" s="10"/>
      <c r="M602" s="11"/>
      <c r="N602" s="8"/>
      <c r="O602" s="7" t="str">
        <f aca="false">IF(L602="","",IFERROR(VLOOKUP(L602,Paramètres!$F$5:$G$8,2,FALSE()),""))</f>
        <v/>
      </c>
      <c r="P602" s="9" t="str">
        <f aca="false">IF(OR(B602="",O602=""),"",IF(N602="",B602,N602)+O602)</f>
        <v/>
      </c>
      <c r="Q602" s="10"/>
      <c r="R602" s="8"/>
      <c r="S602" s="7" t="str">
        <f aca="false">IF(OR(B602="",R602=""),"",R602-B602)</f>
        <v/>
      </c>
      <c r="T602" s="7" t="str">
        <f aca="true">IF(OR(B602="",P602=""),"",IF(R602&lt;&gt;"",IF(R602&gt;P602,"Traité hors délai","Non"),IF(Q602="Classé sans suite","Non",IF(TODAY()&gt;P602,"OUI","Non"))))</f>
        <v/>
      </c>
      <c r="U602" s="11"/>
    </row>
    <row r="603" customFormat="false" ht="15" hidden="false" customHeight="false" outlineLevel="0" collapsed="false">
      <c r="A603" s="7" t="str">
        <f aca="false">IF(B603="","",YEAR(B603)&amp;"/"&amp;TEXT(ROW()-4,"0000"))</f>
        <v/>
      </c>
      <c r="B603" s="8"/>
      <c r="C603" s="7" t="str">
        <f aca="false">IF(B603="","",INT((B603-DATE(YEAR(B603-WEEKDAY(B603-1)+4),1,3)+WEEKDAY(DATE(YEAR(B603-WEEKDAY(B603-1)+4),1,3))+5)/7))</f>
        <v/>
      </c>
      <c r="D603" s="9" t="str">
        <f aca="false">IF(B603="","",B603-WEEKDAY(B603,2)+1)</f>
        <v/>
      </c>
      <c r="E603" s="10"/>
      <c r="F603" s="8"/>
      <c r="G603" s="11"/>
      <c r="H603" s="10"/>
      <c r="I603" s="11"/>
      <c r="J603" s="10"/>
      <c r="K603" s="10"/>
      <c r="L603" s="10"/>
      <c r="M603" s="11"/>
      <c r="N603" s="8"/>
      <c r="O603" s="7" t="str">
        <f aca="false">IF(L603="","",IFERROR(VLOOKUP(L603,Paramètres!$F$5:$G$8,2,FALSE()),""))</f>
        <v/>
      </c>
      <c r="P603" s="9" t="str">
        <f aca="false">IF(OR(B603="",O603=""),"",IF(N603="",B603,N603)+O603)</f>
        <v/>
      </c>
      <c r="Q603" s="10"/>
      <c r="R603" s="8"/>
      <c r="S603" s="7" t="str">
        <f aca="false">IF(OR(B603="",R603=""),"",R603-B603)</f>
        <v/>
      </c>
      <c r="T603" s="7" t="str">
        <f aca="true">IF(OR(B603="",P603=""),"",IF(R603&lt;&gt;"",IF(R603&gt;P603,"Traité hors délai","Non"),IF(Q603="Classé sans suite","Non",IF(TODAY()&gt;P603,"OUI","Non"))))</f>
        <v/>
      </c>
      <c r="U603" s="11"/>
    </row>
    <row r="604" customFormat="false" ht="15" hidden="false" customHeight="false" outlineLevel="0" collapsed="false">
      <c r="A604" s="7" t="str">
        <f aca="false">IF(B604="","",YEAR(B604)&amp;"/"&amp;TEXT(ROW()-4,"0000"))</f>
        <v/>
      </c>
      <c r="B604" s="8"/>
      <c r="C604" s="7" t="str">
        <f aca="false">IF(B604="","",INT((B604-DATE(YEAR(B604-WEEKDAY(B604-1)+4),1,3)+WEEKDAY(DATE(YEAR(B604-WEEKDAY(B604-1)+4),1,3))+5)/7))</f>
        <v/>
      </c>
      <c r="D604" s="9" t="str">
        <f aca="false">IF(B604="","",B604-WEEKDAY(B604,2)+1)</f>
        <v/>
      </c>
      <c r="E604" s="10"/>
      <c r="F604" s="8"/>
      <c r="G604" s="11"/>
      <c r="H604" s="10"/>
      <c r="I604" s="11"/>
      <c r="J604" s="10"/>
      <c r="K604" s="10"/>
      <c r="L604" s="10"/>
      <c r="M604" s="11"/>
      <c r="N604" s="8"/>
      <c r="O604" s="7" t="str">
        <f aca="false">IF(L604="","",IFERROR(VLOOKUP(L604,Paramètres!$F$5:$G$8,2,FALSE()),""))</f>
        <v/>
      </c>
      <c r="P604" s="9" t="str">
        <f aca="false">IF(OR(B604="",O604=""),"",IF(N604="",B604,N604)+O604)</f>
        <v/>
      </c>
      <c r="Q604" s="10"/>
      <c r="R604" s="8"/>
      <c r="S604" s="7" t="str">
        <f aca="false">IF(OR(B604="",R604=""),"",R604-B604)</f>
        <v/>
      </c>
      <c r="T604" s="7" t="str">
        <f aca="true">IF(OR(B604="",P604=""),"",IF(R604&lt;&gt;"",IF(R604&gt;P604,"Traité hors délai","Non"),IF(Q604="Classé sans suite","Non",IF(TODAY()&gt;P604,"OUI","Non"))))</f>
        <v/>
      </c>
      <c r="U604" s="11"/>
    </row>
    <row r="605" customFormat="false" ht="15" hidden="false" customHeight="false" outlineLevel="0" collapsed="false">
      <c r="A605" s="7" t="str">
        <f aca="false">IF(B605="","",YEAR(B605)&amp;"/"&amp;TEXT(ROW()-4,"0000"))</f>
        <v/>
      </c>
      <c r="B605" s="8"/>
      <c r="C605" s="7" t="str">
        <f aca="false">IF(B605="","",INT((B605-DATE(YEAR(B605-WEEKDAY(B605-1)+4),1,3)+WEEKDAY(DATE(YEAR(B605-WEEKDAY(B605-1)+4),1,3))+5)/7))</f>
        <v/>
      </c>
      <c r="D605" s="9" t="str">
        <f aca="false">IF(B605="","",B605-WEEKDAY(B605,2)+1)</f>
        <v/>
      </c>
      <c r="E605" s="10"/>
      <c r="F605" s="8"/>
      <c r="G605" s="11"/>
      <c r="H605" s="10"/>
      <c r="I605" s="11"/>
      <c r="J605" s="10"/>
      <c r="K605" s="10"/>
      <c r="L605" s="10"/>
      <c r="M605" s="11"/>
      <c r="N605" s="8"/>
      <c r="O605" s="7" t="str">
        <f aca="false">IF(L605="","",IFERROR(VLOOKUP(L605,Paramètres!$F$5:$G$8,2,FALSE()),""))</f>
        <v/>
      </c>
      <c r="P605" s="9" t="str">
        <f aca="false">IF(OR(B605="",O605=""),"",IF(N605="",B605,N605)+O605)</f>
        <v/>
      </c>
      <c r="Q605" s="10"/>
      <c r="R605" s="8"/>
      <c r="S605" s="7" t="str">
        <f aca="false">IF(OR(B605="",R605=""),"",R605-B605)</f>
        <v/>
      </c>
      <c r="T605" s="7" t="str">
        <f aca="true">IF(OR(B605="",P605=""),"",IF(R605&lt;&gt;"",IF(R605&gt;P605,"Traité hors délai","Non"),IF(Q605="Classé sans suite","Non",IF(TODAY()&gt;P605,"OUI","Non"))))</f>
        <v/>
      </c>
      <c r="U605" s="11"/>
    </row>
    <row r="606" customFormat="false" ht="15" hidden="false" customHeight="false" outlineLevel="0" collapsed="false">
      <c r="A606" s="7" t="str">
        <f aca="false">IF(B606="","",YEAR(B606)&amp;"/"&amp;TEXT(ROW()-4,"0000"))</f>
        <v/>
      </c>
      <c r="B606" s="8"/>
      <c r="C606" s="7" t="str">
        <f aca="false">IF(B606="","",INT((B606-DATE(YEAR(B606-WEEKDAY(B606-1)+4),1,3)+WEEKDAY(DATE(YEAR(B606-WEEKDAY(B606-1)+4),1,3))+5)/7))</f>
        <v/>
      </c>
      <c r="D606" s="9" t="str">
        <f aca="false">IF(B606="","",B606-WEEKDAY(B606,2)+1)</f>
        <v/>
      </c>
      <c r="E606" s="10"/>
      <c r="F606" s="8"/>
      <c r="G606" s="11"/>
      <c r="H606" s="10"/>
      <c r="I606" s="11"/>
      <c r="J606" s="10"/>
      <c r="K606" s="10"/>
      <c r="L606" s="10"/>
      <c r="M606" s="11"/>
      <c r="N606" s="8"/>
      <c r="O606" s="7" t="str">
        <f aca="false">IF(L606="","",IFERROR(VLOOKUP(L606,Paramètres!$F$5:$G$8,2,FALSE()),""))</f>
        <v/>
      </c>
      <c r="P606" s="9" t="str">
        <f aca="false">IF(OR(B606="",O606=""),"",IF(N606="",B606,N606)+O606)</f>
        <v/>
      </c>
      <c r="Q606" s="10"/>
      <c r="R606" s="8"/>
      <c r="S606" s="7" t="str">
        <f aca="false">IF(OR(B606="",R606=""),"",R606-B606)</f>
        <v/>
      </c>
      <c r="T606" s="7" t="str">
        <f aca="true">IF(OR(B606="",P606=""),"",IF(R606&lt;&gt;"",IF(R606&gt;P606,"Traité hors délai","Non"),IF(Q606="Classé sans suite","Non",IF(TODAY()&gt;P606,"OUI","Non"))))</f>
        <v/>
      </c>
      <c r="U606" s="11"/>
    </row>
    <row r="607" customFormat="false" ht="15" hidden="false" customHeight="false" outlineLevel="0" collapsed="false">
      <c r="A607" s="7" t="str">
        <f aca="false">IF(B607="","",YEAR(B607)&amp;"/"&amp;TEXT(ROW()-4,"0000"))</f>
        <v/>
      </c>
      <c r="B607" s="8"/>
      <c r="C607" s="7" t="str">
        <f aca="false">IF(B607="","",INT((B607-DATE(YEAR(B607-WEEKDAY(B607-1)+4),1,3)+WEEKDAY(DATE(YEAR(B607-WEEKDAY(B607-1)+4),1,3))+5)/7))</f>
        <v/>
      </c>
      <c r="D607" s="9" t="str">
        <f aca="false">IF(B607="","",B607-WEEKDAY(B607,2)+1)</f>
        <v/>
      </c>
      <c r="E607" s="10"/>
      <c r="F607" s="8"/>
      <c r="G607" s="11"/>
      <c r="H607" s="10"/>
      <c r="I607" s="11"/>
      <c r="J607" s="10"/>
      <c r="K607" s="10"/>
      <c r="L607" s="10"/>
      <c r="M607" s="11"/>
      <c r="N607" s="8"/>
      <c r="O607" s="7" t="str">
        <f aca="false">IF(L607="","",IFERROR(VLOOKUP(L607,Paramètres!$F$5:$G$8,2,FALSE()),""))</f>
        <v/>
      </c>
      <c r="P607" s="9" t="str">
        <f aca="false">IF(OR(B607="",O607=""),"",IF(N607="",B607,N607)+O607)</f>
        <v/>
      </c>
      <c r="Q607" s="10"/>
      <c r="R607" s="8"/>
      <c r="S607" s="7" t="str">
        <f aca="false">IF(OR(B607="",R607=""),"",R607-B607)</f>
        <v/>
      </c>
      <c r="T607" s="7" t="str">
        <f aca="true">IF(OR(B607="",P607=""),"",IF(R607&lt;&gt;"",IF(R607&gt;P607,"Traité hors délai","Non"),IF(Q607="Classé sans suite","Non",IF(TODAY()&gt;P607,"OUI","Non"))))</f>
        <v/>
      </c>
      <c r="U607" s="11"/>
    </row>
    <row r="608" customFormat="false" ht="15" hidden="false" customHeight="false" outlineLevel="0" collapsed="false">
      <c r="A608" s="7" t="str">
        <f aca="false">IF(B608="","",YEAR(B608)&amp;"/"&amp;TEXT(ROW()-4,"0000"))</f>
        <v/>
      </c>
      <c r="B608" s="8"/>
      <c r="C608" s="7" t="str">
        <f aca="false">IF(B608="","",INT((B608-DATE(YEAR(B608-WEEKDAY(B608-1)+4),1,3)+WEEKDAY(DATE(YEAR(B608-WEEKDAY(B608-1)+4),1,3))+5)/7))</f>
        <v/>
      </c>
      <c r="D608" s="9" t="str">
        <f aca="false">IF(B608="","",B608-WEEKDAY(B608,2)+1)</f>
        <v/>
      </c>
      <c r="E608" s="10"/>
      <c r="F608" s="8"/>
      <c r="G608" s="11"/>
      <c r="H608" s="10"/>
      <c r="I608" s="11"/>
      <c r="J608" s="10"/>
      <c r="K608" s="10"/>
      <c r="L608" s="10"/>
      <c r="M608" s="11"/>
      <c r="N608" s="8"/>
      <c r="O608" s="7" t="str">
        <f aca="false">IF(L608="","",IFERROR(VLOOKUP(L608,Paramètres!$F$5:$G$8,2,FALSE()),""))</f>
        <v/>
      </c>
      <c r="P608" s="9" t="str">
        <f aca="false">IF(OR(B608="",O608=""),"",IF(N608="",B608,N608)+O608)</f>
        <v/>
      </c>
      <c r="Q608" s="10"/>
      <c r="R608" s="8"/>
      <c r="S608" s="7" t="str">
        <f aca="false">IF(OR(B608="",R608=""),"",R608-B608)</f>
        <v/>
      </c>
      <c r="T608" s="7" t="str">
        <f aca="true">IF(OR(B608="",P608=""),"",IF(R608&lt;&gt;"",IF(R608&gt;P608,"Traité hors délai","Non"),IF(Q608="Classé sans suite","Non",IF(TODAY()&gt;P608,"OUI","Non"))))</f>
        <v/>
      </c>
      <c r="U608" s="11"/>
    </row>
    <row r="609" customFormat="false" ht="15" hidden="false" customHeight="false" outlineLevel="0" collapsed="false">
      <c r="A609" s="7" t="str">
        <f aca="false">IF(B609="","",YEAR(B609)&amp;"/"&amp;TEXT(ROW()-4,"0000"))</f>
        <v/>
      </c>
      <c r="B609" s="8"/>
      <c r="C609" s="7" t="str">
        <f aca="false">IF(B609="","",INT((B609-DATE(YEAR(B609-WEEKDAY(B609-1)+4),1,3)+WEEKDAY(DATE(YEAR(B609-WEEKDAY(B609-1)+4),1,3))+5)/7))</f>
        <v/>
      </c>
      <c r="D609" s="9" t="str">
        <f aca="false">IF(B609="","",B609-WEEKDAY(B609,2)+1)</f>
        <v/>
      </c>
      <c r="E609" s="10"/>
      <c r="F609" s="8"/>
      <c r="G609" s="11"/>
      <c r="H609" s="10"/>
      <c r="I609" s="11"/>
      <c r="J609" s="10"/>
      <c r="K609" s="10"/>
      <c r="L609" s="10"/>
      <c r="M609" s="11"/>
      <c r="N609" s="8"/>
      <c r="O609" s="7" t="str">
        <f aca="false">IF(L609="","",IFERROR(VLOOKUP(L609,Paramètres!$F$5:$G$8,2,FALSE()),""))</f>
        <v/>
      </c>
      <c r="P609" s="9" t="str">
        <f aca="false">IF(OR(B609="",O609=""),"",IF(N609="",B609,N609)+O609)</f>
        <v/>
      </c>
      <c r="Q609" s="10"/>
      <c r="R609" s="8"/>
      <c r="S609" s="7" t="str">
        <f aca="false">IF(OR(B609="",R609=""),"",R609-B609)</f>
        <v/>
      </c>
      <c r="T609" s="7" t="str">
        <f aca="true">IF(OR(B609="",P609=""),"",IF(R609&lt;&gt;"",IF(R609&gt;P609,"Traité hors délai","Non"),IF(Q609="Classé sans suite","Non",IF(TODAY()&gt;P609,"OUI","Non"))))</f>
        <v/>
      </c>
      <c r="U609" s="11"/>
    </row>
    <row r="610" customFormat="false" ht="15" hidden="false" customHeight="false" outlineLevel="0" collapsed="false">
      <c r="A610" s="7" t="str">
        <f aca="false">IF(B610="","",YEAR(B610)&amp;"/"&amp;TEXT(ROW()-4,"0000"))</f>
        <v/>
      </c>
      <c r="B610" s="8"/>
      <c r="C610" s="7" t="str">
        <f aca="false">IF(B610="","",INT((B610-DATE(YEAR(B610-WEEKDAY(B610-1)+4),1,3)+WEEKDAY(DATE(YEAR(B610-WEEKDAY(B610-1)+4),1,3))+5)/7))</f>
        <v/>
      </c>
      <c r="D610" s="9" t="str">
        <f aca="false">IF(B610="","",B610-WEEKDAY(B610,2)+1)</f>
        <v/>
      </c>
      <c r="E610" s="10"/>
      <c r="F610" s="8"/>
      <c r="G610" s="11"/>
      <c r="H610" s="10"/>
      <c r="I610" s="11"/>
      <c r="J610" s="10"/>
      <c r="K610" s="10"/>
      <c r="L610" s="10"/>
      <c r="M610" s="11"/>
      <c r="N610" s="8"/>
      <c r="O610" s="7" t="str">
        <f aca="false">IF(L610="","",IFERROR(VLOOKUP(L610,Paramètres!$F$5:$G$8,2,FALSE()),""))</f>
        <v/>
      </c>
      <c r="P610" s="9" t="str">
        <f aca="false">IF(OR(B610="",O610=""),"",IF(N610="",B610,N610)+O610)</f>
        <v/>
      </c>
      <c r="Q610" s="10"/>
      <c r="R610" s="8"/>
      <c r="S610" s="7" t="str">
        <f aca="false">IF(OR(B610="",R610=""),"",R610-B610)</f>
        <v/>
      </c>
      <c r="T610" s="7" t="str">
        <f aca="true">IF(OR(B610="",P610=""),"",IF(R610&lt;&gt;"",IF(R610&gt;P610,"Traité hors délai","Non"),IF(Q610="Classé sans suite","Non",IF(TODAY()&gt;P610,"OUI","Non"))))</f>
        <v/>
      </c>
      <c r="U610" s="11"/>
    </row>
    <row r="611" customFormat="false" ht="15" hidden="false" customHeight="false" outlineLevel="0" collapsed="false">
      <c r="A611" s="7" t="str">
        <f aca="false">IF(B611="","",YEAR(B611)&amp;"/"&amp;TEXT(ROW()-4,"0000"))</f>
        <v/>
      </c>
      <c r="B611" s="8"/>
      <c r="C611" s="7" t="str">
        <f aca="false">IF(B611="","",INT((B611-DATE(YEAR(B611-WEEKDAY(B611-1)+4),1,3)+WEEKDAY(DATE(YEAR(B611-WEEKDAY(B611-1)+4),1,3))+5)/7))</f>
        <v/>
      </c>
      <c r="D611" s="9" t="str">
        <f aca="false">IF(B611="","",B611-WEEKDAY(B611,2)+1)</f>
        <v/>
      </c>
      <c r="E611" s="10"/>
      <c r="F611" s="8"/>
      <c r="G611" s="11"/>
      <c r="H611" s="10"/>
      <c r="I611" s="11"/>
      <c r="J611" s="10"/>
      <c r="K611" s="10"/>
      <c r="L611" s="10"/>
      <c r="M611" s="11"/>
      <c r="N611" s="8"/>
      <c r="O611" s="7" t="str">
        <f aca="false">IF(L611="","",IFERROR(VLOOKUP(L611,Paramètres!$F$5:$G$8,2,FALSE()),""))</f>
        <v/>
      </c>
      <c r="P611" s="9" t="str">
        <f aca="false">IF(OR(B611="",O611=""),"",IF(N611="",B611,N611)+O611)</f>
        <v/>
      </c>
      <c r="Q611" s="10"/>
      <c r="R611" s="8"/>
      <c r="S611" s="7" t="str">
        <f aca="false">IF(OR(B611="",R611=""),"",R611-B611)</f>
        <v/>
      </c>
      <c r="T611" s="7" t="str">
        <f aca="true">IF(OR(B611="",P611=""),"",IF(R611&lt;&gt;"",IF(R611&gt;P611,"Traité hors délai","Non"),IF(Q611="Classé sans suite","Non",IF(TODAY()&gt;P611,"OUI","Non"))))</f>
        <v/>
      </c>
      <c r="U611" s="11"/>
    </row>
    <row r="612" customFormat="false" ht="15" hidden="false" customHeight="false" outlineLevel="0" collapsed="false">
      <c r="A612" s="7" t="str">
        <f aca="false">IF(B612="","",YEAR(B612)&amp;"/"&amp;TEXT(ROW()-4,"0000"))</f>
        <v/>
      </c>
      <c r="B612" s="8"/>
      <c r="C612" s="7" t="str">
        <f aca="false">IF(B612="","",INT((B612-DATE(YEAR(B612-WEEKDAY(B612-1)+4),1,3)+WEEKDAY(DATE(YEAR(B612-WEEKDAY(B612-1)+4),1,3))+5)/7))</f>
        <v/>
      </c>
      <c r="D612" s="9" t="str">
        <f aca="false">IF(B612="","",B612-WEEKDAY(B612,2)+1)</f>
        <v/>
      </c>
      <c r="E612" s="10"/>
      <c r="F612" s="8"/>
      <c r="G612" s="11"/>
      <c r="H612" s="10"/>
      <c r="I612" s="11"/>
      <c r="J612" s="10"/>
      <c r="K612" s="10"/>
      <c r="L612" s="10"/>
      <c r="M612" s="11"/>
      <c r="N612" s="8"/>
      <c r="O612" s="7" t="str">
        <f aca="false">IF(L612="","",IFERROR(VLOOKUP(L612,Paramètres!$F$5:$G$8,2,FALSE()),""))</f>
        <v/>
      </c>
      <c r="P612" s="9" t="str">
        <f aca="false">IF(OR(B612="",O612=""),"",IF(N612="",B612,N612)+O612)</f>
        <v/>
      </c>
      <c r="Q612" s="10"/>
      <c r="R612" s="8"/>
      <c r="S612" s="7" t="str">
        <f aca="false">IF(OR(B612="",R612=""),"",R612-B612)</f>
        <v/>
      </c>
      <c r="T612" s="7" t="str">
        <f aca="true">IF(OR(B612="",P612=""),"",IF(R612&lt;&gt;"",IF(R612&gt;P612,"Traité hors délai","Non"),IF(Q612="Classé sans suite","Non",IF(TODAY()&gt;P612,"OUI","Non"))))</f>
        <v/>
      </c>
      <c r="U612" s="11"/>
    </row>
    <row r="613" customFormat="false" ht="15" hidden="false" customHeight="false" outlineLevel="0" collapsed="false">
      <c r="A613" s="7" t="str">
        <f aca="false">IF(B613="","",YEAR(B613)&amp;"/"&amp;TEXT(ROW()-4,"0000"))</f>
        <v/>
      </c>
      <c r="B613" s="8"/>
      <c r="C613" s="7" t="str">
        <f aca="false">IF(B613="","",INT((B613-DATE(YEAR(B613-WEEKDAY(B613-1)+4),1,3)+WEEKDAY(DATE(YEAR(B613-WEEKDAY(B613-1)+4),1,3))+5)/7))</f>
        <v/>
      </c>
      <c r="D613" s="9" t="str">
        <f aca="false">IF(B613="","",B613-WEEKDAY(B613,2)+1)</f>
        <v/>
      </c>
      <c r="E613" s="10"/>
      <c r="F613" s="8"/>
      <c r="G613" s="11"/>
      <c r="H613" s="10"/>
      <c r="I613" s="11"/>
      <c r="J613" s="10"/>
      <c r="K613" s="10"/>
      <c r="L613" s="10"/>
      <c r="M613" s="11"/>
      <c r="N613" s="8"/>
      <c r="O613" s="7" t="str">
        <f aca="false">IF(L613="","",IFERROR(VLOOKUP(L613,Paramètres!$F$5:$G$8,2,FALSE()),""))</f>
        <v/>
      </c>
      <c r="P613" s="9" t="str">
        <f aca="false">IF(OR(B613="",O613=""),"",IF(N613="",B613,N613)+O613)</f>
        <v/>
      </c>
      <c r="Q613" s="10"/>
      <c r="R613" s="8"/>
      <c r="S613" s="7" t="str">
        <f aca="false">IF(OR(B613="",R613=""),"",R613-B613)</f>
        <v/>
      </c>
      <c r="T613" s="7" t="str">
        <f aca="true">IF(OR(B613="",P613=""),"",IF(R613&lt;&gt;"",IF(R613&gt;P613,"Traité hors délai","Non"),IF(Q613="Classé sans suite","Non",IF(TODAY()&gt;P613,"OUI","Non"))))</f>
        <v/>
      </c>
      <c r="U613" s="11"/>
    </row>
    <row r="614" customFormat="false" ht="15" hidden="false" customHeight="false" outlineLevel="0" collapsed="false">
      <c r="A614" s="7" t="str">
        <f aca="false">IF(B614="","",YEAR(B614)&amp;"/"&amp;TEXT(ROW()-4,"0000"))</f>
        <v/>
      </c>
      <c r="B614" s="8"/>
      <c r="C614" s="7" t="str">
        <f aca="false">IF(B614="","",INT((B614-DATE(YEAR(B614-WEEKDAY(B614-1)+4),1,3)+WEEKDAY(DATE(YEAR(B614-WEEKDAY(B614-1)+4),1,3))+5)/7))</f>
        <v/>
      </c>
      <c r="D614" s="9" t="str">
        <f aca="false">IF(B614="","",B614-WEEKDAY(B614,2)+1)</f>
        <v/>
      </c>
      <c r="E614" s="10"/>
      <c r="F614" s="8"/>
      <c r="G614" s="11"/>
      <c r="H614" s="10"/>
      <c r="I614" s="11"/>
      <c r="J614" s="10"/>
      <c r="K614" s="10"/>
      <c r="L614" s="10"/>
      <c r="M614" s="11"/>
      <c r="N614" s="8"/>
      <c r="O614" s="7" t="str">
        <f aca="false">IF(L614="","",IFERROR(VLOOKUP(L614,Paramètres!$F$5:$G$8,2,FALSE()),""))</f>
        <v/>
      </c>
      <c r="P614" s="9" t="str">
        <f aca="false">IF(OR(B614="",O614=""),"",IF(N614="",B614,N614)+O614)</f>
        <v/>
      </c>
      <c r="Q614" s="10"/>
      <c r="R614" s="8"/>
      <c r="S614" s="7" t="str">
        <f aca="false">IF(OR(B614="",R614=""),"",R614-B614)</f>
        <v/>
      </c>
      <c r="T614" s="7" t="str">
        <f aca="true">IF(OR(B614="",P614=""),"",IF(R614&lt;&gt;"",IF(R614&gt;P614,"Traité hors délai","Non"),IF(Q614="Classé sans suite","Non",IF(TODAY()&gt;P614,"OUI","Non"))))</f>
        <v/>
      </c>
      <c r="U614" s="11"/>
    </row>
    <row r="615" customFormat="false" ht="15" hidden="false" customHeight="false" outlineLevel="0" collapsed="false">
      <c r="A615" s="7" t="str">
        <f aca="false">IF(B615="","",YEAR(B615)&amp;"/"&amp;TEXT(ROW()-4,"0000"))</f>
        <v/>
      </c>
      <c r="B615" s="8"/>
      <c r="C615" s="7" t="str">
        <f aca="false">IF(B615="","",INT((B615-DATE(YEAR(B615-WEEKDAY(B615-1)+4),1,3)+WEEKDAY(DATE(YEAR(B615-WEEKDAY(B615-1)+4),1,3))+5)/7))</f>
        <v/>
      </c>
      <c r="D615" s="9" t="str">
        <f aca="false">IF(B615="","",B615-WEEKDAY(B615,2)+1)</f>
        <v/>
      </c>
      <c r="E615" s="10"/>
      <c r="F615" s="8"/>
      <c r="G615" s="11"/>
      <c r="H615" s="10"/>
      <c r="I615" s="11"/>
      <c r="J615" s="10"/>
      <c r="K615" s="10"/>
      <c r="L615" s="10"/>
      <c r="M615" s="11"/>
      <c r="N615" s="8"/>
      <c r="O615" s="7" t="str">
        <f aca="false">IF(L615="","",IFERROR(VLOOKUP(L615,Paramètres!$F$5:$G$8,2,FALSE()),""))</f>
        <v/>
      </c>
      <c r="P615" s="9" t="str">
        <f aca="false">IF(OR(B615="",O615=""),"",IF(N615="",B615,N615)+O615)</f>
        <v/>
      </c>
      <c r="Q615" s="10"/>
      <c r="R615" s="8"/>
      <c r="S615" s="7" t="str">
        <f aca="false">IF(OR(B615="",R615=""),"",R615-B615)</f>
        <v/>
      </c>
      <c r="T615" s="7" t="str">
        <f aca="true">IF(OR(B615="",P615=""),"",IF(R615&lt;&gt;"",IF(R615&gt;P615,"Traité hors délai","Non"),IF(Q615="Classé sans suite","Non",IF(TODAY()&gt;P615,"OUI","Non"))))</f>
        <v/>
      </c>
      <c r="U615" s="11"/>
    </row>
    <row r="616" customFormat="false" ht="15" hidden="false" customHeight="false" outlineLevel="0" collapsed="false">
      <c r="A616" s="7" t="str">
        <f aca="false">IF(B616="","",YEAR(B616)&amp;"/"&amp;TEXT(ROW()-4,"0000"))</f>
        <v/>
      </c>
      <c r="B616" s="8"/>
      <c r="C616" s="7" t="str">
        <f aca="false">IF(B616="","",INT((B616-DATE(YEAR(B616-WEEKDAY(B616-1)+4),1,3)+WEEKDAY(DATE(YEAR(B616-WEEKDAY(B616-1)+4),1,3))+5)/7))</f>
        <v/>
      </c>
      <c r="D616" s="9" t="str">
        <f aca="false">IF(B616="","",B616-WEEKDAY(B616,2)+1)</f>
        <v/>
      </c>
      <c r="E616" s="10"/>
      <c r="F616" s="8"/>
      <c r="G616" s="11"/>
      <c r="H616" s="10"/>
      <c r="I616" s="11"/>
      <c r="J616" s="10"/>
      <c r="K616" s="10"/>
      <c r="L616" s="10"/>
      <c r="M616" s="11"/>
      <c r="N616" s="8"/>
      <c r="O616" s="7" t="str">
        <f aca="false">IF(L616="","",IFERROR(VLOOKUP(L616,Paramètres!$F$5:$G$8,2,FALSE()),""))</f>
        <v/>
      </c>
      <c r="P616" s="9" t="str">
        <f aca="false">IF(OR(B616="",O616=""),"",IF(N616="",B616,N616)+O616)</f>
        <v/>
      </c>
      <c r="Q616" s="10"/>
      <c r="R616" s="8"/>
      <c r="S616" s="7" t="str">
        <f aca="false">IF(OR(B616="",R616=""),"",R616-B616)</f>
        <v/>
      </c>
      <c r="T616" s="7" t="str">
        <f aca="true">IF(OR(B616="",P616=""),"",IF(R616&lt;&gt;"",IF(R616&gt;P616,"Traité hors délai","Non"),IF(Q616="Classé sans suite","Non",IF(TODAY()&gt;P616,"OUI","Non"))))</f>
        <v/>
      </c>
      <c r="U616" s="11"/>
    </row>
    <row r="617" customFormat="false" ht="15" hidden="false" customHeight="false" outlineLevel="0" collapsed="false">
      <c r="A617" s="7" t="str">
        <f aca="false">IF(B617="","",YEAR(B617)&amp;"/"&amp;TEXT(ROW()-4,"0000"))</f>
        <v/>
      </c>
      <c r="B617" s="8"/>
      <c r="C617" s="7" t="str">
        <f aca="false">IF(B617="","",INT((B617-DATE(YEAR(B617-WEEKDAY(B617-1)+4),1,3)+WEEKDAY(DATE(YEAR(B617-WEEKDAY(B617-1)+4),1,3))+5)/7))</f>
        <v/>
      </c>
      <c r="D617" s="9" t="str">
        <f aca="false">IF(B617="","",B617-WEEKDAY(B617,2)+1)</f>
        <v/>
      </c>
      <c r="E617" s="10"/>
      <c r="F617" s="8"/>
      <c r="G617" s="11"/>
      <c r="H617" s="10"/>
      <c r="I617" s="11"/>
      <c r="J617" s="10"/>
      <c r="K617" s="10"/>
      <c r="L617" s="10"/>
      <c r="M617" s="11"/>
      <c r="N617" s="8"/>
      <c r="O617" s="7" t="str">
        <f aca="false">IF(L617="","",IFERROR(VLOOKUP(L617,Paramètres!$F$5:$G$8,2,FALSE()),""))</f>
        <v/>
      </c>
      <c r="P617" s="9" t="str">
        <f aca="false">IF(OR(B617="",O617=""),"",IF(N617="",B617,N617)+O617)</f>
        <v/>
      </c>
      <c r="Q617" s="10"/>
      <c r="R617" s="8"/>
      <c r="S617" s="7" t="str">
        <f aca="false">IF(OR(B617="",R617=""),"",R617-B617)</f>
        <v/>
      </c>
      <c r="T617" s="7" t="str">
        <f aca="true">IF(OR(B617="",P617=""),"",IF(R617&lt;&gt;"",IF(R617&gt;P617,"Traité hors délai","Non"),IF(Q617="Classé sans suite","Non",IF(TODAY()&gt;P617,"OUI","Non"))))</f>
        <v/>
      </c>
      <c r="U617" s="11"/>
    </row>
    <row r="618" customFormat="false" ht="15" hidden="false" customHeight="false" outlineLevel="0" collapsed="false">
      <c r="A618" s="7" t="str">
        <f aca="false">IF(B618="","",YEAR(B618)&amp;"/"&amp;TEXT(ROW()-4,"0000"))</f>
        <v/>
      </c>
      <c r="B618" s="8"/>
      <c r="C618" s="7" t="str">
        <f aca="false">IF(B618="","",INT((B618-DATE(YEAR(B618-WEEKDAY(B618-1)+4),1,3)+WEEKDAY(DATE(YEAR(B618-WEEKDAY(B618-1)+4),1,3))+5)/7))</f>
        <v/>
      </c>
      <c r="D618" s="9" t="str">
        <f aca="false">IF(B618="","",B618-WEEKDAY(B618,2)+1)</f>
        <v/>
      </c>
      <c r="E618" s="10"/>
      <c r="F618" s="8"/>
      <c r="G618" s="11"/>
      <c r="H618" s="10"/>
      <c r="I618" s="11"/>
      <c r="J618" s="10"/>
      <c r="K618" s="10"/>
      <c r="L618" s="10"/>
      <c r="M618" s="11"/>
      <c r="N618" s="8"/>
      <c r="O618" s="7" t="str">
        <f aca="false">IF(L618="","",IFERROR(VLOOKUP(L618,Paramètres!$F$5:$G$8,2,FALSE()),""))</f>
        <v/>
      </c>
      <c r="P618" s="9" t="str">
        <f aca="false">IF(OR(B618="",O618=""),"",IF(N618="",B618,N618)+O618)</f>
        <v/>
      </c>
      <c r="Q618" s="10"/>
      <c r="R618" s="8"/>
      <c r="S618" s="7" t="str">
        <f aca="false">IF(OR(B618="",R618=""),"",R618-B618)</f>
        <v/>
      </c>
      <c r="T618" s="7" t="str">
        <f aca="true">IF(OR(B618="",P618=""),"",IF(R618&lt;&gt;"",IF(R618&gt;P618,"Traité hors délai","Non"),IF(Q618="Classé sans suite","Non",IF(TODAY()&gt;P618,"OUI","Non"))))</f>
        <v/>
      </c>
      <c r="U618" s="11"/>
    </row>
    <row r="619" customFormat="false" ht="15" hidden="false" customHeight="false" outlineLevel="0" collapsed="false">
      <c r="A619" s="7" t="str">
        <f aca="false">IF(B619="","",YEAR(B619)&amp;"/"&amp;TEXT(ROW()-4,"0000"))</f>
        <v/>
      </c>
      <c r="B619" s="8"/>
      <c r="C619" s="7" t="str">
        <f aca="false">IF(B619="","",INT((B619-DATE(YEAR(B619-WEEKDAY(B619-1)+4),1,3)+WEEKDAY(DATE(YEAR(B619-WEEKDAY(B619-1)+4),1,3))+5)/7))</f>
        <v/>
      </c>
      <c r="D619" s="9" t="str">
        <f aca="false">IF(B619="","",B619-WEEKDAY(B619,2)+1)</f>
        <v/>
      </c>
      <c r="E619" s="10"/>
      <c r="F619" s="8"/>
      <c r="G619" s="11"/>
      <c r="H619" s="10"/>
      <c r="I619" s="11"/>
      <c r="J619" s="10"/>
      <c r="K619" s="10"/>
      <c r="L619" s="10"/>
      <c r="M619" s="11"/>
      <c r="N619" s="8"/>
      <c r="O619" s="7" t="str">
        <f aca="false">IF(L619="","",IFERROR(VLOOKUP(L619,Paramètres!$F$5:$G$8,2,FALSE()),""))</f>
        <v/>
      </c>
      <c r="P619" s="9" t="str">
        <f aca="false">IF(OR(B619="",O619=""),"",IF(N619="",B619,N619)+O619)</f>
        <v/>
      </c>
      <c r="Q619" s="10"/>
      <c r="R619" s="8"/>
      <c r="S619" s="7" t="str">
        <f aca="false">IF(OR(B619="",R619=""),"",R619-B619)</f>
        <v/>
      </c>
      <c r="T619" s="7" t="str">
        <f aca="true">IF(OR(B619="",P619=""),"",IF(R619&lt;&gt;"",IF(R619&gt;P619,"Traité hors délai","Non"),IF(Q619="Classé sans suite","Non",IF(TODAY()&gt;P619,"OUI","Non"))))</f>
        <v/>
      </c>
      <c r="U619" s="11"/>
    </row>
    <row r="620" customFormat="false" ht="15" hidden="false" customHeight="false" outlineLevel="0" collapsed="false">
      <c r="A620" s="7" t="str">
        <f aca="false">IF(B620="","",YEAR(B620)&amp;"/"&amp;TEXT(ROW()-4,"0000"))</f>
        <v/>
      </c>
      <c r="B620" s="8"/>
      <c r="C620" s="7" t="str">
        <f aca="false">IF(B620="","",INT((B620-DATE(YEAR(B620-WEEKDAY(B620-1)+4),1,3)+WEEKDAY(DATE(YEAR(B620-WEEKDAY(B620-1)+4),1,3))+5)/7))</f>
        <v/>
      </c>
      <c r="D620" s="9" t="str">
        <f aca="false">IF(B620="","",B620-WEEKDAY(B620,2)+1)</f>
        <v/>
      </c>
      <c r="E620" s="10"/>
      <c r="F620" s="8"/>
      <c r="G620" s="11"/>
      <c r="H620" s="10"/>
      <c r="I620" s="11"/>
      <c r="J620" s="10"/>
      <c r="K620" s="10"/>
      <c r="L620" s="10"/>
      <c r="M620" s="11"/>
      <c r="N620" s="8"/>
      <c r="O620" s="7" t="str">
        <f aca="false">IF(L620="","",IFERROR(VLOOKUP(L620,Paramètres!$F$5:$G$8,2,FALSE()),""))</f>
        <v/>
      </c>
      <c r="P620" s="9" t="str">
        <f aca="false">IF(OR(B620="",O620=""),"",IF(N620="",B620,N620)+O620)</f>
        <v/>
      </c>
      <c r="Q620" s="10"/>
      <c r="R620" s="8"/>
      <c r="S620" s="7" t="str">
        <f aca="false">IF(OR(B620="",R620=""),"",R620-B620)</f>
        <v/>
      </c>
      <c r="T620" s="7" t="str">
        <f aca="true">IF(OR(B620="",P620=""),"",IF(R620&lt;&gt;"",IF(R620&gt;P620,"Traité hors délai","Non"),IF(Q620="Classé sans suite","Non",IF(TODAY()&gt;P620,"OUI","Non"))))</f>
        <v/>
      </c>
      <c r="U620" s="11"/>
    </row>
    <row r="621" customFormat="false" ht="15" hidden="false" customHeight="false" outlineLevel="0" collapsed="false">
      <c r="A621" s="7" t="str">
        <f aca="false">IF(B621="","",YEAR(B621)&amp;"/"&amp;TEXT(ROW()-4,"0000"))</f>
        <v/>
      </c>
      <c r="B621" s="8"/>
      <c r="C621" s="7" t="str">
        <f aca="false">IF(B621="","",INT((B621-DATE(YEAR(B621-WEEKDAY(B621-1)+4),1,3)+WEEKDAY(DATE(YEAR(B621-WEEKDAY(B621-1)+4),1,3))+5)/7))</f>
        <v/>
      </c>
      <c r="D621" s="9" t="str">
        <f aca="false">IF(B621="","",B621-WEEKDAY(B621,2)+1)</f>
        <v/>
      </c>
      <c r="E621" s="10"/>
      <c r="F621" s="8"/>
      <c r="G621" s="11"/>
      <c r="H621" s="10"/>
      <c r="I621" s="11"/>
      <c r="J621" s="10"/>
      <c r="K621" s="10"/>
      <c r="L621" s="10"/>
      <c r="M621" s="11"/>
      <c r="N621" s="8"/>
      <c r="O621" s="7" t="str">
        <f aca="false">IF(L621="","",IFERROR(VLOOKUP(L621,Paramètres!$F$5:$G$8,2,FALSE()),""))</f>
        <v/>
      </c>
      <c r="P621" s="9" t="str">
        <f aca="false">IF(OR(B621="",O621=""),"",IF(N621="",B621,N621)+O621)</f>
        <v/>
      </c>
      <c r="Q621" s="10"/>
      <c r="R621" s="8"/>
      <c r="S621" s="7" t="str">
        <f aca="false">IF(OR(B621="",R621=""),"",R621-B621)</f>
        <v/>
      </c>
      <c r="T621" s="7" t="str">
        <f aca="true">IF(OR(B621="",P621=""),"",IF(R621&lt;&gt;"",IF(R621&gt;P621,"Traité hors délai","Non"),IF(Q621="Classé sans suite","Non",IF(TODAY()&gt;P621,"OUI","Non"))))</f>
        <v/>
      </c>
      <c r="U621" s="11"/>
    </row>
    <row r="622" customFormat="false" ht="15" hidden="false" customHeight="false" outlineLevel="0" collapsed="false">
      <c r="A622" s="7" t="str">
        <f aca="false">IF(B622="","",YEAR(B622)&amp;"/"&amp;TEXT(ROW()-4,"0000"))</f>
        <v/>
      </c>
      <c r="B622" s="8"/>
      <c r="C622" s="7" t="str">
        <f aca="false">IF(B622="","",INT((B622-DATE(YEAR(B622-WEEKDAY(B622-1)+4),1,3)+WEEKDAY(DATE(YEAR(B622-WEEKDAY(B622-1)+4),1,3))+5)/7))</f>
        <v/>
      </c>
      <c r="D622" s="9" t="str">
        <f aca="false">IF(B622="","",B622-WEEKDAY(B622,2)+1)</f>
        <v/>
      </c>
      <c r="E622" s="10"/>
      <c r="F622" s="8"/>
      <c r="G622" s="11"/>
      <c r="H622" s="10"/>
      <c r="I622" s="11"/>
      <c r="J622" s="10"/>
      <c r="K622" s="10"/>
      <c r="L622" s="10"/>
      <c r="M622" s="11"/>
      <c r="N622" s="8"/>
      <c r="O622" s="7" t="str">
        <f aca="false">IF(L622="","",IFERROR(VLOOKUP(L622,Paramètres!$F$5:$G$8,2,FALSE()),""))</f>
        <v/>
      </c>
      <c r="P622" s="9" t="str">
        <f aca="false">IF(OR(B622="",O622=""),"",IF(N622="",B622,N622)+O622)</f>
        <v/>
      </c>
      <c r="Q622" s="10"/>
      <c r="R622" s="8"/>
      <c r="S622" s="7" t="str">
        <f aca="false">IF(OR(B622="",R622=""),"",R622-B622)</f>
        <v/>
      </c>
      <c r="T622" s="7" t="str">
        <f aca="true">IF(OR(B622="",P622=""),"",IF(R622&lt;&gt;"",IF(R622&gt;P622,"Traité hors délai","Non"),IF(Q622="Classé sans suite","Non",IF(TODAY()&gt;P622,"OUI","Non"))))</f>
        <v/>
      </c>
      <c r="U622" s="11"/>
    </row>
    <row r="623" customFormat="false" ht="15" hidden="false" customHeight="false" outlineLevel="0" collapsed="false">
      <c r="A623" s="7" t="str">
        <f aca="false">IF(B623="","",YEAR(B623)&amp;"/"&amp;TEXT(ROW()-4,"0000"))</f>
        <v/>
      </c>
      <c r="B623" s="8"/>
      <c r="C623" s="7" t="str">
        <f aca="false">IF(B623="","",INT((B623-DATE(YEAR(B623-WEEKDAY(B623-1)+4),1,3)+WEEKDAY(DATE(YEAR(B623-WEEKDAY(B623-1)+4),1,3))+5)/7))</f>
        <v/>
      </c>
      <c r="D623" s="9" t="str">
        <f aca="false">IF(B623="","",B623-WEEKDAY(B623,2)+1)</f>
        <v/>
      </c>
      <c r="E623" s="10"/>
      <c r="F623" s="8"/>
      <c r="G623" s="11"/>
      <c r="H623" s="10"/>
      <c r="I623" s="11"/>
      <c r="J623" s="10"/>
      <c r="K623" s="10"/>
      <c r="L623" s="10"/>
      <c r="M623" s="11"/>
      <c r="N623" s="8"/>
      <c r="O623" s="7" t="str">
        <f aca="false">IF(L623="","",IFERROR(VLOOKUP(L623,Paramètres!$F$5:$G$8,2,FALSE()),""))</f>
        <v/>
      </c>
      <c r="P623" s="9" t="str">
        <f aca="false">IF(OR(B623="",O623=""),"",IF(N623="",B623,N623)+O623)</f>
        <v/>
      </c>
      <c r="Q623" s="10"/>
      <c r="R623" s="8"/>
      <c r="S623" s="7" t="str">
        <f aca="false">IF(OR(B623="",R623=""),"",R623-B623)</f>
        <v/>
      </c>
      <c r="T623" s="7" t="str">
        <f aca="true">IF(OR(B623="",P623=""),"",IF(R623&lt;&gt;"",IF(R623&gt;P623,"Traité hors délai","Non"),IF(Q623="Classé sans suite","Non",IF(TODAY()&gt;P623,"OUI","Non"))))</f>
        <v/>
      </c>
      <c r="U623" s="11"/>
    </row>
    <row r="624" customFormat="false" ht="15" hidden="false" customHeight="false" outlineLevel="0" collapsed="false">
      <c r="A624" s="7" t="str">
        <f aca="false">IF(B624="","",YEAR(B624)&amp;"/"&amp;TEXT(ROW()-4,"0000"))</f>
        <v/>
      </c>
      <c r="B624" s="8"/>
      <c r="C624" s="7" t="str">
        <f aca="false">IF(B624="","",INT((B624-DATE(YEAR(B624-WEEKDAY(B624-1)+4),1,3)+WEEKDAY(DATE(YEAR(B624-WEEKDAY(B624-1)+4),1,3))+5)/7))</f>
        <v/>
      </c>
      <c r="D624" s="9" t="str">
        <f aca="false">IF(B624="","",B624-WEEKDAY(B624,2)+1)</f>
        <v/>
      </c>
      <c r="E624" s="10"/>
      <c r="F624" s="8"/>
      <c r="G624" s="11"/>
      <c r="H624" s="10"/>
      <c r="I624" s="11"/>
      <c r="J624" s="10"/>
      <c r="K624" s="10"/>
      <c r="L624" s="10"/>
      <c r="M624" s="11"/>
      <c r="N624" s="8"/>
      <c r="O624" s="7" t="str">
        <f aca="false">IF(L624="","",IFERROR(VLOOKUP(L624,Paramètres!$F$5:$G$8,2,FALSE()),""))</f>
        <v/>
      </c>
      <c r="P624" s="9" t="str">
        <f aca="false">IF(OR(B624="",O624=""),"",IF(N624="",B624,N624)+O624)</f>
        <v/>
      </c>
      <c r="Q624" s="10"/>
      <c r="R624" s="8"/>
      <c r="S624" s="7" t="str">
        <f aca="false">IF(OR(B624="",R624=""),"",R624-B624)</f>
        <v/>
      </c>
      <c r="T624" s="7" t="str">
        <f aca="true">IF(OR(B624="",P624=""),"",IF(R624&lt;&gt;"",IF(R624&gt;P624,"Traité hors délai","Non"),IF(Q624="Classé sans suite","Non",IF(TODAY()&gt;P624,"OUI","Non"))))</f>
        <v/>
      </c>
      <c r="U624" s="11"/>
    </row>
    <row r="625" customFormat="false" ht="15" hidden="false" customHeight="false" outlineLevel="0" collapsed="false">
      <c r="A625" s="7" t="str">
        <f aca="false">IF(B625="","",YEAR(B625)&amp;"/"&amp;TEXT(ROW()-4,"0000"))</f>
        <v/>
      </c>
      <c r="B625" s="8"/>
      <c r="C625" s="7" t="str">
        <f aca="false">IF(B625="","",INT((B625-DATE(YEAR(B625-WEEKDAY(B625-1)+4),1,3)+WEEKDAY(DATE(YEAR(B625-WEEKDAY(B625-1)+4),1,3))+5)/7))</f>
        <v/>
      </c>
      <c r="D625" s="9" t="str">
        <f aca="false">IF(B625="","",B625-WEEKDAY(B625,2)+1)</f>
        <v/>
      </c>
      <c r="E625" s="10"/>
      <c r="F625" s="8"/>
      <c r="G625" s="11"/>
      <c r="H625" s="10"/>
      <c r="I625" s="11"/>
      <c r="J625" s="10"/>
      <c r="K625" s="10"/>
      <c r="L625" s="10"/>
      <c r="M625" s="11"/>
      <c r="N625" s="8"/>
      <c r="O625" s="7" t="str">
        <f aca="false">IF(L625="","",IFERROR(VLOOKUP(L625,Paramètres!$F$5:$G$8,2,FALSE()),""))</f>
        <v/>
      </c>
      <c r="P625" s="9" t="str">
        <f aca="false">IF(OR(B625="",O625=""),"",IF(N625="",B625,N625)+O625)</f>
        <v/>
      </c>
      <c r="Q625" s="10"/>
      <c r="R625" s="8"/>
      <c r="S625" s="7" t="str">
        <f aca="false">IF(OR(B625="",R625=""),"",R625-B625)</f>
        <v/>
      </c>
      <c r="T625" s="7" t="str">
        <f aca="true">IF(OR(B625="",P625=""),"",IF(R625&lt;&gt;"",IF(R625&gt;P625,"Traité hors délai","Non"),IF(Q625="Classé sans suite","Non",IF(TODAY()&gt;P625,"OUI","Non"))))</f>
        <v/>
      </c>
      <c r="U625" s="11"/>
    </row>
    <row r="626" customFormat="false" ht="15" hidden="false" customHeight="false" outlineLevel="0" collapsed="false">
      <c r="A626" s="7" t="str">
        <f aca="false">IF(B626="","",YEAR(B626)&amp;"/"&amp;TEXT(ROW()-4,"0000"))</f>
        <v/>
      </c>
      <c r="B626" s="8"/>
      <c r="C626" s="7" t="str">
        <f aca="false">IF(B626="","",INT((B626-DATE(YEAR(B626-WEEKDAY(B626-1)+4),1,3)+WEEKDAY(DATE(YEAR(B626-WEEKDAY(B626-1)+4),1,3))+5)/7))</f>
        <v/>
      </c>
      <c r="D626" s="9" t="str">
        <f aca="false">IF(B626="","",B626-WEEKDAY(B626,2)+1)</f>
        <v/>
      </c>
      <c r="E626" s="10"/>
      <c r="F626" s="8"/>
      <c r="G626" s="11"/>
      <c r="H626" s="10"/>
      <c r="I626" s="11"/>
      <c r="J626" s="10"/>
      <c r="K626" s="10"/>
      <c r="L626" s="10"/>
      <c r="M626" s="11"/>
      <c r="N626" s="8"/>
      <c r="O626" s="7" t="str">
        <f aca="false">IF(L626="","",IFERROR(VLOOKUP(L626,Paramètres!$F$5:$G$8,2,FALSE()),""))</f>
        <v/>
      </c>
      <c r="P626" s="9" t="str">
        <f aca="false">IF(OR(B626="",O626=""),"",IF(N626="",B626,N626)+O626)</f>
        <v/>
      </c>
      <c r="Q626" s="10"/>
      <c r="R626" s="8"/>
      <c r="S626" s="7" t="str">
        <f aca="false">IF(OR(B626="",R626=""),"",R626-B626)</f>
        <v/>
      </c>
      <c r="T626" s="7" t="str">
        <f aca="true">IF(OR(B626="",P626=""),"",IF(R626&lt;&gt;"",IF(R626&gt;P626,"Traité hors délai","Non"),IF(Q626="Classé sans suite","Non",IF(TODAY()&gt;P626,"OUI","Non"))))</f>
        <v/>
      </c>
      <c r="U626" s="11"/>
    </row>
    <row r="627" customFormat="false" ht="15" hidden="false" customHeight="false" outlineLevel="0" collapsed="false">
      <c r="A627" s="7" t="str">
        <f aca="false">IF(B627="","",YEAR(B627)&amp;"/"&amp;TEXT(ROW()-4,"0000"))</f>
        <v/>
      </c>
      <c r="B627" s="8"/>
      <c r="C627" s="7" t="str">
        <f aca="false">IF(B627="","",INT((B627-DATE(YEAR(B627-WEEKDAY(B627-1)+4),1,3)+WEEKDAY(DATE(YEAR(B627-WEEKDAY(B627-1)+4),1,3))+5)/7))</f>
        <v/>
      </c>
      <c r="D627" s="9" t="str">
        <f aca="false">IF(B627="","",B627-WEEKDAY(B627,2)+1)</f>
        <v/>
      </c>
      <c r="E627" s="10"/>
      <c r="F627" s="8"/>
      <c r="G627" s="11"/>
      <c r="H627" s="10"/>
      <c r="I627" s="11"/>
      <c r="J627" s="10"/>
      <c r="K627" s="10"/>
      <c r="L627" s="10"/>
      <c r="M627" s="11"/>
      <c r="N627" s="8"/>
      <c r="O627" s="7" t="str">
        <f aca="false">IF(L627="","",IFERROR(VLOOKUP(L627,Paramètres!$F$5:$G$8,2,FALSE()),""))</f>
        <v/>
      </c>
      <c r="P627" s="9" t="str">
        <f aca="false">IF(OR(B627="",O627=""),"",IF(N627="",B627,N627)+O627)</f>
        <v/>
      </c>
      <c r="Q627" s="10"/>
      <c r="R627" s="8"/>
      <c r="S627" s="7" t="str">
        <f aca="false">IF(OR(B627="",R627=""),"",R627-B627)</f>
        <v/>
      </c>
      <c r="T627" s="7" t="str">
        <f aca="true">IF(OR(B627="",P627=""),"",IF(R627&lt;&gt;"",IF(R627&gt;P627,"Traité hors délai","Non"),IF(Q627="Classé sans suite","Non",IF(TODAY()&gt;P627,"OUI","Non"))))</f>
        <v/>
      </c>
      <c r="U627" s="11"/>
    </row>
    <row r="628" customFormat="false" ht="15" hidden="false" customHeight="false" outlineLevel="0" collapsed="false">
      <c r="A628" s="7" t="str">
        <f aca="false">IF(B628="","",YEAR(B628)&amp;"/"&amp;TEXT(ROW()-4,"0000"))</f>
        <v/>
      </c>
      <c r="B628" s="8"/>
      <c r="C628" s="7" t="str">
        <f aca="false">IF(B628="","",INT((B628-DATE(YEAR(B628-WEEKDAY(B628-1)+4),1,3)+WEEKDAY(DATE(YEAR(B628-WEEKDAY(B628-1)+4),1,3))+5)/7))</f>
        <v/>
      </c>
      <c r="D628" s="9" t="str">
        <f aca="false">IF(B628="","",B628-WEEKDAY(B628,2)+1)</f>
        <v/>
      </c>
      <c r="E628" s="10"/>
      <c r="F628" s="8"/>
      <c r="G628" s="11"/>
      <c r="H628" s="10"/>
      <c r="I628" s="11"/>
      <c r="J628" s="10"/>
      <c r="K628" s="10"/>
      <c r="L628" s="10"/>
      <c r="M628" s="11"/>
      <c r="N628" s="8"/>
      <c r="O628" s="7" t="str">
        <f aca="false">IF(L628="","",IFERROR(VLOOKUP(L628,Paramètres!$F$5:$G$8,2,FALSE()),""))</f>
        <v/>
      </c>
      <c r="P628" s="9" t="str">
        <f aca="false">IF(OR(B628="",O628=""),"",IF(N628="",B628,N628)+O628)</f>
        <v/>
      </c>
      <c r="Q628" s="10"/>
      <c r="R628" s="8"/>
      <c r="S628" s="7" t="str">
        <f aca="false">IF(OR(B628="",R628=""),"",R628-B628)</f>
        <v/>
      </c>
      <c r="T628" s="7" t="str">
        <f aca="true">IF(OR(B628="",P628=""),"",IF(R628&lt;&gt;"",IF(R628&gt;P628,"Traité hors délai","Non"),IF(Q628="Classé sans suite","Non",IF(TODAY()&gt;P628,"OUI","Non"))))</f>
        <v/>
      </c>
      <c r="U628" s="11"/>
    </row>
    <row r="629" customFormat="false" ht="15" hidden="false" customHeight="false" outlineLevel="0" collapsed="false">
      <c r="A629" s="7" t="str">
        <f aca="false">IF(B629="","",YEAR(B629)&amp;"/"&amp;TEXT(ROW()-4,"0000"))</f>
        <v/>
      </c>
      <c r="B629" s="8"/>
      <c r="C629" s="7" t="str">
        <f aca="false">IF(B629="","",INT((B629-DATE(YEAR(B629-WEEKDAY(B629-1)+4),1,3)+WEEKDAY(DATE(YEAR(B629-WEEKDAY(B629-1)+4),1,3))+5)/7))</f>
        <v/>
      </c>
      <c r="D629" s="9" t="str">
        <f aca="false">IF(B629="","",B629-WEEKDAY(B629,2)+1)</f>
        <v/>
      </c>
      <c r="E629" s="10"/>
      <c r="F629" s="8"/>
      <c r="G629" s="11"/>
      <c r="H629" s="10"/>
      <c r="I629" s="11"/>
      <c r="J629" s="10"/>
      <c r="K629" s="10"/>
      <c r="L629" s="10"/>
      <c r="M629" s="11"/>
      <c r="N629" s="8"/>
      <c r="O629" s="7" t="str">
        <f aca="false">IF(L629="","",IFERROR(VLOOKUP(L629,Paramètres!$F$5:$G$8,2,FALSE()),""))</f>
        <v/>
      </c>
      <c r="P629" s="9" t="str">
        <f aca="false">IF(OR(B629="",O629=""),"",IF(N629="",B629,N629)+O629)</f>
        <v/>
      </c>
      <c r="Q629" s="10"/>
      <c r="R629" s="8"/>
      <c r="S629" s="7" t="str">
        <f aca="false">IF(OR(B629="",R629=""),"",R629-B629)</f>
        <v/>
      </c>
      <c r="T629" s="7" t="str">
        <f aca="true">IF(OR(B629="",P629=""),"",IF(R629&lt;&gt;"",IF(R629&gt;P629,"Traité hors délai","Non"),IF(Q629="Classé sans suite","Non",IF(TODAY()&gt;P629,"OUI","Non"))))</f>
        <v/>
      </c>
      <c r="U629" s="11"/>
    </row>
    <row r="630" customFormat="false" ht="15" hidden="false" customHeight="false" outlineLevel="0" collapsed="false">
      <c r="A630" s="7" t="str">
        <f aca="false">IF(B630="","",YEAR(B630)&amp;"/"&amp;TEXT(ROW()-4,"0000"))</f>
        <v/>
      </c>
      <c r="B630" s="8"/>
      <c r="C630" s="7" t="str">
        <f aca="false">IF(B630="","",INT((B630-DATE(YEAR(B630-WEEKDAY(B630-1)+4),1,3)+WEEKDAY(DATE(YEAR(B630-WEEKDAY(B630-1)+4),1,3))+5)/7))</f>
        <v/>
      </c>
      <c r="D630" s="9" t="str">
        <f aca="false">IF(B630="","",B630-WEEKDAY(B630,2)+1)</f>
        <v/>
      </c>
      <c r="E630" s="10"/>
      <c r="F630" s="8"/>
      <c r="G630" s="11"/>
      <c r="H630" s="10"/>
      <c r="I630" s="11"/>
      <c r="J630" s="10"/>
      <c r="K630" s="10"/>
      <c r="L630" s="10"/>
      <c r="M630" s="11"/>
      <c r="N630" s="8"/>
      <c r="O630" s="7" t="str">
        <f aca="false">IF(L630="","",IFERROR(VLOOKUP(L630,Paramètres!$F$5:$G$8,2,FALSE()),""))</f>
        <v/>
      </c>
      <c r="P630" s="9" t="str">
        <f aca="false">IF(OR(B630="",O630=""),"",IF(N630="",B630,N630)+O630)</f>
        <v/>
      </c>
      <c r="Q630" s="10"/>
      <c r="R630" s="8"/>
      <c r="S630" s="7" t="str">
        <f aca="false">IF(OR(B630="",R630=""),"",R630-B630)</f>
        <v/>
      </c>
      <c r="T630" s="7" t="str">
        <f aca="true">IF(OR(B630="",P630=""),"",IF(R630&lt;&gt;"",IF(R630&gt;P630,"Traité hors délai","Non"),IF(Q630="Classé sans suite","Non",IF(TODAY()&gt;P630,"OUI","Non"))))</f>
        <v/>
      </c>
      <c r="U630" s="11"/>
    </row>
    <row r="631" customFormat="false" ht="15" hidden="false" customHeight="false" outlineLevel="0" collapsed="false">
      <c r="A631" s="7" t="str">
        <f aca="false">IF(B631="","",YEAR(B631)&amp;"/"&amp;TEXT(ROW()-4,"0000"))</f>
        <v/>
      </c>
      <c r="B631" s="8"/>
      <c r="C631" s="7" t="str">
        <f aca="false">IF(B631="","",INT((B631-DATE(YEAR(B631-WEEKDAY(B631-1)+4),1,3)+WEEKDAY(DATE(YEAR(B631-WEEKDAY(B631-1)+4),1,3))+5)/7))</f>
        <v/>
      </c>
      <c r="D631" s="9" t="str">
        <f aca="false">IF(B631="","",B631-WEEKDAY(B631,2)+1)</f>
        <v/>
      </c>
      <c r="E631" s="10"/>
      <c r="F631" s="8"/>
      <c r="G631" s="11"/>
      <c r="H631" s="10"/>
      <c r="I631" s="11"/>
      <c r="J631" s="10"/>
      <c r="K631" s="10"/>
      <c r="L631" s="10"/>
      <c r="M631" s="11"/>
      <c r="N631" s="8"/>
      <c r="O631" s="7" t="str">
        <f aca="false">IF(L631="","",IFERROR(VLOOKUP(L631,Paramètres!$F$5:$G$8,2,FALSE()),""))</f>
        <v/>
      </c>
      <c r="P631" s="9" t="str">
        <f aca="false">IF(OR(B631="",O631=""),"",IF(N631="",B631,N631)+O631)</f>
        <v/>
      </c>
      <c r="Q631" s="10"/>
      <c r="R631" s="8"/>
      <c r="S631" s="7" t="str">
        <f aca="false">IF(OR(B631="",R631=""),"",R631-B631)</f>
        <v/>
      </c>
      <c r="T631" s="7" t="str">
        <f aca="true">IF(OR(B631="",P631=""),"",IF(R631&lt;&gt;"",IF(R631&gt;P631,"Traité hors délai","Non"),IF(Q631="Classé sans suite","Non",IF(TODAY()&gt;P631,"OUI","Non"))))</f>
        <v/>
      </c>
      <c r="U631" s="11"/>
    </row>
    <row r="632" customFormat="false" ht="15" hidden="false" customHeight="false" outlineLevel="0" collapsed="false">
      <c r="A632" s="7" t="str">
        <f aca="false">IF(B632="","",YEAR(B632)&amp;"/"&amp;TEXT(ROW()-4,"0000"))</f>
        <v/>
      </c>
      <c r="B632" s="8"/>
      <c r="C632" s="7" t="str">
        <f aca="false">IF(B632="","",INT((B632-DATE(YEAR(B632-WEEKDAY(B632-1)+4),1,3)+WEEKDAY(DATE(YEAR(B632-WEEKDAY(B632-1)+4),1,3))+5)/7))</f>
        <v/>
      </c>
      <c r="D632" s="9" t="str">
        <f aca="false">IF(B632="","",B632-WEEKDAY(B632,2)+1)</f>
        <v/>
      </c>
      <c r="E632" s="10"/>
      <c r="F632" s="8"/>
      <c r="G632" s="11"/>
      <c r="H632" s="10"/>
      <c r="I632" s="11"/>
      <c r="J632" s="10"/>
      <c r="K632" s="10"/>
      <c r="L632" s="10"/>
      <c r="M632" s="11"/>
      <c r="N632" s="8"/>
      <c r="O632" s="7" t="str">
        <f aca="false">IF(L632="","",IFERROR(VLOOKUP(L632,Paramètres!$F$5:$G$8,2,FALSE()),""))</f>
        <v/>
      </c>
      <c r="P632" s="9" t="str">
        <f aca="false">IF(OR(B632="",O632=""),"",IF(N632="",B632,N632)+O632)</f>
        <v/>
      </c>
      <c r="Q632" s="10"/>
      <c r="R632" s="8"/>
      <c r="S632" s="7" t="str">
        <f aca="false">IF(OR(B632="",R632=""),"",R632-B632)</f>
        <v/>
      </c>
      <c r="T632" s="7" t="str">
        <f aca="true">IF(OR(B632="",P632=""),"",IF(R632&lt;&gt;"",IF(R632&gt;P632,"Traité hors délai","Non"),IF(Q632="Classé sans suite","Non",IF(TODAY()&gt;P632,"OUI","Non"))))</f>
        <v/>
      </c>
      <c r="U632" s="11"/>
    </row>
    <row r="633" customFormat="false" ht="15" hidden="false" customHeight="false" outlineLevel="0" collapsed="false">
      <c r="A633" s="7" t="str">
        <f aca="false">IF(B633="","",YEAR(B633)&amp;"/"&amp;TEXT(ROW()-4,"0000"))</f>
        <v/>
      </c>
      <c r="B633" s="8"/>
      <c r="C633" s="7" t="str">
        <f aca="false">IF(B633="","",INT((B633-DATE(YEAR(B633-WEEKDAY(B633-1)+4),1,3)+WEEKDAY(DATE(YEAR(B633-WEEKDAY(B633-1)+4),1,3))+5)/7))</f>
        <v/>
      </c>
      <c r="D633" s="9" t="str">
        <f aca="false">IF(B633="","",B633-WEEKDAY(B633,2)+1)</f>
        <v/>
      </c>
      <c r="E633" s="10"/>
      <c r="F633" s="8"/>
      <c r="G633" s="11"/>
      <c r="H633" s="10"/>
      <c r="I633" s="11"/>
      <c r="J633" s="10"/>
      <c r="K633" s="10"/>
      <c r="L633" s="10"/>
      <c r="M633" s="11"/>
      <c r="N633" s="8"/>
      <c r="O633" s="7" t="str">
        <f aca="false">IF(L633="","",IFERROR(VLOOKUP(L633,Paramètres!$F$5:$G$8,2,FALSE()),""))</f>
        <v/>
      </c>
      <c r="P633" s="9" t="str">
        <f aca="false">IF(OR(B633="",O633=""),"",IF(N633="",B633,N633)+O633)</f>
        <v/>
      </c>
      <c r="Q633" s="10"/>
      <c r="R633" s="8"/>
      <c r="S633" s="7" t="str">
        <f aca="false">IF(OR(B633="",R633=""),"",R633-B633)</f>
        <v/>
      </c>
      <c r="T633" s="7" t="str">
        <f aca="true">IF(OR(B633="",P633=""),"",IF(R633&lt;&gt;"",IF(R633&gt;P633,"Traité hors délai","Non"),IF(Q633="Classé sans suite","Non",IF(TODAY()&gt;P633,"OUI","Non"))))</f>
        <v/>
      </c>
      <c r="U633" s="11"/>
    </row>
    <row r="634" customFormat="false" ht="15" hidden="false" customHeight="false" outlineLevel="0" collapsed="false">
      <c r="A634" s="7" t="str">
        <f aca="false">IF(B634="","",YEAR(B634)&amp;"/"&amp;TEXT(ROW()-4,"0000"))</f>
        <v/>
      </c>
      <c r="B634" s="8"/>
      <c r="C634" s="7" t="str">
        <f aca="false">IF(B634="","",INT((B634-DATE(YEAR(B634-WEEKDAY(B634-1)+4),1,3)+WEEKDAY(DATE(YEAR(B634-WEEKDAY(B634-1)+4),1,3))+5)/7))</f>
        <v/>
      </c>
      <c r="D634" s="9" t="str">
        <f aca="false">IF(B634="","",B634-WEEKDAY(B634,2)+1)</f>
        <v/>
      </c>
      <c r="E634" s="10"/>
      <c r="F634" s="8"/>
      <c r="G634" s="11"/>
      <c r="H634" s="10"/>
      <c r="I634" s="11"/>
      <c r="J634" s="10"/>
      <c r="K634" s="10"/>
      <c r="L634" s="10"/>
      <c r="M634" s="11"/>
      <c r="N634" s="8"/>
      <c r="O634" s="7" t="str">
        <f aca="false">IF(L634="","",IFERROR(VLOOKUP(L634,Paramètres!$F$5:$G$8,2,FALSE()),""))</f>
        <v/>
      </c>
      <c r="P634" s="9" t="str">
        <f aca="false">IF(OR(B634="",O634=""),"",IF(N634="",B634,N634)+O634)</f>
        <v/>
      </c>
      <c r="Q634" s="10"/>
      <c r="R634" s="8"/>
      <c r="S634" s="7" t="str">
        <f aca="false">IF(OR(B634="",R634=""),"",R634-B634)</f>
        <v/>
      </c>
      <c r="T634" s="7" t="str">
        <f aca="true">IF(OR(B634="",P634=""),"",IF(R634&lt;&gt;"",IF(R634&gt;P634,"Traité hors délai","Non"),IF(Q634="Classé sans suite","Non",IF(TODAY()&gt;P634,"OUI","Non"))))</f>
        <v/>
      </c>
      <c r="U634" s="11"/>
    </row>
    <row r="635" customFormat="false" ht="15" hidden="false" customHeight="false" outlineLevel="0" collapsed="false">
      <c r="A635" s="7" t="str">
        <f aca="false">IF(B635="","",YEAR(B635)&amp;"/"&amp;TEXT(ROW()-4,"0000"))</f>
        <v/>
      </c>
      <c r="B635" s="8"/>
      <c r="C635" s="7" t="str">
        <f aca="false">IF(B635="","",INT((B635-DATE(YEAR(B635-WEEKDAY(B635-1)+4),1,3)+WEEKDAY(DATE(YEAR(B635-WEEKDAY(B635-1)+4),1,3))+5)/7))</f>
        <v/>
      </c>
      <c r="D635" s="9" t="str">
        <f aca="false">IF(B635="","",B635-WEEKDAY(B635,2)+1)</f>
        <v/>
      </c>
      <c r="E635" s="10"/>
      <c r="F635" s="8"/>
      <c r="G635" s="11"/>
      <c r="H635" s="10"/>
      <c r="I635" s="11"/>
      <c r="J635" s="10"/>
      <c r="K635" s="10"/>
      <c r="L635" s="10"/>
      <c r="M635" s="11"/>
      <c r="N635" s="8"/>
      <c r="O635" s="7" t="str">
        <f aca="false">IF(L635="","",IFERROR(VLOOKUP(L635,Paramètres!$F$5:$G$8,2,FALSE()),""))</f>
        <v/>
      </c>
      <c r="P635" s="9" t="str">
        <f aca="false">IF(OR(B635="",O635=""),"",IF(N635="",B635,N635)+O635)</f>
        <v/>
      </c>
      <c r="Q635" s="10"/>
      <c r="R635" s="8"/>
      <c r="S635" s="7" t="str">
        <f aca="false">IF(OR(B635="",R635=""),"",R635-B635)</f>
        <v/>
      </c>
      <c r="T635" s="7" t="str">
        <f aca="true">IF(OR(B635="",P635=""),"",IF(R635&lt;&gt;"",IF(R635&gt;P635,"Traité hors délai","Non"),IF(Q635="Classé sans suite","Non",IF(TODAY()&gt;P635,"OUI","Non"))))</f>
        <v/>
      </c>
      <c r="U635" s="11"/>
    </row>
    <row r="636" customFormat="false" ht="15" hidden="false" customHeight="false" outlineLevel="0" collapsed="false">
      <c r="A636" s="7" t="str">
        <f aca="false">IF(B636="","",YEAR(B636)&amp;"/"&amp;TEXT(ROW()-4,"0000"))</f>
        <v/>
      </c>
      <c r="B636" s="8"/>
      <c r="C636" s="7" t="str">
        <f aca="false">IF(B636="","",INT((B636-DATE(YEAR(B636-WEEKDAY(B636-1)+4),1,3)+WEEKDAY(DATE(YEAR(B636-WEEKDAY(B636-1)+4),1,3))+5)/7))</f>
        <v/>
      </c>
      <c r="D636" s="9" t="str">
        <f aca="false">IF(B636="","",B636-WEEKDAY(B636,2)+1)</f>
        <v/>
      </c>
      <c r="E636" s="10"/>
      <c r="F636" s="8"/>
      <c r="G636" s="11"/>
      <c r="H636" s="10"/>
      <c r="I636" s="11"/>
      <c r="J636" s="10"/>
      <c r="K636" s="10"/>
      <c r="L636" s="10"/>
      <c r="M636" s="11"/>
      <c r="N636" s="8"/>
      <c r="O636" s="7" t="str">
        <f aca="false">IF(L636="","",IFERROR(VLOOKUP(L636,Paramètres!$F$5:$G$8,2,FALSE()),""))</f>
        <v/>
      </c>
      <c r="P636" s="9" t="str">
        <f aca="false">IF(OR(B636="",O636=""),"",IF(N636="",B636,N636)+O636)</f>
        <v/>
      </c>
      <c r="Q636" s="10"/>
      <c r="R636" s="8"/>
      <c r="S636" s="7" t="str">
        <f aca="false">IF(OR(B636="",R636=""),"",R636-B636)</f>
        <v/>
      </c>
      <c r="T636" s="7" t="str">
        <f aca="true">IF(OR(B636="",P636=""),"",IF(R636&lt;&gt;"",IF(R636&gt;P636,"Traité hors délai","Non"),IF(Q636="Classé sans suite","Non",IF(TODAY()&gt;P636,"OUI","Non"))))</f>
        <v/>
      </c>
      <c r="U636" s="11"/>
    </row>
    <row r="637" customFormat="false" ht="15" hidden="false" customHeight="false" outlineLevel="0" collapsed="false">
      <c r="A637" s="7" t="str">
        <f aca="false">IF(B637="","",YEAR(B637)&amp;"/"&amp;TEXT(ROW()-4,"0000"))</f>
        <v/>
      </c>
      <c r="B637" s="8"/>
      <c r="C637" s="7" t="str">
        <f aca="false">IF(B637="","",INT((B637-DATE(YEAR(B637-WEEKDAY(B637-1)+4),1,3)+WEEKDAY(DATE(YEAR(B637-WEEKDAY(B637-1)+4),1,3))+5)/7))</f>
        <v/>
      </c>
      <c r="D637" s="9" t="str">
        <f aca="false">IF(B637="","",B637-WEEKDAY(B637,2)+1)</f>
        <v/>
      </c>
      <c r="E637" s="10"/>
      <c r="F637" s="8"/>
      <c r="G637" s="11"/>
      <c r="H637" s="10"/>
      <c r="I637" s="11"/>
      <c r="J637" s="10"/>
      <c r="K637" s="10"/>
      <c r="L637" s="10"/>
      <c r="M637" s="11"/>
      <c r="N637" s="8"/>
      <c r="O637" s="7" t="str">
        <f aca="false">IF(L637="","",IFERROR(VLOOKUP(L637,Paramètres!$F$5:$G$8,2,FALSE()),""))</f>
        <v/>
      </c>
      <c r="P637" s="9" t="str">
        <f aca="false">IF(OR(B637="",O637=""),"",IF(N637="",B637,N637)+O637)</f>
        <v/>
      </c>
      <c r="Q637" s="10"/>
      <c r="R637" s="8"/>
      <c r="S637" s="7" t="str">
        <f aca="false">IF(OR(B637="",R637=""),"",R637-B637)</f>
        <v/>
      </c>
      <c r="T637" s="7" t="str">
        <f aca="true">IF(OR(B637="",P637=""),"",IF(R637&lt;&gt;"",IF(R637&gt;P637,"Traité hors délai","Non"),IF(Q637="Classé sans suite","Non",IF(TODAY()&gt;P637,"OUI","Non"))))</f>
        <v/>
      </c>
      <c r="U637" s="11"/>
    </row>
    <row r="638" customFormat="false" ht="15" hidden="false" customHeight="false" outlineLevel="0" collapsed="false">
      <c r="A638" s="7" t="str">
        <f aca="false">IF(B638="","",YEAR(B638)&amp;"/"&amp;TEXT(ROW()-4,"0000"))</f>
        <v/>
      </c>
      <c r="B638" s="8"/>
      <c r="C638" s="7" t="str">
        <f aca="false">IF(B638="","",INT((B638-DATE(YEAR(B638-WEEKDAY(B638-1)+4),1,3)+WEEKDAY(DATE(YEAR(B638-WEEKDAY(B638-1)+4),1,3))+5)/7))</f>
        <v/>
      </c>
      <c r="D638" s="9" t="str">
        <f aca="false">IF(B638="","",B638-WEEKDAY(B638,2)+1)</f>
        <v/>
      </c>
      <c r="E638" s="10"/>
      <c r="F638" s="8"/>
      <c r="G638" s="11"/>
      <c r="H638" s="10"/>
      <c r="I638" s="11"/>
      <c r="J638" s="10"/>
      <c r="K638" s="10"/>
      <c r="L638" s="10"/>
      <c r="M638" s="11"/>
      <c r="N638" s="8"/>
      <c r="O638" s="7" t="str">
        <f aca="false">IF(L638="","",IFERROR(VLOOKUP(L638,Paramètres!$F$5:$G$8,2,FALSE()),""))</f>
        <v/>
      </c>
      <c r="P638" s="9" t="str">
        <f aca="false">IF(OR(B638="",O638=""),"",IF(N638="",B638,N638)+O638)</f>
        <v/>
      </c>
      <c r="Q638" s="10"/>
      <c r="R638" s="8"/>
      <c r="S638" s="7" t="str">
        <f aca="false">IF(OR(B638="",R638=""),"",R638-B638)</f>
        <v/>
      </c>
      <c r="T638" s="7" t="str">
        <f aca="true">IF(OR(B638="",P638=""),"",IF(R638&lt;&gt;"",IF(R638&gt;P638,"Traité hors délai","Non"),IF(Q638="Classé sans suite","Non",IF(TODAY()&gt;P638,"OUI","Non"))))</f>
        <v/>
      </c>
      <c r="U638" s="11"/>
    </row>
    <row r="639" customFormat="false" ht="15" hidden="false" customHeight="false" outlineLevel="0" collapsed="false">
      <c r="A639" s="7" t="str">
        <f aca="false">IF(B639="","",YEAR(B639)&amp;"/"&amp;TEXT(ROW()-4,"0000"))</f>
        <v/>
      </c>
      <c r="B639" s="8"/>
      <c r="C639" s="7" t="str">
        <f aca="false">IF(B639="","",INT((B639-DATE(YEAR(B639-WEEKDAY(B639-1)+4),1,3)+WEEKDAY(DATE(YEAR(B639-WEEKDAY(B639-1)+4),1,3))+5)/7))</f>
        <v/>
      </c>
      <c r="D639" s="9" t="str">
        <f aca="false">IF(B639="","",B639-WEEKDAY(B639,2)+1)</f>
        <v/>
      </c>
      <c r="E639" s="10"/>
      <c r="F639" s="8"/>
      <c r="G639" s="11"/>
      <c r="H639" s="10"/>
      <c r="I639" s="11"/>
      <c r="J639" s="10"/>
      <c r="K639" s="10"/>
      <c r="L639" s="10"/>
      <c r="M639" s="11"/>
      <c r="N639" s="8"/>
      <c r="O639" s="7" t="str">
        <f aca="false">IF(L639="","",IFERROR(VLOOKUP(L639,Paramètres!$F$5:$G$8,2,FALSE()),""))</f>
        <v/>
      </c>
      <c r="P639" s="9" t="str">
        <f aca="false">IF(OR(B639="",O639=""),"",IF(N639="",B639,N639)+O639)</f>
        <v/>
      </c>
      <c r="Q639" s="10"/>
      <c r="R639" s="8"/>
      <c r="S639" s="7" t="str">
        <f aca="false">IF(OR(B639="",R639=""),"",R639-B639)</f>
        <v/>
      </c>
      <c r="T639" s="7" t="str">
        <f aca="true">IF(OR(B639="",P639=""),"",IF(R639&lt;&gt;"",IF(R639&gt;P639,"Traité hors délai","Non"),IF(Q639="Classé sans suite","Non",IF(TODAY()&gt;P639,"OUI","Non"))))</f>
        <v/>
      </c>
      <c r="U639" s="11"/>
    </row>
    <row r="640" customFormat="false" ht="15" hidden="false" customHeight="false" outlineLevel="0" collapsed="false">
      <c r="A640" s="7" t="str">
        <f aca="false">IF(B640="","",YEAR(B640)&amp;"/"&amp;TEXT(ROW()-4,"0000"))</f>
        <v/>
      </c>
      <c r="B640" s="8"/>
      <c r="C640" s="7" t="str">
        <f aca="false">IF(B640="","",INT((B640-DATE(YEAR(B640-WEEKDAY(B640-1)+4),1,3)+WEEKDAY(DATE(YEAR(B640-WEEKDAY(B640-1)+4),1,3))+5)/7))</f>
        <v/>
      </c>
      <c r="D640" s="9" t="str">
        <f aca="false">IF(B640="","",B640-WEEKDAY(B640,2)+1)</f>
        <v/>
      </c>
      <c r="E640" s="10"/>
      <c r="F640" s="8"/>
      <c r="G640" s="11"/>
      <c r="H640" s="10"/>
      <c r="I640" s="11"/>
      <c r="J640" s="10"/>
      <c r="K640" s="10"/>
      <c r="L640" s="10"/>
      <c r="M640" s="11"/>
      <c r="N640" s="8"/>
      <c r="O640" s="7" t="str">
        <f aca="false">IF(L640="","",IFERROR(VLOOKUP(L640,Paramètres!$F$5:$G$8,2,FALSE()),""))</f>
        <v/>
      </c>
      <c r="P640" s="9" t="str">
        <f aca="false">IF(OR(B640="",O640=""),"",IF(N640="",B640,N640)+O640)</f>
        <v/>
      </c>
      <c r="Q640" s="10"/>
      <c r="R640" s="8"/>
      <c r="S640" s="7" t="str">
        <f aca="false">IF(OR(B640="",R640=""),"",R640-B640)</f>
        <v/>
      </c>
      <c r="T640" s="7" t="str">
        <f aca="true">IF(OR(B640="",P640=""),"",IF(R640&lt;&gt;"",IF(R640&gt;P640,"Traité hors délai","Non"),IF(Q640="Classé sans suite","Non",IF(TODAY()&gt;P640,"OUI","Non"))))</f>
        <v/>
      </c>
      <c r="U640" s="11"/>
    </row>
    <row r="641" customFormat="false" ht="15" hidden="false" customHeight="false" outlineLevel="0" collapsed="false">
      <c r="A641" s="7" t="str">
        <f aca="false">IF(B641="","",YEAR(B641)&amp;"/"&amp;TEXT(ROW()-4,"0000"))</f>
        <v/>
      </c>
      <c r="B641" s="8"/>
      <c r="C641" s="7" t="str">
        <f aca="false">IF(B641="","",INT((B641-DATE(YEAR(B641-WEEKDAY(B641-1)+4),1,3)+WEEKDAY(DATE(YEAR(B641-WEEKDAY(B641-1)+4),1,3))+5)/7))</f>
        <v/>
      </c>
      <c r="D641" s="9" t="str">
        <f aca="false">IF(B641="","",B641-WEEKDAY(B641,2)+1)</f>
        <v/>
      </c>
      <c r="E641" s="10"/>
      <c r="F641" s="8"/>
      <c r="G641" s="11"/>
      <c r="H641" s="10"/>
      <c r="I641" s="11"/>
      <c r="J641" s="10"/>
      <c r="K641" s="10"/>
      <c r="L641" s="10"/>
      <c r="M641" s="11"/>
      <c r="N641" s="8"/>
      <c r="O641" s="7" t="str">
        <f aca="false">IF(L641="","",IFERROR(VLOOKUP(L641,Paramètres!$F$5:$G$8,2,FALSE()),""))</f>
        <v/>
      </c>
      <c r="P641" s="9" t="str">
        <f aca="false">IF(OR(B641="",O641=""),"",IF(N641="",B641,N641)+O641)</f>
        <v/>
      </c>
      <c r="Q641" s="10"/>
      <c r="R641" s="8"/>
      <c r="S641" s="7" t="str">
        <f aca="false">IF(OR(B641="",R641=""),"",R641-B641)</f>
        <v/>
      </c>
      <c r="T641" s="7" t="str">
        <f aca="true">IF(OR(B641="",P641=""),"",IF(R641&lt;&gt;"",IF(R641&gt;P641,"Traité hors délai","Non"),IF(Q641="Classé sans suite","Non",IF(TODAY()&gt;P641,"OUI","Non"))))</f>
        <v/>
      </c>
      <c r="U641" s="11"/>
    </row>
    <row r="642" customFormat="false" ht="15" hidden="false" customHeight="false" outlineLevel="0" collapsed="false">
      <c r="A642" s="7" t="str">
        <f aca="false">IF(B642="","",YEAR(B642)&amp;"/"&amp;TEXT(ROW()-4,"0000"))</f>
        <v/>
      </c>
      <c r="B642" s="8"/>
      <c r="C642" s="7" t="str">
        <f aca="false">IF(B642="","",INT((B642-DATE(YEAR(B642-WEEKDAY(B642-1)+4),1,3)+WEEKDAY(DATE(YEAR(B642-WEEKDAY(B642-1)+4),1,3))+5)/7))</f>
        <v/>
      </c>
      <c r="D642" s="9" t="str">
        <f aca="false">IF(B642="","",B642-WEEKDAY(B642,2)+1)</f>
        <v/>
      </c>
      <c r="E642" s="10"/>
      <c r="F642" s="8"/>
      <c r="G642" s="11"/>
      <c r="H642" s="10"/>
      <c r="I642" s="11"/>
      <c r="J642" s="10"/>
      <c r="K642" s="10"/>
      <c r="L642" s="10"/>
      <c r="M642" s="11"/>
      <c r="N642" s="8"/>
      <c r="O642" s="7" t="str">
        <f aca="false">IF(L642="","",IFERROR(VLOOKUP(L642,Paramètres!$F$5:$G$8,2,FALSE()),""))</f>
        <v/>
      </c>
      <c r="P642" s="9" t="str">
        <f aca="false">IF(OR(B642="",O642=""),"",IF(N642="",B642,N642)+O642)</f>
        <v/>
      </c>
      <c r="Q642" s="10"/>
      <c r="R642" s="8"/>
      <c r="S642" s="7" t="str">
        <f aca="false">IF(OR(B642="",R642=""),"",R642-B642)</f>
        <v/>
      </c>
      <c r="T642" s="7" t="str">
        <f aca="true">IF(OR(B642="",P642=""),"",IF(R642&lt;&gt;"",IF(R642&gt;P642,"Traité hors délai","Non"),IF(Q642="Classé sans suite","Non",IF(TODAY()&gt;P642,"OUI","Non"))))</f>
        <v/>
      </c>
      <c r="U642" s="11"/>
    </row>
    <row r="643" customFormat="false" ht="15" hidden="false" customHeight="false" outlineLevel="0" collapsed="false">
      <c r="A643" s="7" t="str">
        <f aca="false">IF(B643="","",YEAR(B643)&amp;"/"&amp;TEXT(ROW()-4,"0000"))</f>
        <v/>
      </c>
      <c r="B643" s="8"/>
      <c r="C643" s="7" t="str">
        <f aca="false">IF(B643="","",INT((B643-DATE(YEAR(B643-WEEKDAY(B643-1)+4),1,3)+WEEKDAY(DATE(YEAR(B643-WEEKDAY(B643-1)+4),1,3))+5)/7))</f>
        <v/>
      </c>
      <c r="D643" s="9" t="str">
        <f aca="false">IF(B643="","",B643-WEEKDAY(B643,2)+1)</f>
        <v/>
      </c>
      <c r="E643" s="10"/>
      <c r="F643" s="8"/>
      <c r="G643" s="11"/>
      <c r="H643" s="10"/>
      <c r="I643" s="11"/>
      <c r="J643" s="10"/>
      <c r="K643" s="10"/>
      <c r="L643" s="10"/>
      <c r="M643" s="11"/>
      <c r="N643" s="8"/>
      <c r="O643" s="7" t="str">
        <f aca="false">IF(L643="","",IFERROR(VLOOKUP(L643,Paramètres!$F$5:$G$8,2,FALSE()),""))</f>
        <v/>
      </c>
      <c r="P643" s="9" t="str">
        <f aca="false">IF(OR(B643="",O643=""),"",IF(N643="",B643,N643)+O643)</f>
        <v/>
      </c>
      <c r="Q643" s="10"/>
      <c r="R643" s="8"/>
      <c r="S643" s="7" t="str">
        <f aca="false">IF(OR(B643="",R643=""),"",R643-B643)</f>
        <v/>
      </c>
      <c r="T643" s="7" t="str">
        <f aca="true">IF(OR(B643="",P643=""),"",IF(R643&lt;&gt;"",IF(R643&gt;P643,"Traité hors délai","Non"),IF(Q643="Classé sans suite","Non",IF(TODAY()&gt;P643,"OUI","Non"))))</f>
        <v/>
      </c>
      <c r="U643" s="11"/>
    </row>
    <row r="644" customFormat="false" ht="15" hidden="false" customHeight="false" outlineLevel="0" collapsed="false">
      <c r="A644" s="7" t="str">
        <f aca="false">IF(B644="","",YEAR(B644)&amp;"/"&amp;TEXT(ROW()-4,"0000"))</f>
        <v/>
      </c>
      <c r="B644" s="8"/>
      <c r="C644" s="7" t="str">
        <f aca="false">IF(B644="","",INT((B644-DATE(YEAR(B644-WEEKDAY(B644-1)+4),1,3)+WEEKDAY(DATE(YEAR(B644-WEEKDAY(B644-1)+4),1,3))+5)/7))</f>
        <v/>
      </c>
      <c r="D644" s="9" t="str">
        <f aca="false">IF(B644="","",B644-WEEKDAY(B644,2)+1)</f>
        <v/>
      </c>
      <c r="E644" s="10"/>
      <c r="F644" s="8"/>
      <c r="G644" s="11"/>
      <c r="H644" s="10"/>
      <c r="I644" s="11"/>
      <c r="J644" s="10"/>
      <c r="K644" s="10"/>
      <c r="L644" s="10"/>
      <c r="M644" s="11"/>
      <c r="N644" s="8"/>
      <c r="O644" s="7" t="str">
        <f aca="false">IF(L644="","",IFERROR(VLOOKUP(L644,Paramètres!$F$5:$G$8,2,FALSE()),""))</f>
        <v/>
      </c>
      <c r="P644" s="9" t="str">
        <f aca="false">IF(OR(B644="",O644=""),"",IF(N644="",B644,N644)+O644)</f>
        <v/>
      </c>
      <c r="Q644" s="10"/>
      <c r="R644" s="8"/>
      <c r="S644" s="7" t="str">
        <f aca="false">IF(OR(B644="",R644=""),"",R644-B644)</f>
        <v/>
      </c>
      <c r="T644" s="7" t="str">
        <f aca="true">IF(OR(B644="",P644=""),"",IF(R644&lt;&gt;"",IF(R644&gt;P644,"Traité hors délai","Non"),IF(Q644="Classé sans suite","Non",IF(TODAY()&gt;P644,"OUI","Non"))))</f>
        <v/>
      </c>
      <c r="U644" s="11"/>
    </row>
    <row r="645" customFormat="false" ht="15" hidden="false" customHeight="false" outlineLevel="0" collapsed="false">
      <c r="A645" s="7" t="str">
        <f aca="false">IF(B645="","",YEAR(B645)&amp;"/"&amp;TEXT(ROW()-4,"0000"))</f>
        <v/>
      </c>
      <c r="B645" s="8"/>
      <c r="C645" s="7" t="str">
        <f aca="false">IF(B645="","",INT((B645-DATE(YEAR(B645-WEEKDAY(B645-1)+4),1,3)+WEEKDAY(DATE(YEAR(B645-WEEKDAY(B645-1)+4),1,3))+5)/7))</f>
        <v/>
      </c>
      <c r="D645" s="9" t="str">
        <f aca="false">IF(B645="","",B645-WEEKDAY(B645,2)+1)</f>
        <v/>
      </c>
      <c r="E645" s="10"/>
      <c r="F645" s="8"/>
      <c r="G645" s="11"/>
      <c r="H645" s="10"/>
      <c r="I645" s="11"/>
      <c r="J645" s="10"/>
      <c r="K645" s="10"/>
      <c r="L645" s="10"/>
      <c r="M645" s="11"/>
      <c r="N645" s="8"/>
      <c r="O645" s="7" t="str">
        <f aca="false">IF(L645="","",IFERROR(VLOOKUP(L645,Paramètres!$F$5:$G$8,2,FALSE()),""))</f>
        <v/>
      </c>
      <c r="P645" s="9" t="str">
        <f aca="false">IF(OR(B645="",O645=""),"",IF(N645="",B645,N645)+O645)</f>
        <v/>
      </c>
      <c r="Q645" s="10"/>
      <c r="R645" s="8"/>
      <c r="S645" s="7" t="str">
        <f aca="false">IF(OR(B645="",R645=""),"",R645-B645)</f>
        <v/>
      </c>
      <c r="T645" s="7" t="str">
        <f aca="true">IF(OR(B645="",P645=""),"",IF(R645&lt;&gt;"",IF(R645&gt;P645,"Traité hors délai","Non"),IF(Q645="Classé sans suite","Non",IF(TODAY()&gt;P645,"OUI","Non"))))</f>
        <v/>
      </c>
      <c r="U645" s="11"/>
    </row>
    <row r="646" customFormat="false" ht="15" hidden="false" customHeight="false" outlineLevel="0" collapsed="false">
      <c r="A646" s="7" t="str">
        <f aca="false">IF(B646="","",YEAR(B646)&amp;"/"&amp;TEXT(ROW()-4,"0000"))</f>
        <v/>
      </c>
      <c r="B646" s="8"/>
      <c r="C646" s="7" t="str">
        <f aca="false">IF(B646="","",INT((B646-DATE(YEAR(B646-WEEKDAY(B646-1)+4),1,3)+WEEKDAY(DATE(YEAR(B646-WEEKDAY(B646-1)+4),1,3))+5)/7))</f>
        <v/>
      </c>
      <c r="D646" s="9" t="str">
        <f aca="false">IF(B646="","",B646-WEEKDAY(B646,2)+1)</f>
        <v/>
      </c>
      <c r="E646" s="10"/>
      <c r="F646" s="8"/>
      <c r="G646" s="11"/>
      <c r="H646" s="10"/>
      <c r="I646" s="11"/>
      <c r="J646" s="10"/>
      <c r="K646" s="10"/>
      <c r="L646" s="10"/>
      <c r="M646" s="11"/>
      <c r="N646" s="8"/>
      <c r="O646" s="7" t="str">
        <f aca="false">IF(L646="","",IFERROR(VLOOKUP(L646,Paramètres!$F$5:$G$8,2,FALSE()),""))</f>
        <v/>
      </c>
      <c r="P646" s="9" t="str">
        <f aca="false">IF(OR(B646="",O646=""),"",IF(N646="",B646,N646)+O646)</f>
        <v/>
      </c>
      <c r="Q646" s="10"/>
      <c r="R646" s="8"/>
      <c r="S646" s="7" t="str">
        <f aca="false">IF(OR(B646="",R646=""),"",R646-B646)</f>
        <v/>
      </c>
      <c r="T646" s="7" t="str">
        <f aca="true">IF(OR(B646="",P646=""),"",IF(R646&lt;&gt;"",IF(R646&gt;P646,"Traité hors délai","Non"),IF(Q646="Classé sans suite","Non",IF(TODAY()&gt;P646,"OUI","Non"))))</f>
        <v/>
      </c>
      <c r="U646" s="11"/>
    </row>
    <row r="647" customFormat="false" ht="15" hidden="false" customHeight="false" outlineLevel="0" collapsed="false">
      <c r="A647" s="7" t="str">
        <f aca="false">IF(B647="","",YEAR(B647)&amp;"/"&amp;TEXT(ROW()-4,"0000"))</f>
        <v/>
      </c>
      <c r="B647" s="8"/>
      <c r="C647" s="7" t="str">
        <f aca="false">IF(B647="","",INT((B647-DATE(YEAR(B647-WEEKDAY(B647-1)+4),1,3)+WEEKDAY(DATE(YEAR(B647-WEEKDAY(B647-1)+4),1,3))+5)/7))</f>
        <v/>
      </c>
      <c r="D647" s="9" t="str">
        <f aca="false">IF(B647="","",B647-WEEKDAY(B647,2)+1)</f>
        <v/>
      </c>
      <c r="E647" s="10"/>
      <c r="F647" s="8"/>
      <c r="G647" s="11"/>
      <c r="H647" s="10"/>
      <c r="I647" s="11"/>
      <c r="J647" s="10"/>
      <c r="K647" s="10"/>
      <c r="L647" s="10"/>
      <c r="M647" s="11"/>
      <c r="N647" s="8"/>
      <c r="O647" s="7" t="str">
        <f aca="false">IF(L647="","",IFERROR(VLOOKUP(L647,Paramètres!$F$5:$G$8,2,FALSE()),""))</f>
        <v/>
      </c>
      <c r="P647" s="9" t="str">
        <f aca="false">IF(OR(B647="",O647=""),"",IF(N647="",B647,N647)+O647)</f>
        <v/>
      </c>
      <c r="Q647" s="10"/>
      <c r="R647" s="8"/>
      <c r="S647" s="7" t="str">
        <f aca="false">IF(OR(B647="",R647=""),"",R647-B647)</f>
        <v/>
      </c>
      <c r="T647" s="7" t="str">
        <f aca="true">IF(OR(B647="",P647=""),"",IF(R647&lt;&gt;"",IF(R647&gt;P647,"Traité hors délai","Non"),IF(Q647="Classé sans suite","Non",IF(TODAY()&gt;P647,"OUI","Non"))))</f>
        <v/>
      </c>
      <c r="U647" s="11"/>
    </row>
    <row r="648" customFormat="false" ht="15" hidden="false" customHeight="false" outlineLevel="0" collapsed="false">
      <c r="A648" s="7" t="str">
        <f aca="false">IF(B648="","",YEAR(B648)&amp;"/"&amp;TEXT(ROW()-4,"0000"))</f>
        <v/>
      </c>
      <c r="B648" s="8"/>
      <c r="C648" s="7" t="str">
        <f aca="false">IF(B648="","",INT((B648-DATE(YEAR(B648-WEEKDAY(B648-1)+4),1,3)+WEEKDAY(DATE(YEAR(B648-WEEKDAY(B648-1)+4),1,3))+5)/7))</f>
        <v/>
      </c>
      <c r="D648" s="9" t="str">
        <f aca="false">IF(B648="","",B648-WEEKDAY(B648,2)+1)</f>
        <v/>
      </c>
      <c r="E648" s="10"/>
      <c r="F648" s="8"/>
      <c r="G648" s="11"/>
      <c r="H648" s="10"/>
      <c r="I648" s="11"/>
      <c r="J648" s="10"/>
      <c r="K648" s="10"/>
      <c r="L648" s="10"/>
      <c r="M648" s="11"/>
      <c r="N648" s="8"/>
      <c r="O648" s="7" t="str">
        <f aca="false">IF(L648="","",IFERROR(VLOOKUP(L648,Paramètres!$F$5:$G$8,2,FALSE()),""))</f>
        <v/>
      </c>
      <c r="P648" s="9" t="str">
        <f aca="false">IF(OR(B648="",O648=""),"",IF(N648="",B648,N648)+O648)</f>
        <v/>
      </c>
      <c r="Q648" s="10"/>
      <c r="R648" s="8"/>
      <c r="S648" s="7" t="str">
        <f aca="false">IF(OR(B648="",R648=""),"",R648-B648)</f>
        <v/>
      </c>
      <c r="T648" s="7" t="str">
        <f aca="true">IF(OR(B648="",P648=""),"",IF(R648&lt;&gt;"",IF(R648&gt;P648,"Traité hors délai","Non"),IF(Q648="Classé sans suite","Non",IF(TODAY()&gt;P648,"OUI","Non"))))</f>
        <v/>
      </c>
      <c r="U648" s="11"/>
    </row>
    <row r="649" customFormat="false" ht="15" hidden="false" customHeight="false" outlineLevel="0" collapsed="false">
      <c r="A649" s="7" t="str">
        <f aca="false">IF(B649="","",YEAR(B649)&amp;"/"&amp;TEXT(ROW()-4,"0000"))</f>
        <v/>
      </c>
      <c r="B649" s="8"/>
      <c r="C649" s="7" t="str">
        <f aca="false">IF(B649="","",INT((B649-DATE(YEAR(B649-WEEKDAY(B649-1)+4),1,3)+WEEKDAY(DATE(YEAR(B649-WEEKDAY(B649-1)+4),1,3))+5)/7))</f>
        <v/>
      </c>
      <c r="D649" s="9" t="str">
        <f aca="false">IF(B649="","",B649-WEEKDAY(B649,2)+1)</f>
        <v/>
      </c>
      <c r="E649" s="10"/>
      <c r="F649" s="8"/>
      <c r="G649" s="11"/>
      <c r="H649" s="10"/>
      <c r="I649" s="11"/>
      <c r="J649" s="10"/>
      <c r="K649" s="10"/>
      <c r="L649" s="10"/>
      <c r="M649" s="11"/>
      <c r="N649" s="8"/>
      <c r="O649" s="7" t="str">
        <f aca="false">IF(L649="","",IFERROR(VLOOKUP(L649,Paramètres!$F$5:$G$8,2,FALSE()),""))</f>
        <v/>
      </c>
      <c r="P649" s="9" t="str">
        <f aca="false">IF(OR(B649="",O649=""),"",IF(N649="",B649,N649)+O649)</f>
        <v/>
      </c>
      <c r="Q649" s="10"/>
      <c r="R649" s="8"/>
      <c r="S649" s="7" t="str">
        <f aca="false">IF(OR(B649="",R649=""),"",R649-B649)</f>
        <v/>
      </c>
      <c r="T649" s="7" t="str">
        <f aca="true">IF(OR(B649="",P649=""),"",IF(R649&lt;&gt;"",IF(R649&gt;P649,"Traité hors délai","Non"),IF(Q649="Classé sans suite","Non",IF(TODAY()&gt;P649,"OUI","Non"))))</f>
        <v/>
      </c>
      <c r="U649" s="11"/>
    </row>
    <row r="650" customFormat="false" ht="15" hidden="false" customHeight="false" outlineLevel="0" collapsed="false">
      <c r="A650" s="7" t="str">
        <f aca="false">IF(B650="","",YEAR(B650)&amp;"/"&amp;TEXT(ROW()-4,"0000"))</f>
        <v/>
      </c>
      <c r="B650" s="8"/>
      <c r="C650" s="7" t="str">
        <f aca="false">IF(B650="","",INT((B650-DATE(YEAR(B650-WEEKDAY(B650-1)+4),1,3)+WEEKDAY(DATE(YEAR(B650-WEEKDAY(B650-1)+4),1,3))+5)/7))</f>
        <v/>
      </c>
      <c r="D650" s="9" t="str">
        <f aca="false">IF(B650="","",B650-WEEKDAY(B650,2)+1)</f>
        <v/>
      </c>
      <c r="E650" s="10"/>
      <c r="F650" s="8"/>
      <c r="G650" s="11"/>
      <c r="H650" s="10"/>
      <c r="I650" s="11"/>
      <c r="J650" s="10"/>
      <c r="K650" s="10"/>
      <c r="L650" s="10"/>
      <c r="M650" s="11"/>
      <c r="N650" s="8"/>
      <c r="O650" s="7" t="str">
        <f aca="false">IF(L650="","",IFERROR(VLOOKUP(L650,Paramètres!$F$5:$G$8,2,FALSE()),""))</f>
        <v/>
      </c>
      <c r="P650" s="9" t="str">
        <f aca="false">IF(OR(B650="",O650=""),"",IF(N650="",B650,N650)+O650)</f>
        <v/>
      </c>
      <c r="Q650" s="10"/>
      <c r="R650" s="8"/>
      <c r="S650" s="7" t="str">
        <f aca="false">IF(OR(B650="",R650=""),"",R650-B650)</f>
        <v/>
      </c>
      <c r="T650" s="7" t="str">
        <f aca="true">IF(OR(B650="",P650=""),"",IF(R650&lt;&gt;"",IF(R650&gt;P650,"Traité hors délai","Non"),IF(Q650="Classé sans suite","Non",IF(TODAY()&gt;P650,"OUI","Non"))))</f>
        <v/>
      </c>
      <c r="U650" s="11"/>
    </row>
    <row r="651" customFormat="false" ht="15" hidden="false" customHeight="false" outlineLevel="0" collapsed="false">
      <c r="A651" s="7" t="str">
        <f aca="false">IF(B651="","",YEAR(B651)&amp;"/"&amp;TEXT(ROW()-4,"0000"))</f>
        <v/>
      </c>
      <c r="B651" s="8"/>
      <c r="C651" s="7" t="str">
        <f aca="false">IF(B651="","",INT((B651-DATE(YEAR(B651-WEEKDAY(B651-1)+4),1,3)+WEEKDAY(DATE(YEAR(B651-WEEKDAY(B651-1)+4),1,3))+5)/7))</f>
        <v/>
      </c>
      <c r="D651" s="9" t="str">
        <f aca="false">IF(B651="","",B651-WEEKDAY(B651,2)+1)</f>
        <v/>
      </c>
      <c r="E651" s="10"/>
      <c r="F651" s="8"/>
      <c r="G651" s="11"/>
      <c r="H651" s="10"/>
      <c r="I651" s="11"/>
      <c r="J651" s="10"/>
      <c r="K651" s="10"/>
      <c r="L651" s="10"/>
      <c r="M651" s="11"/>
      <c r="N651" s="8"/>
      <c r="O651" s="7" t="str">
        <f aca="false">IF(L651="","",IFERROR(VLOOKUP(L651,Paramètres!$F$5:$G$8,2,FALSE()),""))</f>
        <v/>
      </c>
      <c r="P651" s="9" t="str">
        <f aca="false">IF(OR(B651="",O651=""),"",IF(N651="",B651,N651)+O651)</f>
        <v/>
      </c>
      <c r="Q651" s="10"/>
      <c r="R651" s="8"/>
      <c r="S651" s="7" t="str">
        <f aca="false">IF(OR(B651="",R651=""),"",R651-B651)</f>
        <v/>
      </c>
      <c r="T651" s="7" t="str">
        <f aca="true">IF(OR(B651="",P651=""),"",IF(R651&lt;&gt;"",IF(R651&gt;P651,"Traité hors délai","Non"),IF(Q651="Classé sans suite","Non",IF(TODAY()&gt;P651,"OUI","Non"))))</f>
        <v/>
      </c>
      <c r="U651" s="11"/>
    </row>
    <row r="652" customFormat="false" ht="15" hidden="false" customHeight="false" outlineLevel="0" collapsed="false">
      <c r="A652" s="7" t="str">
        <f aca="false">IF(B652="","",YEAR(B652)&amp;"/"&amp;TEXT(ROW()-4,"0000"))</f>
        <v/>
      </c>
      <c r="B652" s="8"/>
      <c r="C652" s="7" t="str">
        <f aca="false">IF(B652="","",INT((B652-DATE(YEAR(B652-WEEKDAY(B652-1)+4),1,3)+WEEKDAY(DATE(YEAR(B652-WEEKDAY(B652-1)+4),1,3))+5)/7))</f>
        <v/>
      </c>
      <c r="D652" s="9" t="str">
        <f aca="false">IF(B652="","",B652-WEEKDAY(B652,2)+1)</f>
        <v/>
      </c>
      <c r="E652" s="10"/>
      <c r="F652" s="8"/>
      <c r="G652" s="11"/>
      <c r="H652" s="10"/>
      <c r="I652" s="11"/>
      <c r="J652" s="10"/>
      <c r="K652" s="10"/>
      <c r="L652" s="10"/>
      <c r="M652" s="11"/>
      <c r="N652" s="8"/>
      <c r="O652" s="7" t="str">
        <f aca="false">IF(L652="","",IFERROR(VLOOKUP(L652,Paramètres!$F$5:$G$8,2,FALSE()),""))</f>
        <v/>
      </c>
      <c r="P652" s="9" t="str">
        <f aca="false">IF(OR(B652="",O652=""),"",IF(N652="",B652,N652)+O652)</f>
        <v/>
      </c>
      <c r="Q652" s="10"/>
      <c r="R652" s="8"/>
      <c r="S652" s="7" t="str">
        <f aca="false">IF(OR(B652="",R652=""),"",R652-B652)</f>
        <v/>
      </c>
      <c r="T652" s="7" t="str">
        <f aca="true">IF(OR(B652="",P652=""),"",IF(R652&lt;&gt;"",IF(R652&gt;P652,"Traité hors délai","Non"),IF(Q652="Classé sans suite","Non",IF(TODAY()&gt;P652,"OUI","Non"))))</f>
        <v/>
      </c>
      <c r="U652" s="11"/>
    </row>
    <row r="653" customFormat="false" ht="15" hidden="false" customHeight="false" outlineLevel="0" collapsed="false">
      <c r="A653" s="7" t="str">
        <f aca="false">IF(B653="","",YEAR(B653)&amp;"/"&amp;TEXT(ROW()-4,"0000"))</f>
        <v/>
      </c>
      <c r="B653" s="8"/>
      <c r="C653" s="7" t="str">
        <f aca="false">IF(B653="","",INT((B653-DATE(YEAR(B653-WEEKDAY(B653-1)+4),1,3)+WEEKDAY(DATE(YEAR(B653-WEEKDAY(B653-1)+4),1,3))+5)/7))</f>
        <v/>
      </c>
      <c r="D653" s="9" t="str">
        <f aca="false">IF(B653="","",B653-WEEKDAY(B653,2)+1)</f>
        <v/>
      </c>
      <c r="E653" s="10"/>
      <c r="F653" s="8"/>
      <c r="G653" s="11"/>
      <c r="H653" s="10"/>
      <c r="I653" s="11"/>
      <c r="J653" s="10"/>
      <c r="K653" s="10"/>
      <c r="L653" s="10"/>
      <c r="M653" s="11"/>
      <c r="N653" s="8"/>
      <c r="O653" s="7" t="str">
        <f aca="false">IF(L653="","",IFERROR(VLOOKUP(L653,Paramètres!$F$5:$G$8,2,FALSE()),""))</f>
        <v/>
      </c>
      <c r="P653" s="9" t="str">
        <f aca="false">IF(OR(B653="",O653=""),"",IF(N653="",B653,N653)+O653)</f>
        <v/>
      </c>
      <c r="Q653" s="10"/>
      <c r="R653" s="8"/>
      <c r="S653" s="7" t="str">
        <f aca="false">IF(OR(B653="",R653=""),"",R653-B653)</f>
        <v/>
      </c>
      <c r="T653" s="7" t="str">
        <f aca="true">IF(OR(B653="",P653=""),"",IF(R653&lt;&gt;"",IF(R653&gt;P653,"Traité hors délai","Non"),IF(Q653="Classé sans suite","Non",IF(TODAY()&gt;P653,"OUI","Non"))))</f>
        <v/>
      </c>
      <c r="U653" s="11"/>
    </row>
    <row r="654" customFormat="false" ht="15" hidden="false" customHeight="false" outlineLevel="0" collapsed="false">
      <c r="A654" s="7" t="str">
        <f aca="false">IF(B654="","",YEAR(B654)&amp;"/"&amp;TEXT(ROW()-4,"0000"))</f>
        <v/>
      </c>
      <c r="B654" s="8"/>
      <c r="C654" s="7" t="str">
        <f aca="false">IF(B654="","",INT((B654-DATE(YEAR(B654-WEEKDAY(B654-1)+4),1,3)+WEEKDAY(DATE(YEAR(B654-WEEKDAY(B654-1)+4),1,3))+5)/7))</f>
        <v/>
      </c>
      <c r="D654" s="9" t="str">
        <f aca="false">IF(B654="","",B654-WEEKDAY(B654,2)+1)</f>
        <v/>
      </c>
      <c r="E654" s="10"/>
      <c r="F654" s="8"/>
      <c r="G654" s="11"/>
      <c r="H654" s="10"/>
      <c r="I654" s="11"/>
      <c r="J654" s="10"/>
      <c r="K654" s="10"/>
      <c r="L654" s="10"/>
      <c r="M654" s="11"/>
      <c r="N654" s="8"/>
      <c r="O654" s="7" t="str">
        <f aca="false">IF(L654="","",IFERROR(VLOOKUP(L654,Paramètres!$F$5:$G$8,2,FALSE()),""))</f>
        <v/>
      </c>
      <c r="P654" s="9" t="str">
        <f aca="false">IF(OR(B654="",O654=""),"",IF(N654="",B654,N654)+O654)</f>
        <v/>
      </c>
      <c r="Q654" s="10"/>
      <c r="R654" s="8"/>
      <c r="S654" s="7" t="str">
        <f aca="false">IF(OR(B654="",R654=""),"",R654-B654)</f>
        <v/>
      </c>
      <c r="T654" s="7" t="str">
        <f aca="true">IF(OR(B654="",P654=""),"",IF(R654&lt;&gt;"",IF(R654&gt;P654,"Traité hors délai","Non"),IF(Q654="Classé sans suite","Non",IF(TODAY()&gt;P654,"OUI","Non"))))</f>
        <v/>
      </c>
      <c r="U654" s="11"/>
    </row>
    <row r="655" customFormat="false" ht="15" hidden="false" customHeight="false" outlineLevel="0" collapsed="false">
      <c r="A655" s="7" t="str">
        <f aca="false">IF(B655="","",YEAR(B655)&amp;"/"&amp;TEXT(ROW()-4,"0000"))</f>
        <v/>
      </c>
      <c r="B655" s="8"/>
      <c r="C655" s="7" t="str">
        <f aca="false">IF(B655="","",INT((B655-DATE(YEAR(B655-WEEKDAY(B655-1)+4),1,3)+WEEKDAY(DATE(YEAR(B655-WEEKDAY(B655-1)+4),1,3))+5)/7))</f>
        <v/>
      </c>
      <c r="D655" s="9" t="str">
        <f aca="false">IF(B655="","",B655-WEEKDAY(B655,2)+1)</f>
        <v/>
      </c>
      <c r="E655" s="10"/>
      <c r="F655" s="8"/>
      <c r="G655" s="11"/>
      <c r="H655" s="10"/>
      <c r="I655" s="11"/>
      <c r="J655" s="10"/>
      <c r="K655" s="10"/>
      <c r="L655" s="10"/>
      <c r="M655" s="11"/>
      <c r="N655" s="8"/>
      <c r="O655" s="7" t="str">
        <f aca="false">IF(L655="","",IFERROR(VLOOKUP(L655,Paramètres!$F$5:$G$8,2,FALSE()),""))</f>
        <v/>
      </c>
      <c r="P655" s="9" t="str">
        <f aca="false">IF(OR(B655="",O655=""),"",IF(N655="",B655,N655)+O655)</f>
        <v/>
      </c>
      <c r="Q655" s="10"/>
      <c r="R655" s="8"/>
      <c r="S655" s="7" t="str">
        <f aca="false">IF(OR(B655="",R655=""),"",R655-B655)</f>
        <v/>
      </c>
      <c r="T655" s="7" t="str">
        <f aca="true">IF(OR(B655="",P655=""),"",IF(R655&lt;&gt;"",IF(R655&gt;P655,"Traité hors délai","Non"),IF(Q655="Classé sans suite","Non",IF(TODAY()&gt;P655,"OUI","Non"))))</f>
        <v/>
      </c>
      <c r="U655" s="11"/>
    </row>
    <row r="656" customFormat="false" ht="15" hidden="false" customHeight="false" outlineLevel="0" collapsed="false">
      <c r="A656" s="7" t="str">
        <f aca="false">IF(B656="","",YEAR(B656)&amp;"/"&amp;TEXT(ROW()-4,"0000"))</f>
        <v/>
      </c>
      <c r="B656" s="8"/>
      <c r="C656" s="7" t="str">
        <f aca="false">IF(B656="","",INT((B656-DATE(YEAR(B656-WEEKDAY(B656-1)+4),1,3)+WEEKDAY(DATE(YEAR(B656-WEEKDAY(B656-1)+4),1,3))+5)/7))</f>
        <v/>
      </c>
      <c r="D656" s="9" t="str">
        <f aca="false">IF(B656="","",B656-WEEKDAY(B656,2)+1)</f>
        <v/>
      </c>
      <c r="E656" s="10"/>
      <c r="F656" s="8"/>
      <c r="G656" s="11"/>
      <c r="H656" s="10"/>
      <c r="I656" s="11"/>
      <c r="J656" s="10"/>
      <c r="K656" s="10"/>
      <c r="L656" s="10"/>
      <c r="M656" s="11"/>
      <c r="N656" s="8"/>
      <c r="O656" s="7" t="str">
        <f aca="false">IF(L656="","",IFERROR(VLOOKUP(L656,Paramètres!$F$5:$G$8,2,FALSE()),""))</f>
        <v/>
      </c>
      <c r="P656" s="9" t="str">
        <f aca="false">IF(OR(B656="",O656=""),"",IF(N656="",B656,N656)+O656)</f>
        <v/>
      </c>
      <c r="Q656" s="10"/>
      <c r="R656" s="8"/>
      <c r="S656" s="7" t="str">
        <f aca="false">IF(OR(B656="",R656=""),"",R656-B656)</f>
        <v/>
      </c>
      <c r="T656" s="7" t="str">
        <f aca="true">IF(OR(B656="",P656=""),"",IF(R656&lt;&gt;"",IF(R656&gt;P656,"Traité hors délai","Non"),IF(Q656="Classé sans suite","Non",IF(TODAY()&gt;P656,"OUI","Non"))))</f>
        <v/>
      </c>
      <c r="U656" s="11"/>
    </row>
    <row r="657" customFormat="false" ht="15" hidden="false" customHeight="false" outlineLevel="0" collapsed="false">
      <c r="A657" s="7" t="str">
        <f aca="false">IF(B657="","",YEAR(B657)&amp;"/"&amp;TEXT(ROW()-4,"0000"))</f>
        <v/>
      </c>
      <c r="B657" s="8"/>
      <c r="C657" s="7" t="str">
        <f aca="false">IF(B657="","",INT((B657-DATE(YEAR(B657-WEEKDAY(B657-1)+4),1,3)+WEEKDAY(DATE(YEAR(B657-WEEKDAY(B657-1)+4),1,3))+5)/7))</f>
        <v/>
      </c>
      <c r="D657" s="9" t="str">
        <f aca="false">IF(B657="","",B657-WEEKDAY(B657,2)+1)</f>
        <v/>
      </c>
      <c r="E657" s="10"/>
      <c r="F657" s="8"/>
      <c r="G657" s="11"/>
      <c r="H657" s="10"/>
      <c r="I657" s="11"/>
      <c r="J657" s="10"/>
      <c r="K657" s="10"/>
      <c r="L657" s="10"/>
      <c r="M657" s="11"/>
      <c r="N657" s="8"/>
      <c r="O657" s="7" t="str">
        <f aca="false">IF(L657="","",IFERROR(VLOOKUP(L657,Paramètres!$F$5:$G$8,2,FALSE()),""))</f>
        <v/>
      </c>
      <c r="P657" s="9" t="str">
        <f aca="false">IF(OR(B657="",O657=""),"",IF(N657="",B657,N657)+O657)</f>
        <v/>
      </c>
      <c r="Q657" s="10"/>
      <c r="R657" s="8"/>
      <c r="S657" s="7" t="str">
        <f aca="false">IF(OR(B657="",R657=""),"",R657-B657)</f>
        <v/>
      </c>
      <c r="T657" s="7" t="str">
        <f aca="true">IF(OR(B657="",P657=""),"",IF(R657&lt;&gt;"",IF(R657&gt;P657,"Traité hors délai","Non"),IF(Q657="Classé sans suite","Non",IF(TODAY()&gt;P657,"OUI","Non"))))</f>
        <v/>
      </c>
      <c r="U657" s="11"/>
    </row>
    <row r="658" customFormat="false" ht="15" hidden="false" customHeight="false" outlineLevel="0" collapsed="false">
      <c r="A658" s="7" t="str">
        <f aca="false">IF(B658="","",YEAR(B658)&amp;"/"&amp;TEXT(ROW()-4,"0000"))</f>
        <v/>
      </c>
      <c r="B658" s="8"/>
      <c r="C658" s="7" t="str">
        <f aca="false">IF(B658="","",INT((B658-DATE(YEAR(B658-WEEKDAY(B658-1)+4),1,3)+WEEKDAY(DATE(YEAR(B658-WEEKDAY(B658-1)+4),1,3))+5)/7))</f>
        <v/>
      </c>
      <c r="D658" s="9" t="str">
        <f aca="false">IF(B658="","",B658-WEEKDAY(B658,2)+1)</f>
        <v/>
      </c>
      <c r="E658" s="10"/>
      <c r="F658" s="8"/>
      <c r="G658" s="11"/>
      <c r="H658" s="10"/>
      <c r="I658" s="11"/>
      <c r="J658" s="10"/>
      <c r="K658" s="10"/>
      <c r="L658" s="10"/>
      <c r="M658" s="11"/>
      <c r="N658" s="8"/>
      <c r="O658" s="7" t="str">
        <f aca="false">IF(L658="","",IFERROR(VLOOKUP(L658,Paramètres!$F$5:$G$8,2,FALSE()),""))</f>
        <v/>
      </c>
      <c r="P658" s="9" t="str">
        <f aca="false">IF(OR(B658="",O658=""),"",IF(N658="",B658,N658)+O658)</f>
        <v/>
      </c>
      <c r="Q658" s="10"/>
      <c r="R658" s="8"/>
      <c r="S658" s="7" t="str">
        <f aca="false">IF(OR(B658="",R658=""),"",R658-B658)</f>
        <v/>
      </c>
      <c r="T658" s="7" t="str">
        <f aca="true">IF(OR(B658="",P658=""),"",IF(R658&lt;&gt;"",IF(R658&gt;P658,"Traité hors délai","Non"),IF(Q658="Classé sans suite","Non",IF(TODAY()&gt;P658,"OUI","Non"))))</f>
        <v/>
      </c>
      <c r="U658" s="11"/>
    </row>
    <row r="659" customFormat="false" ht="15" hidden="false" customHeight="false" outlineLevel="0" collapsed="false">
      <c r="A659" s="7" t="str">
        <f aca="false">IF(B659="","",YEAR(B659)&amp;"/"&amp;TEXT(ROW()-4,"0000"))</f>
        <v/>
      </c>
      <c r="B659" s="8"/>
      <c r="C659" s="7" t="str">
        <f aca="false">IF(B659="","",INT((B659-DATE(YEAR(B659-WEEKDAY(B659-1)+4),1,3)+WEEKDAY(DATE(YEAR(B659-WEEKDAY(B659-1)+4),1,3))+5)/7))</f>
        <v/>
      </c>
      <c r="D659" s="9" t="str">
        <f aca="false">IF(B659="","",B659-WEEKDAY(B659,2)+1)</f>
        <v/>
      </c>
      <c r="E659" s="10"/>
      <c r="F659" s="8"/>
      <c r="G659" s="11"/>
      <c r="H659" s="10"/>
      <c r="I659" s="11"/>
      <c r="J659" s="10"/>
      <c r="K659" s="10"/>
      <c r="L659" s="10"/>
      <c r="M659" s="11"/>
      <c r="N659" s="8"/>
      <c r="O659" s="7" t="str">
        <f aca="false">IF(L659="","",IFERROR(VLOOKUP(L659,Paramètres!$F$5:$G$8,2,FALSE()),""))</f>
        <v/>
      </c>
      <c r="P659" s="9" t="str">
        <f aca="false">IF(OR(B659="",O659=""),"",IF(N659="",B659,N659)+O659)</f>
        <v/>
      </c>
      <c r="Q659" s="10"/>
      <c r="R659" s="8"/>
      <c r="S659" s="7" t="str">
        <f aca="false">IF(OR(B659="",R659=""),"",R659-B659)</f>
        <v/>
      </c>
      <c r="T659" s="7" t="str">
        <f aca="true">IF(OR(B659="",P659=""),"",IF(R659&lt;&gt;"",IF(R659&gt;P659,"Traité hors délai","Non"),IF(Q659="Classé sans suite","Non",IF(TODAY()&gt;P659,"OUI","Non"))))</f>
        <v/>
      </c>
      <c r="U659" s="11"/>
    </row>
    <row r="660" customFormat="false" ht="15" hidden="false" customHeight="false" outlineLevel="0" collapsed="false">
      <c r="A660" s="7" t="str">
        <f aca="false">IF(B660="","",YEAR(B660)&amp;"/"&amp;TEXT(ROW()-4,"0000"))</f>
        <v/>
      </c>
      <c r="B660" s="8"/>
      <c r="C660" s="7" t="str">
        <f aca="false">IF(B660="","",INT((B660-DATE(YEAR(B660-WEEKDAY(B660-1)+4),1,3)+WEEKDAY(DATE(YEAR(B660-WEEKDAY(B660-1)+4),1,3))+5)/7))</f>
        <v/>
      </c>
      <c r="D660" s="9" t="str">
        <f aca="false">IF(B660="","",B660-WEEKDAY(B660,2)+1)</f>
        <v/>
      </c>
      <c r="E660" s="10"/>
      <c r="F660" s="8"/>
      <c r="G660" s="11"/>
      <c r="H660" s="10"/>
      <c r="I660" s="11"/>
      <c r="J660" s="10"/>
      <c r="K660" s="10"/>
      <c r="L660" s="10"/>
      <c r="M660" s="11"/>
      <c r="N660" s="8"/>
      <c r="O660" s="7" t="str">
        <f aca="false">IF(L660="","",IFERROR(VLOOKUP(L660,Paramètres!$F$5:$G$8,2,FALSE()),""))</f>
        <v/>
      </c>
      <c r="P660" s="9" t="str">
        <f aca="false">IF(OR(B660="",O660=""),"",IF(N660="",B660,N660)+O660)</f>
        <v/>
      </c>
      <c r="Q660" s="10"/>
      <c r="R660" s="8"/>
      <c r="S660" s="7" t="str">
        <f aca="false">IF(OR(B660="",R660=""),"",R660-B660)</f>
        <v/>
      </c>
      <c r="T660" s="7" t="str">
        <f aca="true">IF(OR(B660="",P660=""),"",IF(R660&lt;&gt;"",IF(R660&gt;P660,"Traité hors délai","Non"),IF(Q660="Classé sans suite","Non",IF(TODAY()&gt;P660,"OUI","Non"))))</f>
        <v/>
      </c>
      <c r="U660" s="11"/>
    </row>
    <row r="661" customFormat="false" ht="15" hidden="false" customHeight="false" outlineLevel="0" collapsed="false">
      <c r="A661" s="7" t="str">
        <f aca="false">IF(B661="","",YEAR(B661)&amp;"/"&amp;TEXT(ROW()-4,"0000"))</f>
        <v/>
      </c>
      <c r="B661" s="8"/>
      <c r="C661" s="7" t="str">
        <f aca="false">IF(B661="","",INT((B661-DATE(YEAR(B661-WEEKDAY(B661-1)+4),1,3)+WEEKDAY(DATE(YEAR(B661-WEEKDAY(B661-1)+4),1,3))+5)/7))</f>
        <v/>
      </c>
      <c r="D661" s="9" t="str">
        <f aca="false">IF(B661="","",B661-WEEKDAY(B661,2)+1)</f>
        <v/>
      </c>
      <c r="E661" s="10"/>
      <c r="F661" s="8"/>
      <c r="G661" s="11"/>
      <c r="H661" s="10"/>
      <c r="I661" s="11"/>
      <c r="J661" s="10"/>
      <c r="K661" s="10"/>
      <c r="L661" s="10"/>
      <c r="M661" s="11"/>
      <c r="N661" s="8"/>
      <c r="O661" s="7" t="str">
        <f aca="false">IF(L661="","",IFERROR(VLOOKUP(L661,Paramètres!$F$5:$G$8,2,FALSE()),""))</f>
        <v/>
      </c>
      <c r="P661" s="9" t="str">
        <f aca="false">IF(OR(B661="",O661=""),"",IF(N661="",B661,N661)+O661)</f>
        <v/>
      </c>
      <c r="Q661" s="10"/>
      <c r="R661" s="8"/>
      <c r="S661" s="7" t="str">
        <f aca="false">IF(OR(B661="",R661=""),"",R661-B661)</f>
        <v/>
      </c>
      <c r="T661" s="7" t="str">
        <f aca="true">IF(OR(B661="",P661=""),"",IF(R661&lt;&gt;"",IF(R661&gt;P661,"Traité hors délai","Non"),IF(Q661="Classé sans suite","Non",IF(TODAY()&gt;P661,"OUI","Non"))))</f>
        <v/>
      </c>
      <c r="U661" s="11"/>
    </row>
    <row r="662" customFormat="false" ht="15" hidden="false" customHeight="false" outlineLevel="0" collapsed="false">
      <c r="A662" s="7" t="str">
        <f aca="false">IF(B662="","",YEAR(B662)&amp;"/"&amp;TEXT(ROW()-4,"0000"))</f>
        <v/>
      </c>
      <c r="B662" s="8"/>
      <c r="C662" s="7" t="str">
        <f aca="false">IF(B662="","",INT((B662-DATE(YEAR(B662-WEEKDAY(B662-1)+4),1,3)+WEEKDAY(DATE(YEAR(B662-WEEKDAY(B662-1)+4),1,3))+5)/7))</f>
        <v/>
      </c>
      <c r="D662" s="9" t="str">
        <f aca="false">IF(B662="","",B662-WEEKDAY(B662,2)+1)</f>
        <v/>
      </c>
      <c r="E662" s="10"/>
      <c r="F662" s="8"/>
      <c r="G662" s="11"/>
      <c r="H662" s="10"/>
      <c r="I662" s="11"/>
      <c r="J662" s="10"/>
      <c r="K662" s="10"/>
      <c r="L662" s="10"/>
      <c r="M662" s="11"/>
      <c r="N662" s="8"/>
      <c r="O662" s="7" t="str">
        <f aca="false">IF(L662="","",IFERROR(VLOOKUP(L662,Paramètres!$F$5:$G$8,2,FALSE()),""))</f>
        <v/>
      </c>
      <c r="P662" s="9" t="str">
        <f aca="false">IF(OR(B662="",O662=""),"",IF(N662="",B662,N662)+O662)</f>
        <v/>
      </c>
      <c r="Q662" s="10"/>
      <c r="R662" s="8"/>
      <c r="S662" s="7" t="str">
        <f aca="false">IF(OR(B662="",R662=""),"",R662-B662)</f>
        <v/>
      </c>
      <c r="T662" s="7" t="str">
        <f aca="true">IF(OR(B662="",P662=""),"",IF(R662&lt;&gt;"",IF(R662&gt;P662,"Traité hors délai","Non"),IF(Q662="Classé sans suite","Non",IF(TODAY()&gt;P662,"OUI","Non"))))</f>
        <v/>
      </c>
      <c r="U662" s="11"/>
    </row>
    <row r="663" customFormat="false" ht="15" hidden="false" customHeight="false" outlineLevel="0" collapsed="false">
      <c r="A663" s="7" t="str">
        <f aca="false">IF(B663="","",YEAR(B663)&amp;"/"&amp;TEXT(ROW()-4,"0000"))</f>
        <v/>
      </c>
      <c r="B663" s="8"/>
      <c r="C663" s="7" t="str">
        <f aca="false">IF(B663="","",INT((B663-DATE(YEAR(B663-WEEKDAY(B663-1)+4),1,3)+WEEKDAY(DATE(YEAR(B663-WEEKDAY(B663-1)+4),1,3))+5)/7))</f>
        <v/>
      </c>
      <c r="D663" s="9" t="str">
        <f aca="false">IF(B663="","",B663-WEEKDAY(B663,2)+1)</f>
        <v/>
      </c>
      <c r="E663" s="10"/>
      <c r="F663" s="8"/>
      <c r="G663" s="11"/>
      <c r="H663" s="10"/>
      <c r="I663" s="11"/>
      <c r="J663" s="10"/>
      <c r="K663" s="10"/>
      <c r="L663" s="10"/>
      <c r="M663" s="11"/>
      <c r="N663" s="8"/>
      <c r="O663" s="7" t="str">
        <f aca="false">IF(L663="","",IFERROR(VLOOKUP(L663,Paramètres!$F$5:$G$8,2,FALSE()),""))</f>
        <v/>
      </c>
      <c r="P663" s="9" t="str">
        <f aca="false">IF(OR(B663="",O663=""),"",IF(N663="",B663,N663)+O663)</f>
        <v/>
      </c>
      <c r="Q663" s="10"/>
      <c r="R663" s="8"/>
      <c r="S663" s="7" t="str">
        <f aca="false">IF(OR(B663="",R663=""),"",R663-B663)</f>
        <v/>
      </c>
      <c r="T663" s="7" t="str">
        <f aca="true">IF(OR(B663="",P663=""),"",IF(R663&lt;&gt;"",IF(R663&gt;P663,"Traité hors délai","Non"),IF(Q663="Classé sans suite","Non",IF(TODAY()&gt;P663,"OUI","Non"))))</f>
        <v/>
      </c>
      <c r="U663" s="11"/>
    </row>
    <row r="664" customFormat="false" ht="15" hidden="false" customHeight="false" outlineLevel="0" collapsed="false">
      <c r="A664" s="7" t="str">
        <f aca="false">IF(B664="","",YEAR(B664)&amp;"/"&amp;TEXT(ROW()-4,"0000"))</f>
        <v/>
      </c>
      <c r="B664" s="8"/>
      <c r="C664" s="7" t="str">
        <f aca="false">IF(B664="","",INT((B664-DATE(YEAR(B664-WEEKDAY(B664-1)+4),1,3)+WEEKDAY(DATE(YEAR(B664-WEEKDAY(B664-1)+4),1,3))+5)/7))</f>
        <v/>
      </c>
      <c r="D664" s="9" t="str">
        <f aca="false">IF(B664="","",B664-WEEKDAY(B664,2)+1)</f>
        <v/>
      </c>
      <c r="E664" s="10"/>
      <c r="F664" s="8"/>
      <c r="G664" s="11"/>
      <c r="H664" s="10"/>
      <c r="I664" s="11"/>
      <c r="J664" s="10"/>
      <c r="K664" s="10"/>
      <c r="L664" s="10"/>
      <c r="M664" s="11"/>
      <c r="N664" s="8"/>
      <c r="O664" s="7" t="str">
        <f aca="false">IF(L664="","",IFERROR(VLOOKUP(L664,Paramètres!$F$5:$G$8,2,FALSE()),""))</f>
        <v/>
      </c>
      <c r="P664" s="9" t="str">
        <f aca="false">IF(OR(B664="",O664=""),"",IF(N664="",B664,N664)+O664)</f>
        <v/>
      </c>
      <c r="Q664" s="10"/>
      <c r="R664" s="8"/>
      <c r="S664" s="7" t="str">
        <f aca="false">IF(OR(B664="",R664=""),"",R664-B664)</f>
        <v/>
      </c>
      <c r="T664" s="7" t="str">
        <f aca="true">IF(OR(B664="",P664=""),"",IF(R664&lt;&gt;"",IF(R664&gt;P664,"Traité hors délai","Non"),IF(Q664="Classé sans suite","Non",IF(TODAY()&gt;P664,"OUI","Non"))))</f>
        <v/>
      </c>
      <c r="U664" s="11"/>
    </row>
    <row r="665" customFormat="false" ht="15" hidden="false" customHeight="false" outlineLevel="0" collapsed="false">
      <c r="A665" s="7" t="str">
        <f aca="false">IF(B665="","",YEAR(B665)&amp;"/"&amp;TEXT(ROW()-4,"0000"))</f>
        <v/>
      </c>
      <c r="B665" s="8"/>
      <c r="C665" s="7" t="str">
        <f aca="false">IF(B665="","",INT((B665-DATE(YEAR(B665-WEEKDAY(B665-1)+4),1,3)+WEEKDAY(DATE(YEAR(B665-WEEKDAY(B665-1)+4),1,3))+5)/7))</f>
        <v/>
      </c>
      <c r="D665" s="9" t="str">
        <f aca="false">IF(B665="","",B665-WEEKDAY(B665,2)+1)</f>
        <v/>
      </c>
      <c r="E665" s="10"/>
      <c r="F665" s="8"/>
      <c r="G665" s="11"/>
      <c r="H665" s="10"/>
      <c r="I665" s="11"/>
      <c r="J665" s="10"/>
      <c r="K665" s="10"/>
      <c r="L665" s="10"/>
      <c r="M665" s="11"/>
      <c r="N665" s="8"/>
      <c r="O665" s="7" t="str">
        <f aca="false">IF(L665="","",IFERROR(VLOOKUP(L665,Paramètres!$F$5:$G$8,2,FALSE()),""))</f>
        <v/>
      </c>
      <c r="P665" s="9" t="str">
        <f aca="false">IF(OR(B665="",O665=""),"",IF(N665="",B665,N665)+O665)</f>
        <v/>
      </c>
      <c r="Q665" s="10"/>
      <c r="R665" s="8"/>
      <c r="S665" s="7" t="str">
        <f aca="false">IF(OR(B665="",R665=""),"",R665-B665)</f>
        <v/>
      </c>
      <c r="T665" s="7" t="str">
        <f aca="true">IF(OR(B665="",P665=""),"",IF(R665&lt;&gt;"",IF(R665&gt;P665,"Traité hors délai","Non"),IF(Q665="Classé sans suite","Non",IF(TODAY()&gt;P665,"OUI","Non"))))</f>
        <v/>
      </c>
      <c r="U665" s="11"/>
    </row>
    <row r="666" customFormat="false" ht="15" hidden="false" customHeight="false" outlineLevel="0" collapsed="false">
      <c r="A666" s="7" t="str">
        <f aca="false">IF(B666="","",YEAR(B666)&amp;"/"&amp;TEXT(ROW()-4,"0000"))</f>
        <v/>
      </c>
      <c r="B666" s="8"/>
      <c r="C666" s="7" t="str">
        <f aca="false">IF(B666="","",INT((B666-DATE(YEAR(B666-WEEKDAY(B666-1)+4),1,3)+WEEKDAY(DATE(YEAR(B666-WEEKDAY(B666-1)+4),1,3))+5)/7))</f>
        <v/>
      </c>
      <c r="D666" s="9" t="str">
        <f aca="false">IF(B666="","",B666-WEEKDAY(B666,2)+1)</f>
        <v/>
      </c>
      <c r="E666" s="10"/>
      <c r="F666" s="8"/>
      <c r="G666" s="11"/>
      <c r="H666" s="10"/>
      <c r="I666" s="11"/>
      <c r="J666" s="10"/>
      <c r="K666" s="10"/>
      <c r="L666" s="10"/>
      <c r="M666" s="11"/>
      <c r="N666" s="8"/>
      <c r="O666" s="7" t="str">
        <f aca="false">IF(L666="","",IFERROR(VLOOKUP(L666,Paramètres!$F$5:$G$8,2,FALSE()),""))</f>
        <v/>
      </c>
      <c r="P666" s="9" t="str">
        <f aca="false">IF(OR(B666="",O666=""),"",IF(N666="",B666,N666)+O666)</f>
        <v/>
      </c>
      <c r="Q666" s="10"/>
      <c r="R666" s="8"/>
      <c r="S666" s="7" t="str">
        <f aca="false">IF(OR(B666="",R666=""),"",R666-B666)</f>
        <v/>
      </c>
      <c r="T666" s="7" t="str">
        <f aca="true">IF(OR(B666="",P666=""),"",IF(R666&lt;&gt;"",IF(R666&gt;P666,"Traité hors délai","Non"),IF(Q666="Classé sans suite","Non",IF(TODAY()&gt;P666,"OUI","Non"))))</f>
        <v/>
      </c>
      <c r="U666" s="11"/>
    </row>
    <row r="667" customFormat="false" ht="15" hidden="false" customHeight="false" outlineLevel="0" collapsed="false">
      <c r="A667" s="7" t="str">
        <f aca="false">IF(B667="","",YEAR(B667)&amp;"/"&amp;TEXT(ROW()-4,"0000"))</f>
        <v/>
      </c>
      <c r="B667" s="8"/>
      <c r="C667" s="7" t="str">
        <f aca="false">IF(B667="","",INT((B667-DATE(YEAR(B667-WEEKDAY(B667-1)+4),1,3)+WEEKDAY(DATE(YEAR(B667-WEEKDAY(B667-1)+4),1,3))+5)/7))</f>
        <v/>
      </c>
      <c r="D667" s="9" t="str">
        <f aca="false">IF(B667="","",B667-WEEKDAY(B667,2)+1)</f>
        <v/>
      </c>
      <c r="E667" s="10"/>
      <c r="F667" s="8"/>
      <c r="G667" s="11"/>
      <c r="H667" s="10"/>
      <c r="I667" s="11"/>
      <c r="J667" s="10"/>
      <c r="K667" s="10"/>
      <c r="L667" s="10"/>
      <c r="M667" s="11"/>
      <c r="N667" s="8"/>
      <c r="O667" s="7" t="str">
        <f aca="false">IF(L667="","",IFERROR(VLOOKUP(L667,Paramètres!$F$5:$G$8,2,FALSE()),""))</f>
        <v/>
      </c>
      <c r="P667" s="9" t="str">
        <f aca="false">IF(OR(B667="",O667=""),"",IF(N667="",B667,N667)+O667)</f>
        <v/>
      </c>
      <c r="Q667" s="10"/>
      <c r="R667" s="8"/>
      <c r="S667" s="7" t="str">
        <f aca="false">IF(OR(B667="",R667=""),"",R667-B667)</f>
        <v/>
      </c>
      <c r="T667" s="7" t="str">
        <f aca="true">IF(OR(B667="",P667=""),"",IF(R667&lt;&gt;"",IF(R667&gt;P667,"Traité hors délai","Non"),IF(Q667="Classé sans suite","Non",IF(TODAY()&gt;P667,"OUI","Non"))))</f>
        <v/>
      </c>
      <c r="U667" s="11"/>
    </row>
    <row r="668" customFormat="false" ht="15" hidden="false" customHeight="false" outlineLevel="0" collapsed="false">
      <c r="A668" s="7" t="str">
        <f aca="false">IF(B668="","",YEAR(B668)&amp;"/"&amp;TEXT(ROW()-4,"0000"))</f>
        <v/>
      </c>
      <c r="B668" s="8"/>
      <c r="C668" s="7" t="str">
        <f aca="false">IF(B668="","",INT((B668-DATE(YEAR(B668-WEEKDAY(B668-1)+4),1,3)+WEEKDAY(DATE(YEAR(B668-WEEKDAY(B668-1)+4),1,3))+5)/7))</f>
        <v/>
      </c>
      <c r="D668" s="9" t="str">
        <f aca="false">IF(B668="","",B668-WEEKDAY(B668,2)+1)</f>
        <v/>
      </c>
      <c r="E668" s="10"/>
      <c r="F668" s="8"/>
      <c r="G668" s="11"/>
      <c r="H668" s="10"/>
      <c r="I668" s="11"/>
      <c r="J668" s="10"/>
      <c r="K668" s="10"/>
      <c r="L668" s="10"/>
      <c r="M668" s="11"/>
      <c r="N668" s="8"/>
      <c r="O668" s="7" t="str">
        <f aca="false">IF(L668="","",IFERROR(VLOOKUP(L668,Paramètres!$F$5:$G$8,2,FALSE()),""))</f>
        <v/>
      </c>
      <c r="P668" s="9" t="str">
        <f aca="false">IF(OR(B668="",O668=""),"",IF(N668="",B668,N668)+O668)</f>
        <v/>
      </c>
      <c r="Q668" s="10"/>
      <c r="R668" s="8"/>
      <c r="S668" s="7" t="str">
        <f aca="false">IF(OR(B668="",R668=""),"",R668-B668)</f>
        <v/>
      </c>
      <c r="T668" s="7" t="str">
        <f aca="true">IF(OR(B668="",P668=""),"",IF(R668&lt;&gt;"",IF(R668&gt;P668,"Traité hors délai","Non"),IF(Q668="Classé sans suite","Non",IF(TODAY()&gt;P668,"OUI","Non"))))</f>
        <v/>
      </c>
      <c r="U668" s="11"/>
    </row>
    <row r="669" customFormat="false" ht="15" hidden="false" customHeight="false" outlineLevel="0" collapsed="false">
      <c r="A669" s="7" t="str">
        <f aca="false">IF(B669="","",YEAR(B669)&amp;"/"&amp;TEXT(ROW()-4,"0000"))</f>
        <v/>
      </c>
      <c r="B669" s="8"/>
      <c r="C669" s="7" t="str">
        <f aca="false">IF(B669="","",INT((B669-DATE(YEAR(B669-WEEKDAY(B669-1)+4),1,3)+WEEKDAY(DATE(YEAR(B669-WEEKDAY(B669-1)+4),1,3))+5)/7))</f>
        <v/>
      </c>
      <c r="D669" s="9" t="str">
        <f aca="false">IF(B669="","",B669-WEEKDAY(B669,2)+1)</f>
        <v/>
      </c>
      <c r="E669" s="10"/>
      <c r="F669" s="8"/>
      <c r="G669" s="11"/>
      <c r="H669" s="10"/>
      <c r="I669" s="11"/>
      <c r="J669" s="10"/>
      <c r="K669" s="10"/>
      <c r="L669" s="10"/>
      <c r="M669" s="11"/>
      <c r="N669" s="8"/>
      <c r="O669" s="7" t="str">
        <f aca="false">IF(L669="","",IFERROR(VLOOKUP(L669,Paramètres!$F$5:$G$8,2,FALSE()),""))</f>
        <v/>
      </c>
      <c r="P669" s="9" t="str">
        <f aca="false">IF(OR(B669="",O669=""),"",IF(N669="",B669,N669)+O669)</f>
        <v/>
      </c>
      <c r="Q669" s="10"/>
      <c r="R669" s="8"/>
      <c r="S669" s="7" t="str">
        <f aca="false">IF(OR(B669="",R669=""),"",R669-B669)</f>
        <v/>
      </c>
      <c r="T669" s="7" t="str">
        <f aca="true">IF(OR(B669="",P669=""),"",IF(R669&lt;&gt;"",IF(R669&gt;P669,"Traité hors délai","Non"),IF(Q669="Classé sans suite","Non",IF(TODAY()&gt;P669,"OUI","Non"))))</f>
        <v/>
      </c>
      <c r="U669" s="11"/>
    </row>
    <row r="670" customFormat="false" ht="15" hidden="false" customHeight="false" outlineLevel="0" collapsed="false">
      <c r="A670" s="7" t="str">
        <f aca="false">IF(B670="","",YEAR(B670)&amp;"/"&amp;TEXT(ROW()-4,"0000"))</f>
        <v/>
      </c>
      <c r="B670" s="8"/>
      <c r="C670" s="7" t="str">
        <f aca="false">IF(B670="","",INT((B670-DATE(YEAR(B670-WEEKDAY(B670-1)+4),1,3)+WEEKDAY(DATE(YEAR(B670-WEEKDAY(B670-1)+4),1,3))+5)/7))</f>
        <v/>
      </c>
      <c r="D670" s="9" t="str">
        <f aca="false">IF(B670="","",B670-WEEKDAY(B670,2)+1)</f>
        <v/>
      </c>
      <c r="E670" s="10"/>
      <c r="F670" s="8"/>
      <c r="G670" s="11"/>
      <c r="H670" s="10"/>
      <c r="I670" s="11"/>
      <c r="J670" s="10"/>
      <c r="K670" s="10"/>
      <c r="L670" s="10"/>
      <c r="M670" s="11"/>
      <c r="N670" s="8"/>
      <c r="O670" s="7" t="str">
        <f aca="false">IF(L670="","",IFERROR(VLOOKUP(L670,Paramètres!$F$5:$G$8,2,FALSE()),""))</f>
        <v/>
      </c>
      <c r="P670" s="9" t="str">
        <f aca="false">IF(OR(B670="",O670=""),"",IF(N670="",B670,N670)+O670)</f>
        <v/>
      </c>
      <c r="Q670" s="10"/>
      <c r="R670" s="8"/>
      <c r="S670" s="7" t="str">
        <f aca="false">IF(OR(B670="",R670=""),"",R670-B670)</f>
        <v/>
      </c>
      <c r="T670" s="7" t="str">
        <f aca="true">IF(OR(B670="",P670=""),"",IF(R670&lt;&gt;"",IF(R670&gt;P670,"Traité hors délai","Non"),IF(Q670="Classé sans suite","Non",IF(TODAY()&gt;P670,"OUI","Non"))))</f>
        <v/>
      </c>
      <c r="U670" s="11"/>
    </row>
    <row r="671" customFormat="false" ht="15" hidden="false" customHeight="false" outlineLevel="0" collapsed="false">
      <c r="A671" s="7" t="str">
        <f aca="false">IF(B671="","",YEAR(B671)&amp;"/"&amp;TEXT(ROW()-4,"0000"))</f>
        <v/>
      </c>
      <c r="B671" s="8"/>
      <c r="C671" s="7" t="str">
        <f aca="false">IF(B671="","",INT((B671-DATE(YEAR(B671-WEEKDAY(B671-1)+4),1,3)+WEEKDAY(DATE(YEAR(B671-WEEKDAY(B671-1)+4),1,3))+5)/7))</f>
        <v/>
      </c>
      <c r="D671" s="9" t="str">
        <f aca="false">IF(B671="","",B671-WEEKDAY(B671,2)+1)</f>
        <v/>
      </c>
      <c r="E671" s="10"/>
      <c r="F671" s="8"/>
      <c r="G671" s="11"/>
      <c r="H671" s="10"/>
      <c r="I671" s="11"/>
      <c r="J671" s="10"/>
      <c r="K671" s="10"/>
      <c r="L671" s="10"/>
      <c r="M671" s="11"/>
      <c r="N671" s="8"/>
      <c r="O671" s="7" t="str">
        <f aca="false">IF(L671="","",IFERROR(VLOOKUP(L671,Paramètres!$F$5:$G$8,2,FALSE()),""))</f>
        <v/>
      </c>
      <c r="P671" s="9" t="str">
        <f aca="false">IF(OR(B671="",O671=""),"",IF(N671="",B671,N671)+O671)</f>
        <v/>
      </c>
      <c r="Q671" s="10"/>
      <c r="R671" s="8"/>
      <c r="S671" s="7" t="str">
        <f aca="false">IF(OR(B671="",R671=""),"",R671-B671)</f>
        <v/>
      </c>
      <c r="T671" s="7" t="str">
        <f aca="true">IF(OR(B671="",P671=""),"",IF(R671&lt;&gt;"",IF(R671&gt;P671,"Traité hors délai","Non"),IF(Q671="Classé sans suite","Non",IF(TODAY()&gt;P671,"OUI","Non"))))</f>
        <v/>
      </c>
      <c r="U671" s="11"/>
    </row>
    <row r="672" customFormat="false" ht="15" hidden="false" customHeight="false" outlineLevel="0" collapsed="false">
      <c r="A672" s="7" t="str">
        <f aca="false">IF(B672="","",YEAR(B672)&amp;"/"&amp;TEXT(ROW()-4,"0000"))</f>
        <v/>
      </c>
      <c r="B672" s="8"/>
      <c r="C672" s="7" t="str">
        <f aca="false">IF(B672="","",INT((B672-DATE(YEAR(B672-WEEKDAY(B672-1)+4),1,3)+WEEKDAY(DATE(YEAR(B672-WEEKDAY(B672-1)+4),1,3))+5)/7))</f>
        <v/>
      </c>
      <c r="D672" s="9" t="str">
        <f aca="false">IF(B672="","",B672-WEEKDAY(B672,2)+1)</f>
        <v/>
      </c>
      <c r="E672" s="10"/>
      <c r="F672" s="8"/>
      <c r="G672" s="11"/>
      <c r="H672" s="10"/>
      <c r="I672" s="11"/>
      <c r="J672" s="10"/>
      <c r="K672" s="10"/>
      <c r="L672" s="10"/>
      <c r="M672" s="11"/>
      <c r="N672" s="8"/>
      <c r="O672" s="7" t="str">
        <f aca="false">IF(L672="","",IFERROR(VLOOKUP(L672,Paramètres!$F$5:$G$8,2,FALSE()),""))</f>
        <v/>
      </c>
      <c r="P672" s="9" t="str">
        <f aca="false">IF(OR(B672="",O672=""),"",IF(N672="",B672,N672)+O672)</f>
        <v/>
      </c>
      <c r="Q672" s="10"/>
      <c r="R672" s="8"/>
      <c r="S672" s="7" t="str">
        <f aca="false">IF(OR(B672="",R672=""),"",R672-B672)</f>
        <v/>
      </c>
      <c r="T672" s="7" t="str">
        <f aca="true">IF(OR(B672="",P672=""),"",IF(R672&lt;&gt;"",IF(R672&gt;P672,"Traité hors délai","Non"),IF(Q672="Classé sans suite","Non",IF(TODAY()&gt;P672,"OUI","Non"))))</f>
        <v/>
      </c>
      <c r="U672" s="11"/>
    </row>
    <row r="673" customFormat="false" ht="15" hidden="false" customHeight="false" outlineLevel="0" collapsed="false">
      <c r="A673" s="7" t="str">
        <f aca="false">IF(B673="","",YEAR(B673)&amp;"/"&amp;TEXT(ROW()-4,"0000"))</f>
        <v/>
      </c>
      <c r="B673" s="8"/>
      <c r="C673" s="7" t="str">
        <f aca="false">IF(B673="","",INT((B673-DATE(YEAR(B673-WEEKDAY(B673-1)+4),1,3)+WEEKDAY(DATE(YEAR(B673-WEEKDAY(B673-1)+4),1,3))+5)/7))</f>
        <v/>
      </c>
      <c r="D673" s="9" t="str">
        <f aca="false">IF(B673="","",B673-WEEKDAY(B673,2)+1)</f>
        <v/>
      </c>
      <c r="E673" s="10"/>
      <c r="F673" s="8"/>
      <c r="G673" s="11"/>
      <c r="H673" s="10"/>
      <c r="I673" s="11"/>
      <c r="J673" s="10"/>
      <c r="K673" s="10"/>
      <c r="L673" s="10"/>
      <c r="M673" s="11"/>
      <c r="N673" s="8"/>
      <c r="O673" s="7" t="str">
        <f aca="false">IF(L673="","",IFERROR(VLOOKUP(L673,Paramètres!$F$5:$G$8,2,FALSE()),""))</f>
        <v/>
      </c>
      <c r="P673" s="9" t="str">
        <f aca="false">IF(OR(B673="",O673=""),"",IF(N673="",B673,N673)+O673)</f>
        <v/>
      </c>
      <c r="Q673" s="10"/>
      <c r="R673" s="8"/>
      <c r="S673" s="7" t="str">
        <f aca="false">IF(OR(B673="",R673=""),"",R673-B673)</f>
        <v/>
      </c>
      <c r="T673" s="7" t="str">
        <f aca="true">IF(OR(B673="",P673=""),"",IF(R673&lt;&gt;"",IF(R673&gt;P673,"Traité hors délai","Non"),IF(Q673="Classé sans suite","Non",IF(TODAY()&gt;P673,"OUI","Non"))))</f>
        <v/>
      </c>
      <c r="U673" s="11"/>
    </row>
    <row r="674" customFormat="false" ht="15" hidden="false" customHeight="false" outlineLevel="0" collapsed="false">
      <c r="A674" s="7" t="str">
        <f aca="false">IF(B674="","",YEAR(B674)&amp;"/"&amp;TEXT(ROW()-4,"0000"))</f>
        <v/>
      </c>
      <c r="B674" s="8"/>
      <c r="C674" s="7" t="str">
        <f aca="false">IF(B674="","",INT((B674-DATE(YEAR(B674-WEEKDAY(B674-1)+4),1,3)+WEEKDAY(DATE(YEAR(B674-WEEKDAY(B674-1)+4),1,3))+5)/7))</f>
        <v/>
      </c>
      <c r="D674" s="9" t="str">
        <f aca="false">IF(B674="","",B674-WEEKDAY(B674,2)+1)</f>
        <v/>
      </c>
      <c r="E674" s="10"/>
      <c r="F674" s="8"/>
      <c r="G674" s="11"/>
      <c r="H674" s="10"/>
      <c r="I674" s="11"/>
      <c r="J674" s="10"/>
      <c r="K674" s="10"/>
      <c r="L674" s="10"/>
      <c r="M674" s="11"/>
      <c r="N674" s="8"/>
      <c r="O674" s="7" t="str">
        <f aca="false">IF(L674="","",IFERROR(VLOOKUP(L674,Paramètres!$F$5:$G$8,2,FALSE()),""))</f>
        <v/>
      </c>
      <c r="P674" s="9" t="str">
        <f aca="false">IF(OR(B674="",O674=""),"",IF(N674="",B674,N674)+O674)</f>
        <v/>
      </c>
      <c r="Q674" s="10"/>
      <c r="R674" s="8"/>
      <c r="S674" s="7" t="str">
        <f aca="false">IF(OR(B674="",R674=""),"",R674-B674)</f>
        <v/>
      </c>
      <c r="T674" s="7" t="str">
        <f aca="true">IF(OR(B674="",P674=""),"",IF(R674&lt;&gt;"",IF(R674&gt;P674,"Traité hors délai","Non"),IF(Q674="Classé sans suite","Non",IF(TODAY()&gt;P674,"OUI","Non"))))</f>
        <v/>
      </c>
      <c r="U674" s="11"/>
    </row>
    <row r="675" customFormat="false" ht="15" hidden="false" customHeight="false" outlineLevel="0" collapsed="false">
      <c r="A675" s="7" t="str">
        <f aca="false">IF(B675="","",YEAR(B675)&amp;"/"&amp;TEXT(ROW()-4,"0000"))</f>
        <v/>
      </c>
      <c r="B675" s="8"/>
      <c r="C675" s="7" t="str">
        <f aca="false">IF(B675="","",INT((B675-DATE(YEAR(B675-WEEKDAY(B675-1)+4),1,3)+WEEKDAY(DATE(YEAR(B675-WEEKDAY(B675-1)+4),1,3))+5)/7))</f>
        <v/>
      </c>
      <c r="D675" s="9" t="str">
        <f aca="false">IF(B675="","",B675-WEEKDAY(B675,2)+1)</f>
        <v/>
      </c>
      <c r="E675" s="10"/>
      <c r="F675" s="8"/>
      <c r="G675" s="11"/>
      <c r="H675" s="10"/>
      <c r="I675" s="11"/>
      <c r="J675" s="10"/>
      <c r="K675" s="10"/>
      <c r="L675" s="10"/>
      <c r="M675" s="11"/>
      <c r="N675" s="8"/>
      <c r="O675" s="7" t="str">
        <f aca="false">IF(L675="","",IFERROR(VLOOKUP(L675,Paramètres!$F$5:$G$8,2,FALSE()),""))</f>
        <v/>
      </c>
      <c r="P675" s="9" t="str">
        <f aca="false">IF(OR(B675="",O675=""),"",IF(N675="",B675,N675)+O675)</f>
        <v/>
      </c>
      <c r="Q675" s="10"/>
      <c r="R675" s="8"/>
      <c r="S675" s="7" t="str">
        <f aca="false">IF(OR(B675="",R675=""),"",R675-B675)</f>
        <v/>
      </c>
      <c r="T675" s="7" t="str">
        <f aca="true">IF(OR(B675="",P675=""),"",IF(R675&lt;&gt;"",IF(R675&gt;P675,"Traité hors délai","Non"),IF(Q675="Classé sans suite","Non",IF(TODAY()&gt;P675,"OUI","Non"))))</f>
        <v/>
      </c>
      <c r="U675" s="11"/>
    </row>
    <row r="676" customFormat="false" ht="15" hidden="false" customHeight="false" outlineLevel="0" collapsed="false">
      <c r="A676" s="7" t="str">
        <f aca="false">IF(B676="","",YEAR(B676)&amp;"/"&amp;TEXT(ROW()-4,"0000"))</f>
        <v/>
      </c>
      <c r="B676" s="8"/>
      <c r="C676" s="7" t="str">
        <f aca="false">IF(B676="","",INT((B676-DATE(YEAR(B676-WEEKDAY(B676-1)+4),1,3)+WEEKDAY(DATE(YEAR(B676-WEEKDAY(B676-1)+4),1,3))+5)/7))</f>
        <v/>
      </c>
      <c r="D676" s="9" t="str">
        <f aca="false">IF(B676="","",B676-WEEKDAY(B676,2)+1)</f>
        <v/>
      </c>
      <c r="E676" s="10"/>
      <c r="F676" s="8"/>
      <c r="G676" s="11"/>
      <c r="H676" s="10"/>
      <c r="I676" s="11"/>
      <c r="J676" s="10"/>
      <c r="K676" s="10"/>
      <c r="L676" s="10"/>
      <c r="M676" s="11"/>
      <c r="N676" s="8"/>
      <c r="O676" s="7" t="str">
        <f aca="false">IF(L676="","",IFERROR(VLOOKUP(L676,Paramètres!$F$5:$G$8,2,FALSE()),""))</f>
        <v/>
      </c>
      <c r="P676" s="9" t="str">
        <f aca="false">IF(OR(B676="",O676=""),"",IF(N676="",B676,N676)+O676)</f>
        <v/>
      </c>
      <c r="Q676" s="10"/>
      <c r="R676" s="8"/>
      <c r="S676" s="7" t="str">
        <f aca="false">IF(OR(B676="",R676=""),"",R676-B676)</f>
        <v/>
      </c>
      <c r="T676" s="7" t="str">
        <f aca="true">IF(OR(B676="",P676=""),"",IF(R676&lt;&gt;"",IF(R676&gt;P676,"Traité hors délai","Non"),IF(Q676="Classé sans suite","Non",IF(TODAY()&gt;P676,"OUI","Non"))))</f>
        <v/>
      </c>
      <c r="U676" s="11"/>
    </row>
    <row r="677" customFormat="false" ht="15" hidden="false" customHeight="false" outlineLevel="0" collapsed="false">
      <c r="A677" s="7" t="str">
        <f aca="false">IF(B677="","",YEAR(B677)&amp;"/"&amp;TEXT(ROW()-4,"0000"))</f>
        <v/>
      </c>
      <c r="B677" s="8"/>
      <c r="C677" s="7" t="str">
        <f aca="false">IF(B677="","",INT((B677-DATE(YEAR(B677-WEEKDAY(B677-1)+4),1,3)+WEEKDAY(DATE(YEAR(B677-WEEKDAY(B677-1)+4),1,3))+5)/7))</f>
        <v/>
      </c>
      <c r="D677" s="9" t="str">
        <f aca="false">IF(B677="","",B677-WEEKDAY(B677,2)+1)</f>
        <v/>
      </c>
      <c r="E677" s="10"/>
      <c r="F677" s="8"/>
      <c r="G677" s="11"/>
      <c r="H677" s="10"/>
      <c r="I677" s="11"/>
      <c r="J677" s="10"/>
      <c r="K677" s="10"/>
      <c r="L677" s="10"/>
      <c r="M677" s="11"/>
      <c r="N677" s="8"/>
      <c r="O677" s="7" t="str">
        <f aca="false">IF(L677="","",IFERROR(VLOOKUP(L677,Paramètres!$F$5:$G$8,2,FALSE()),""))</f>
        <v/>
      </c>
      <c r="P677" s="9" t="str">
        <f aca="false">IF(OR(B677="",O677=""),"",IF(N677="",B677,N677)+O677)</f>
        <v/>
      </c>
      <c r="Q677" s="10"/>
      <c r="R677" s="8"/>
      <c r="S677" s="7" t="str">
        <f aca="false">IF(OR(B677="",R677=""),"",R677-B677)</f>
        <v/>
      </c>
      <c r="T677" s="7" t="str">
        <f aca="true">IF(OR(B677="",P677=""),"",IF(R677&lt;&gt;"",IF(R677&gt;P677,"Traité hors délai","Non"),IF(Q677="Classé sans suite","Non",IF(TODAY()&gt;P677,"OUI","Non"))))</f>
        <v/>
      </c>
      <c r="U677" s="11"/>
    </row>
    <row r="678" customFormat="false" ht="15" hidden="false" customHeight="false" outlineLevel="0" collapsed="false">
      <c r="A678" s="7" t="str">
        <f aca="false">IF(B678="","",YEAR(B678)&amp;"/"&amp;TEXT(ROW()-4,"0000"))</f>
        <v/>
      </c>
      <c r="B678" s="8"/>
      <c r="C678" s="7" t="str">
        <f aca="false">IF(B678="","",INT((B678-DATE(YEAR(B678-WEEKDAY(B678-1)+4),1,3)+WEEKDAY(DATE(YEAR(B678-WEEKDAY(B678-1)+4),1,3))+5)/7))</f>
        <v/>
      </c>
      <c r="D678" s="9" t="str">
        <f aca="false">IF(B678="","",B678-WEEKDAY(B678,2)+1)</f>
        <v/>
      </c>
      <c r="E678" s="10"/>
      <c r="F678" s="8"/>
      <c r="G678" s="11"/>
      <c r="H678" s="10"/>
      <c r="I678" s="11"/>
      <c r="J678" s="10"/>
      <c r="K678" s="10"/>
      <c r="L678" s="10"/>
      <c r="M678" s="11"/>
      <c r="N678" s="8"/>
      <c r="O678" s="7" t="str">
        <f aca="false">IF(L678="","",IFERROR(VLOOKUP(L678,Paramètres!$F$5:$G$8,2,FALSE()),""))</f>
        <v/>
      </c>
      <c r="P678" s="9" t="str">
        <f aca="false">IF(OR(B678="",O678=""),"",IF(N678="",B678,N678)+O678)</f>
        <v/>
      </c>
      <c r="Q678" s="10"/>
      <c r="R678" s="8"/>
      <c r="S678" s="7" t="str">
        <f aca="false">IF(OR(B678="",R678=""),"",R678-B678)</f>
        <v/>
      </c>
      <c r="T678" s="7" t="str">
        <f aca="true">IF(OR(B678="",P678=""),"",IF(R678&lt;&gt;"",IF(R678&gt;P678,"Traité hors délai","Non"),IF(Q678="Classé sans suite","Non",IF(TODAY()&gt;P678,"OUI","Non"))))</f>
        <v/>
      </c>
      <c r="U678" s="11"/>
    </row>
    <row r="679" customFormat="false" ht="15" hidden="false" customHeight="false" outlineLevel="0" collapsed="false">
      <c r="A679" s="7" t="str">
        <f aca="false">IF(B679="","",YEAR(B679)&amp;"/"&amp;TEXT(ROW()-4,"0000"))</f>
        <v/>
      </c>
      <c r="B679" s="8"/>
      <c r="C679" s="7" t="str">
        <f aca="false">IF(B679="","",INT((B679-DATE(YEAR(B679-WEEKDAY(B679-1)+4),1,3)+WEEKDAY(DATE(YEAR(B679-WEEKDAY(B679-1)+4),1,3))+5)/7))</f>
        <v/>
      </c>
      <c r="D679" s="9" t="str">
        <f aca="false">IF(B679="","",B679-WEEKDAY(B679,2)+1)</f>
        <v/>
      </c>
      <c r="E679" s="10"/>
      <c r="F679" s="8"/>
      <c r="G679" s="11"/>
      <c r="H679" s="10"/>
      <c r="I679" s="11"/>
      <c r="J679" s="10"/>
      <c r="K679" s="10"/>
      <c r="L679" s="10"/>
      <c r="M679" s="11"/>
      <c r="N679" s="8"/>
      <c r="O679" s="7" t="str">
        <f aca="false">IF(L679="","",IFERROR(VLOOKUP(L679,Paramètres!$F$5:$G$8,2,FALSE()),""))</f>
        <v/>
      </c>
      <c r="P679" s="9" t="str">
        <f aca="false">IF(OR(B679="",O679=""),"",IF(N679="",B679,N679)+O679)</f>
        <v/>
      </c>
      <c r="Q679" s="10"/>
      <c r="R679" s="8"/>
      <c r="S679" s="7" t="str">
        <f aca="false">IF(OR(B679="",R679=""),"",R679-B679)</f>
        <v/>
      </c>
      <c r="T679" s="7" t="str">
        <f aca="true">IF(OR(B679="",P679=""),"",IF(R679&lt;&gt;"",IF(R679&gt;P679,"Traité hors délai","Non"),IF(Q679="Classé sans suite","Non",IF(TODAY()&gt;P679,"OUI","Non"))))</f>
        <v/>
      </c>
      <c r="U679" s="11"/>
    </row>
    <row r="680" customFormat="false" ht="15" hidden="false" customHeight="false" outlineLevel="0" collapsed="false">
      <c r="A680" s="7" t="str">
        <f aca="false">IF(B680="","",YEAR(B680)&amp;"/"&amp;TEXT(ROW()-4,"0000"))</f>
        <v/>
      </c>
      <c r="B680" s="8"/>
      <c r="C680" s="7" t="str">
        <f aca="false">IF(B680="","",INT((B680-DATE(YEAR(B680-WEEKDAY(B680-1)+4),1,3)+WEEKDAY(DATE(YEAR(B680-WEEKDAY(B680-1)+4),1,3))+5)/7))</f>
        <v/>
      </c>
      <c r="D680" s="9" t="str">
        <f aca="false">IF(B680="","",B680-WEEKDAY(B680,2)+1)</f>
        <v/>
      </c>
      <c r="E680" s="10"/>
      <c r="F680" s="8"/>
      <c r="G680" s="11"/>
      <c r="H680" s="10"/>
      <c r="I680" s="11"/>
      <c r="J680" s="10"/>
      <c r="K680" s="10"/>
      <c r="L680" s="10"/>
      <c r="M680" s="11"/>
      <c r="N680" s="8"/>
      <c r="O680" s="7" t="str">
        <f aca="false">IF(L680="","",IFERROR(VLOOKUP(L680,Paramètres!$F$5:$G$8,2,FALSE()),""))</f>
        <v/>
      </c>
      <c r="P680" s="9" t="str">
        <f aca="false">IF(OR(B680="",O680=""),"",IF(N680="",B680,N680)+O680)</f>
        <v/>
      </c>
      <c r="Q680" s="10"/>
      <c r="R680" s="8"/>
      <c r="S680" s="7" t="str">
        <f aca="false">IF(OR(B680="",R680=""),"",R680-B680)</f>
        <v/>
      </c>
      <c r="T680" s="7" t="str">
        <f aca="true">IF(OR(B680="",P680=""),"",IF(R680&lt;&gt;"",IF(R680&gt;P680,"Traité hors délai","Non"),IF(Q680="Classé sans suite","Non",IF(TODAY()&gt;P680,"OUI","Non"))))</f>
        <v/>
      </c>
      <c r="U680" s="11"/>
    </row>
    <row r="681" customFormat="false" ht="15" hidden="false" customHeight="false" outlineLevel="0" collapsed="false">
      <c r="A681" s="7" t="str">
        <f aca="false">IF(B681="","",YEAR(B681)&amp;"/"&amp;TEXT(ROW()-4,"0000"))</f>
        <v/>
      </c>
      <c r="B681" s="8"/>
      <c r="C681" s="7" t="str">
        <f aca="false">IF(B681="","",INT((B681-DATE(YEAR(B681-WEEKDAY(B681-1)+4),1,3)+WEEKDAY(DATE(YEAR(B681-WEEKDAY(B681-1)+4),1,3))+5)/7))</f>
        <v/>
      </c>
      <c r="D681" s="9" t="str">
        <f aca="false">IF(B681="","",B681-WEEKDAY(B681,2)+1)</f>
        <v/>
      </c>
      <c r="E681" s="10"/>
      <c r="F681" s="8"/>
      <c r="G681" s="11"/>
      <c r="H681" s="10"/>
      <c r="I681" s="11"/>
      <c r="J681" s="10"/>
      <c r="K681" s="10"/>
      <c r="L681" s="10"/>
      <c r="M681" s="11"/>
      <c r="N681" s="8"/>
      <c r="O681" s="7" t="str">
        <f aca="false">IF(L681="","",IFERROR(VLOOKUP(L681,Paramètres!$F$5:$G$8,2,FALSE()),""))</f>
        <v/>
      </c>
      <c r="P681" s="9" t="str">
        <f aca="false">IF(OR(B681="",O681=""),"",IF(N681="",B681,N681)+O681)</f>
        <v/>
      </c>
      <c r="Q681" s="10"/>
      <c r="R681" s="8"/>
      <c r="S681" s="7" t="str">
        <f aca="false">IF(OR(B681="",R681=""),"",R681-B681)</f>
        <v/>
      </c>
      <c r="T681" s="7" t="str">
        <f aca="true">IF(OR(B681="",P681=""),"",IF(R681&lt;&gt;"",IF(R681&gt;P681,"Traité hors délai","Non"),IF(Q681="Classé sans suite","Non",IF(TODAY()&gt;P681,"OUI","Non"))))</f>
        <v/>
      </c>
      <c r="U681" s="11"/>
    </row>
    <row r="682" customFormat="false" ht="15" hidden="false" customHeight="false" outlineLevel="0" collapsed="false">
      <c r="A682" s="7" t="str">
        <f aca="false">IF(B682="","",YEAR(B682)&amp;"/"&amp;TEXT(ROW()-4,"0000"))</f>
        <v/>
      </c>
      <c r="B682" s="8"/>
      <c r="C682" s="7" t="str">
        <f aca="false">IF(B682="","",INT((B682-DATE(YEAR(B682-WEEKDAY(B682-1)+4),1,3)+WEEKDAY(DATE(YEAR(B682-WEEKDAY(B682-1)+4),1,3))+5)/7))</f>
        <v/>
      </c>
      <c r="D682" s="9" t="str">
        <f aca="false">IF(B682="","",B682-WEEKDAY(B682,2)+1)</f>
        <v/>
      </c>
      <c r="E682" s="10"/>
      <c r="F682" s="8"/>
      <c r="G682" s="11"/>
      <c r="H682" s="10"/>
      <c r="I682" s="11"/>
      <c r="J682" s="10"/>
      <c r="K682" s="10"/>
      <c r="L682" s="10"/>
      <c r="M682" s="11"/>
      <c r="N682" s="8"/>
      <c r="O682" s="7" t="str">
        <f aca="false">IF(L682="","",IFERROR(VLOOKUP(L682,Paramètres!$F$5:$G$8,2,FALSE()),""))</f>
        <v/>
      </c>
      <c r="P682" s="9" t="str">
        <f aca="false">IF(OR(B682="",O682=""),"",IF(N682="",B682,N682)+O682)</f>
        <v/>
      </c>
      <c r="Q682" s="10"/>
      <c r="R682" s="8"/>
      <c r="S682" s="7" t="str">
        <f aca="false">IF(OR(B682="",R682=""),"",R682-B682)</f>
        <v/>
      </c>
      <c r="T682" s="7" t="str">
        <f aca="true">IF(OR(B682="",P682=""),"",IF(R682&lt;&gt;"",IF(R682&gt;P682,"Traité hors délai","Non"),IF(Q682="Classé sans suite","Non",IF(TODAY()&gt;P682,"OUI","Non"))))</f>
        <v/>
      </c>
      <c r="U682" s="11"/>
    </row>
    <row r="683" customFormat="false" ht="15" hidden="false" customHeight="false" outlineLevel="0" collapsed="false">
      <c r="A683" s="7" t="str">
        <f aca="false">IF(B683="","",YEAR(B683)&amp;"/"&amp;TEXT(ROW()-4,"0000"))</f>
        <v/>
      </c>
      <c r="B683" s="8"/>
      <c r="C683" s="7" t="str">
        <f aca="false">IF(B683="","",INT((B683-DATE(YEAR(B683-WEEKDAY(B683-1)+4),1,3)+WEEKDAY(DATE(YEAR(B683-WEEKDAY(B683-1)+4),1,3))+5)/7))</f>
        <v/>
      </c>
      <c r="D683" s="9" t="str">
        <f aca="false">IF(B683="","",B683-WEEKDAY(B683,2)+1)</f>
        <v/>
      </c>
      <c r="E683" s="10"/>
      <c r="F683" s="8"/>
      <c r="G683" s="11"/>
      <c r="H683" s="10"/>
      <c r="I683" s="11"/>
      <c r="J683" s="10"/>
      <c r="K683" s="10"/>
      <c r="L683" s="10"/>
      <c r="M683" s="11"/>
      <c r="N683" s="8"/>
      <c r="O683" s="7" t="str">
        <f aca="false">IF(L683="","",IFERROR(VLOOKUP(L683,Paramètres!$F$5:$G$8,2,FALSE()),""))</f>
        <v/>
      </c>
      <c r="P683" s="9" t="str">
        <f aca="false">IF(OR(B683="",O683=""),"",IF(N683="",B683,N683)+O683)</f>
        <v/>
      </c>
      <c r="Q683" s="10"/>
      <c r="R683" s="8"/>
      <c r="S683" s="7" t="str">
        <f aca="false">IF(OR(B683="",R683=""),"",R683-B683)</f>
        <v/>
      </c>
      <c r="T683" s="7" t="str">
        <f aca="true">IF(OR(B683="",P683=""),"",IF(R683&lt;&gt;"",IF(R683&gt;P683,"Traité hors délai","Non"),IF(Q683="Classé sans suite","Non",IF(TODAY()&gt;P683,"OUI","Non"))))</f>
        <v/>
      </c>
      <c r="U683" s="11"/>
    </row>
    <row r="684" customFormat="false" ht="15" hidden="false" customHeight="false" outlineLevel="0" collapsed="false">
      <c r="A684" s="7" t="str">
        <f aca="false">IF(B684="","",YEAR(B684)&amp;"/"&amp;TEXT(ROW()-4,"0000"))</f>
        <v/>
      </c>
      <c r="B684" s="8"/>
      <c r="C684" s="7" t="str">
        <f aca="false">IF(B684="","",INT((B684-DATE(YEAR(B684-WEEKDAY(B684-1)+4),1,3)+WEEKDAY(DATE(YEAR(B684-WEEKDAY(B684-1)+4),1,3))+5)/7))</f>
        <v/>
      </c>
      <c r="D684" s="9" t="str">
        <f aca="false">IF(B684="","",B684-WEEKDAY(B684,2)+1)</f>
        <v/>
      </c>
      <c r="E684" s="10"/>
      <c r="F684" s="8"/>
      <c r="G684" s="11"/>
      <c r="H684" s="10"/>
      <c r="I684" s="11"/>
      <c r="J684" s="10"/>
      <c r="K684" s="10"/>
      <c r="L684" s="10"/>
      <c r="M684" s="11"/>
      <c r="N684" s="8"/>
      <c r="O684" s="7" t="str">
        <f aca="false">IF(L684="","",IFERROR(VLOOKUP(L684,Paramètres!$F$5:$G$8,2,FALSE()),""))</f>
        <v/>
      </c>
      <c r="P684" s="9" t="str">
        <f aca="false">IF(OR(B684="",O684=""),"",IF(N684="",B684,N684)+O684)</f>
        <v/>
      </c>
      <c r="Q684" s="10"/>
      <c r="R684" s="8"/>
      <c r="S684" s="7" t="str">
        <f aca="false">IF(OR(B684="",R684=""),"",R684-B684)</f>
        <v/>
      </c>
      <c r="T684" s="7" t="str">
        <f aca="true">IF(OR(B684="",P684=""),"",IF(R684&lt;&gt;"",IF(R684&gt;P684,"Traité hors délai","Non"),IF(Q684="Classé sans suite","Non",IF(TODAY()&gt;P684,"OUI","Non"))))</f>
        <v/>
      </c>
      <c r="U684" s="11"/>
    </row>
    <row r="685" customFormat="false" ht="15" hidden="false" customHeight="false" outlineLevel="0" collapsed="false">
      <c r="A685" s="7" t="str">
        <f aca="false">IF(B685="","",YEAR(B685)&amp;"/"&amp;TEXT(ROW()-4,"0000"))</f>
        <v/>
      </c>
      <c r="B685" s="8"/>
      <c r="C685" s="7" t="str">
        <f aca="false">IF(B685="","",INT((B685-DATE(YEAR(B685-WEEKDAY(B685-1)+4),1,3)+WEEKDAY(DATE(YEAR(B685-WEEKDAY(B685-1)+4),1,3))+5)/7))</f>
        <v/>
      </c>
      <c r="D685" s="9" t="str">
        <f aca="false">IF(B685="","",B685-WEEKDAY(B685,2)+1)</f>
        <v/>
      </c>
      <c r="E685" s="10"/>
      <c r="F685" s="8"/>
      <c r="G685" s="11"/>
      <c r="H685" s="10"/>
      <c r="I685" s="11"/>
      <c r="J685" s="10"/>
      <c r="K685" s="10"/>
      <c r="L685" s="10"/>
      <c r="M685" s="11"/>
      <c r="N685" s="8"/>
      <c r="O685" s="7" t="str">
        <f aca="false">IF(L685="","",IFERROR(VLOOKUP(L685,Paramètres!$F$5:$G$8,2,FALSE()),""))</f>
        <v/>
      </c>
      <c r="P685" s="9" t="str">
        <f aca="false">IF(OR(B685="",O685=""),"",IF(N685="",B685,N685)+O685)</f>
        <v/>
      </c>
      <c r="Q685" s="10"/>
      <c r="R685" s="8"/>
      <c r="S685" s="7" t="str">
        <f aca="false">IF(OR(B685="",R685=""),"",R685-B685)</f>
        <v/>
      </c>
      <c r="T685" s="7" t="str">
        <f aca="true">IF(OR(B685="",P685=""),"",IF(R685&lt;&gt;"",IF(R685&gt;P685,"Traité hors délai","Non"),IF(Q685="Classé sans suite","Non",IF(TODAY()&gt;P685,"OUI","Non"))))</f>
        <v/>
      </c>
      <c r="U685" s="11"/>
    </row>
    <row r="686" customFormat="false" ht="15" hidden="false" customHeight="false" outlineLevel="0" collapsed="false">
      <c r="A686" s="7" t="str">
        <f aca="false">IF(B686="","",YEAR(B686)&amp;"/"&amp;TEXT(ROW()-4,"0000"))</f>
        <v/>
      </c>
      <c r="B686" s="8"/>
      <c r="C686" s="7" t="str">
        <f aca="false">IF(B686="","",INT((B686-DATE(YEAR(B686-WEEKDAY(B686-1)+4),1,3)+WEEKDAY(DATE(YEAR(B686-WEEKDAY(B686-1)+4),1,3))+5)/7))</f>
        <v/>
      </c>
      <c r="D686" s="9" t="str">
        <f aca="false">IF(B686="","",B686-WEEKDAY(B686,2)+1)</f>
        <v/>
      </c>
      <c r="E686" s="10"/>
      <c r="F686" s="8"/>
      <c r="G686" s="11"/>
      <c r="H686" s="10"/>
      <c r="I686" s="11"/>
      <c r="J686" s="10"/>
      <c r="K686" s="10"/>
      <c r="L686" s="10"/>
      <c r="M686" s="11"/>
      <c r="N686" s="8"/>
      <c r="O686" s="7" t="str">
        <f aca="false">IF(L686="","",IFERROR(VLOOKUP(L686,Paramètres!$F$5:$G$8,2,FALSE()),""))</f>
        <v/>
      </c>
      <c r="P686" s="9" t="str">
        <f aca="false">IF(OR(B686="",O686=""),"",IF(N686="",B686,N686)+O686)</f>
        <v/>
      </c>
      <c r="Q686" s="10"/>
      <c r="R686" s="8"/>
      <c r="S686" s="7" t="str">
        <f aca="false">IF(OR(B686="",R686=""),"",R686-B686)</f>
        <v/>
      </c>
      <c r="T686" s="7" t="str">
        <f aca="true">IF(OR(B686="",P686=""),"",IF(R686&lt;&gt;"",IF(R686&gt;P686,"Traité hors délai","Non"),IF(Q686="Classé sans suite","Non",IF(TODAY()&gt;P686,"OUI","Non"))))</f>
        <v/>
      </c>
      <c r="U686" s="11"/>
    </row>
    <row r="687" customFormat="false" ht="15" hidden="false" customHeight="false" outlineLevel="0" collapsed="false">
      <c r="A687" s="7" t="str">
        <f aca="false">IF(B687="","",YEAR(B687)&amp;"/"&amp;TEXT(ROW()-4,"0000"))</f>
        <v/>
      </c>
      <c r="B687" s="8"/>
      <c r="C687" s="7" t="str">
        <f aca="false">IF(B687="","",INT((B687-DATE(YEAR(B687-WEEKDAY(B687-1)+4),1,3)+WEEKDAY(DATE(YEAR(B687-WEEKDAY(B687-1)+4),1,3))+5)/7))</f>
        <v/>
      </c>
      <c r="D687" s="9" t="str">
        <f aca="false">IF(B687="","",B687-WEEKDAY(B687,2)+1)</f>
        <v/>
      </c>
      <c r="E687" s="10"/>
      <c r="F687" s="8"/>
      <c r="G687" s="11"/>
      <c r="H687" s="10"/>
      <c r="I687" s="11"/>
      <c r="J687" s="10"/>
      <c r="K687" s="10"/>
      <c r="L687" s="10"/>
      <c r="M687" s="11"/>
      <c r="N687" s="8"/>
      <c r="O687" s="7" t="str">
        <f aca="false">IF(L687="","",IFERROR(VLOOKUP(L687,Paramètres!$F$5:$G$8,2,FALSE()),""))</f>
        <v/>
      </c>
      <c r="P687" s="9" t="str">
        <f aca="false">IF(OR(B687="",O687=""),"",IF(N687="",B687,N687)+O687)</f>
        <v/>
      </c>
      <c r="Q687" s="10"/>
      <c r="R687" s="8"/>
      <c r="S687" s="7" t="str">
        <f aca="false">IF(OR(B687="",R687=""),"",R687-B687)</f>
        <v/>
      </c>
      <c r="T687" s="7" t="str">
        <f aca="true">IF(OR(B687="",P687=""),"",IF(R687&lt;&gt;"",IF(R687&gt;P687,"Traité hors délai","Non"),IF(Q687="Classé sans suite","Non",IF(TODAY()&gt;P687,"OUI","Non"))))</f>
        <v/>
      </c>
      <c r="U687" s="11"/>
    </row>
    <row r="688" customFormat="false" ht="15" hidden="false" customHeight="false" outlineLevel="0" collapsed="false">
      <c r="A688" s="7" t="str">
        <f aca="false">IF(B688="","",YEAR(B688)&amp;"/"&amp;TEXT(ROW()-4,"0000"))</f>
        <v/>
      </c>
      <c r="B688" s="8"/>
      <c r="C688" s="7" t="str">
        <f aca="false">IF(B688="","",INT((B688-DATE(YEAR(B688-WEEKDAY(B688-1)+4),1,3)+WEEKDAY(DATE(YEAR(B688-WEEKDAY(B688-1)+4),1,3))+5)/7))</f>
        <v/>
      </c>
      <c r="D688" s="9" t="str">
        <f aca="false">IF(B688="","",B688-WEEKDAY(B688,2)+1)</f>
        <v/>
      </c>
      <c r="E688" s="10"/>
      <c r="F688" s="8"/>
      <c r="G688" s="11"/>
      <c r="H688" s="10"/>
      <c r="I688" s="11"/>
      <c r="J688" s="10"/>
      <c r="K688" s="10"/>
      <c r="L688" s="10"/>
      <c r="M688" s="11"/>
      <c r="N688" s="8"/>
      <c r="O688" s="7" t="str">
        <f aca="false">IF(L688="","",IFERROR(VLOOKUP(L688,Paramètres!$F$5:$G$8,2,FALSE()),""))</f>
        <v/>
      </c>
      <c r="P688" s="9" t="str">
        <f aca="false">IF(OR(B688="",O688=""),"",IF(N688="",B688,N688)+O688)</f>
        <v/>
      </c>
      <c r="Q688" s="10"/>
      <c r="R688" s="8"/>
      <c r="S688" s="7" t="str">
        <f aca="false">IF(OR(B688="",R688=""),"",R688-B688)</f>
        <v/>
      </c>
      <c r="T688" s="7" t="str">
        <f aca="true">IF(OR(B688="",P688=""),"",IF(R688&lt;&gt;"",IF(R688&gt;P688,"Traité hors délai","Non"),IF(Q688="Classé sans suite","Non",IF(TODAY()&gt;P688,"OUI","Non"))))</f>
        <v/>
      </c>
      <c r="U688" s="11"/>
    </row>
    <row r="689" customFormat="false" ht="15" hidden="false" customHeight="false" outlineLevel="0" collapsed="false">
      <c r="A689" s="7" t="str">
        <f aca="false">IF(B689="","",YEAR(B689)&amp;"/"&amp;TEXT(ROW()-4,"0000"))</f>
        <v/>
      </c>
      <c r="B689" s="8"/>
      <c r="C689" s="7" t="str">
        <f aca="false">IF(B689="","",INT((B689-DATE(YEAR(B689-WEEKDAY(B689-1)+4),1,3)+WEEKDAY(DATE(YEAR(B689-WEEKDAY(B689-1)+4),1,3))+5)/7))</f>
        <v/>
      </c>
      <c r="D689" s="9" t="str">
        <f aca="false">IF(B689="","",B689-WEEKDAY(B689,2)+1)</f>
        <v/>
      </c>
      <c r="E689" s="10"/>
      <c r="F689" s="8"/>
      <c r="G689" s="11"/>
      <c r="H689" s="10"/>
      <c r="I689" s="11"/>
      <c r="J689" s="10"/>
      <c r="K689" s="10"/>
      <c r="L689" s="10"/>
      <c r="M689" s="11"/>
      <c r="N689" s="8"/>
      <c r="O689" s="7" t="str">
        <f aca="false">IF(L689="","",IFERROR(VLOOKUP(L689,Paramètres!$F$5:$G$8,2,FALSE()),""))</f>
        <v/>
      </c>
      <c r="P689" s="9" t="str">
        <f aca="false">IF(OR(B689="",O689=""),"",IF(N689="",B689,N689)+O689)</f>
        <v/>
      </c>
      <c r="Q689" s="10"/>
      <c r="R689" s="8"/>
      <c r="S689" s="7" t="str">
        <f aca="false">IF(OR(B689="",R689=""),"",R689-B689)</f>
        <v/>
      </c>
      <c r="T689" s="7" t="str">
        <f aca="true">IF(OR(B689="",P689=""),"",IF(R689&lt;&gt;"",IF(R689&gt;P689,"Traité hors délai","Non"),IF(Q689="Classé sans suite","Non",IF(TODAY()&gt;P689,"OUI","Non"))))</f>
        <v/>
      </c>
      <c r="U689" s="11"/>
    </row>
    <row r="690" customFormat="false" ht="15" hidden="false" customHeight="false" outlineLevel="0" collapsed="false">
      <c r="A690" s="7" t="str">
        <f aca="false">IF(B690="","",YEAR(B690)&amp;"/"&amp;TEXT(ROW()-4,"0000"))</f>
        <v/>
      </c>
      <c r="B690" s="8"/>
      <c r="C690" s="7" t="str">
        <f aca="false">IF(B690="","",INT((B690-DATE(YEAR(B690-WEEKDAY(B690-1)+4),1,3)+WEEKDAY(DATE(YEAR(B690-WEEKDAY(B690-1)+4),1,3))+5)/7))</f>
        <v/>
      </c>
      <c r="D690" s="9" t="str">
        <f aca="false">IF(B690="","",B690-WEEKDAY(B690,2)+1)</f>
        <v/>
      </c>
      <c r="E690" s="10"/>
      <c r="F690" s="8"/>
      <c r="G690" s="11"/>
      <c r="H690" s="10"/>
      <c r="I690" s="11"/>
      <c r="J690" s="10"/>
      <c r="K690" s="10"/>
      <c r="L690" s="10"/>
      <c r="M690" s="11"/>
      <c r="N690" s="8"/>
      <c r="O690" s="7" t="str">
        <f aca="false">IF(L690="","",IFERROR(VLOOKUP(L690,Paramètres!$F$5:$G$8,2,FALSE()),""))</f>
        <v/>
      </c>
      <c r="P690" s="9" t="str">
        <f aca="false">IF(OR(B690="",O690=""),"",IF(N690="",B690,N690)+O690)</f>
        <v/>
      </c>
      <c r="Q690" s="10"/>
      <c r="R690" s="8"/>
      <c r="S690" s="7" t="str">
        <f aca="false">IF(OR(B690="",R690=""),"",R690-B690)</f>
        <v/>
      </c>
      <c r="T690" s="7" t="str">
        <f aca="true">IF(OR(B690="",P690=""),"",IF(R690&lt;&gt;"",IF(R690&gt;P690,"Traité hors délai","Non"),IF(Q690="Classé sans suite","Non",IF(TODAY()&gt;P690,"OUI","Non"))))</f>
        <v/>
      </c>
      <c r="U690" s="11"/>
    </row>
    <row r="691" customFormat="false" ht="15" hidden="false" customHeight="false" outlineLevel="0" collapsed="false">
      <c r="A691" s="7" t="str">
        <f aca="false">IF(B691="","",YEAR(B691)&amp;"/"&amp;TEXT(ROW()-4,"0000"))</f>
        <v/>
      </c>
      <c r="B691" s="8"/>
      <c r="C691" s="7" t="str">
        <f aca="false">IF(B691="","",INT((B691-DATE(YEAR(B691-WEEKDAY(B691-1)+4),1,3)+WEEKDAY(DATE(YEAR(B691-WEEKDAY(B691-1)+4),1,3))+5)/7))</f>
        <v/>
      </c>
      <c r="D691" s="9" t="str">
        <f aca="false">IF(B691="","",B691-WEEKDAY(B691,2)+1)</f>
        <v/>
      </c>
      <c r="E691" s="10"/>
      <c r="F691" s="8"/>
      <c r="G691" s="11"/>
      <c r="H691" s="10"/>
      <c r="I691" s="11"/>
      <c r="J691" s="10"/>
      <c r="K691" s="10"/>
      <c r="L691" s="10"/>
      <c r="M691" s="11"/>
      <c r="N691" s="8"/>
      <c r="O691" s="7" t="str">
        <f aca="false">IF(L691="","",IFERROR(VLOOKUP(L691,Paramètres!$F$5:$G$8,2,FALSE()),""))</f>
        <v/>
      </c>
      <c r="P691" s="9" t="str">
        <f aca="false">IF(OR(B691="",O691=""),"",IF(N691="",B691,N691)+O691)</f>
        <v/>
      </c>
      <c r="Q691" s="10"/>
      <c r="R691" s="8"/>
      <c r="S691" s="7" t="str">
        <f aca="false">IF(OR(B691="",R691=""),"",R691-B691)</f>
        <v/>
      </c>
      <c r="T691" s="7" t="str">
        <f aca="true">IF(OR(B691="",P691=""),"",IF(R691&lt;&gt;"",IF(R691&gt;P691,"Traité hors délai","Non"),IF(Q691="Classé sans suite","Non",IF(TODAY()&gt;P691,"OUI","Non"))))</f>
        <v/>
      </c>
      <c r="U691" s="11"/>
    </row>
    <row r="692" customFormat="false" ht="15" hidden="false" customHeight="false" outlineLevel="0" collapsed="false">
      <c r="A692" s="7" t="str">
        <f aca="false">IF(B692="","",YEAR(B692)&amp;"/"&amp;TEXT(ROW()-4,"0000"))</f>
        <v/>
      </c>
      <c r="B692" s="8"/>
      <c r="C692" s="7" t="str">
        <f aca="false">IF(B692="","",INT((B692-DATE(YEAR(B692-WEEKDAY(B692-1)+4),1,3)+WEEKDAY(DATE(YEAR(B692-WEEKDAY(B692-1)+4),1,3))+5)/7))</f>
        <v/>
      </c>
      <c r="D692" s="9" t="str">
        <f aca="false">IF(B692="","",B692-WEEKDAY(B692,2)+1)</f>
        <v/>
      </c>
      <c r="E692" s="10"/>
      <c r="F692" s="8"/>
      <c r="G692" s="11"/>
      <c r="H692" s="10"/>
      <c r="I692" s="11"/>
      <c r="J692" s="10"/>
      <c r="K692" s="10"/>
      <c r="L692" s="10"/>
      <c r="M692" s="11"/>
      <c r="N692" s="8"/>
      <c r="O692" s="7" t="str">
        <f aca="false">IF(L692="","",IFERROR(VLOOKUP(L692,Paramètres!$F$5:$G$8,2,FALSE()),""))</f>
        <v/>
      </c>
      <c r="P692" s="9" t="str">
        <f aca="false">IF(OR(B692="",O692=""),"",IF(N692="",B692,N692)+O692)</f>
        <v/>
      </c>
      <c r="Q692" s="10"/>
      <c r="R692" s="8"/>
      <c r="S692" s="7" t="str">
        <f aca="false">IF(OR(B692="",R692=""),"",R692-B692)</f>
        <v/>
      </c>
      <c r="T692" s="7" t="str">
        <f aca="true">IF(OR(B692="",P692=""),"",IF(R692&lt;&gt;"",IF(R692&gt;P692,"Traité hors délai","Non"),IF(Q692="Classé sans suite","Non",IF(TODAY()&gt;P692,"OUI","Non"))))</f>
        <v/>
      </c>
      <c r="U692" s="11"/>
    </row>
    <row r="693" customFormat="false" ht="15" hidden="false" customHeight="false" outlineLevel="0" collapsed="false">
      <c r="A693" s="7" t="str">
        <f aca="false">IF(B693="","",YEAR(B693)&amp;"/"&amp;TEXT(ROW()-4,"0000"))</f>
        <v/>
      </c>
      <c r="B693" s="8"/>
      <c r="C693" s="7" t="str">
        <f aca="false">IF(B693="","",INT((B693-DATE(YEAR(B693-WEEKDAY(B693-1)+4),1,3)+WEEKDAY(DATE(YEAR(B693-WEEKDAY(B693-1)+4),1,3))+5)/7))</f>
        <v/>
      </c>
      <c r="D693" s="9" t="str">
        <f aca="false">IF(B693="","",B693-WEEKDAY(B693,2)+1)</f>
        <v/>
      </c>
      <c r="E693" s="10"/>
      <c r="F693" s="8"/>
      <c r="G693" s="11"/>
      <c r="H693" s="10"/>
      <c r="I693" s="11"/>
      <c r="J693" s="10"/>
      <c r="K693" s="10"/>
      <c r="L693" s="10"/>
      <c r="M693" s="11"/>
      <c r="N693" s="8"/>
      <c r="O693" s="7" t="str">
        <f aca="false">IF(L693="","",IFERROR(VLOOKUP(L693,Paramètres!$F$5:$G$8,2,FALSE()),""))</f>
        <v/>
      </c>
      <c r="P693" s="9" t="str">
        <f aca="false">IF(OR(B693="",O693=""),"",IF(N693="",B693,N693)+O693)</f>
        <v/>
      </c>
      <c r="Q693" s="10"/>
      <c r="R693" s="8"/>
      <c r="S693" s="7" t="str">
        <f aca="false">IF(OR(B693="",R693=""),"",R693-B693)</f>
        <v/>
      </c>
      <c r="T693" s="7" t="str">
        <f aca="true">IF(OR(B693="",P693=""),"",IF(R693&lt;&gt;"",IF(R693&gt;P693,"Traité hors délai","Non"),IF(Q693="Classé sans suite","Non",IF(TODAY()&gt;P693,"OUI","Non"))))</f>
        <v/>
      </c>
      <c r="U693" s="11"/>
    </row>
    <row r="694" customFormat="false" ht="15" hidden="false" customHeight="false" outlineLevel="0" collapsed="false">
      <c r="A694" s="7" t="str">
        <f aca="false">IF(B694="","",YEAR(B694)&amp;"/"&amp;TEXT(ROW()-4,"0000"))</f>
        <v/>
      </c>
      <c r="B694" s="8"/>
      <c r="C694" s="7" t="str">
        <f aca="false">IF(B694="","",INT((B694-DATE(YEAR(B694-WEEKDAY(B694-1)+4),1,3)+WEEKDAY(DATE(YEAR(B694-WEEKDAY(B694-1)+4),1,3))+5)/7))</f>
        <v/>
      </c>
      <c r="D694" s="9" t="str">
        <f aca="false">IF(B694="","",B694-WEEKDAY(B694,2)+1)</f>
        <v/>
      </c>
      <c r="E694" s="10"/>
      <c r="F694" s="8"/>
      <c r="G694" s="11"/>
      <c r="H694" s="10"/>
      <c r="I694" s="11"/>
      <c r="J694" s="10"/>
      <c r="K694" s="10"/>
      <c r="L694" s="10"/>
      <c r="M694" s="11"/>
      <c r="N694" s="8"/>
      <c r="O694" s="7" t="str">
        <f aca="false">IF(L694="","",IFERROR(VLOOKUP(L694,Paramètres!$F$5:$G$8,2,FALSE()),""))</f>
        <v/>
      </c>
      <c r="P694" s="9" t="str">
        <f aca="false">IF(OR(B694="",O694=""),"",IF(N694="",B694,N694)+O694)</f>
        <v/>
      </c>
      <c r="Q694" s="10"/>
      <c r="R694" s="8"/>
      <c r="S694" s="7" t="str">
        <f aca="false">IF(OR(B694="",R694=""),"",R694-B694)</f>
        <v/>
      </c>
      <c r="T694" s="7" t="str">
        <f aca="true">IF(OR(B694="",P694=""),"",IF(R694&lt;&gt;"",IF(R694&gt;P694,"Traité hors délai","Non"),IF(Q694="Classé sans suite","Non",IF(TODAY()&gt;P694,"OUI","Non"))))</f>
        <v/>
      </c>
      <c r="U694" s="11"/>
    </row>
    <row r="695" customFormat="false" ht="15" hidden="false" customHeight="false" outlineLevel="0" collapsed="false">
      <c r="A695" s="7" t="str">
        <f aca="false">IF(B695="","",YEAR(B695)&amp;"/"&amp;TEXT(ROW()-4,"0000"))</f>
        <v/>
      </c>
      <c r="B695" s="8"/>
      <c r="C695" s="7" t="str">
        <f aca="false">IF(B695="","",INT((B695-DATE(YEAR(B695-WEEKDAY(B695-1)+4),1,3)+WEEKDAY(DATE(YEAR(B695-WEEKDAY(B695-1)+4),1,3))+5)/7))</f>
        <v/>
      </c>
      <c r="D695" s="9" t="str">
        <f aca="false">IF(B695="","",B695-WEEKDAY(B695,2)+1)</f>
        <v/>
      </c>
      <c r="E695" s="10"/>
      <c r="F695" s="8"/>
      <c r="G695" s="11"/>
      <c r="H695" s="10"/>
      <c r="I695" s="11"/>
      <c r="J695" s="10"/>
      <c r="K695" s="10"/>
      <c r="L695" s="10"/>
      <c r="M695" s="11"/>
      <c r="N695" s="8"/>
      <c r="O695" s="7" t="str">
        <f aca="false">IF(L695="","",IFERROR(VLOOKUP(L695,Paramètres!$F$5:$G$8,2,FALSE()),""))</f>
        <v/>
      </c>
      <c r="P695" s="9" t="str">
        <f aca="false">IF(OR(B695="",O695=""),"",IF(N695="",B695,N695)+O695)</f>
        <v/>
      </c>
      <c r="Q695" s="10"/>
      <c r="R695" s="8"/>
      <c r="S695" s="7" t="str">
        <f aca="false">IF(OR(B695="",R695=""),"",R695-B695)</f>
        <v/>
      </c>
      <c r="T695" s="7" t="str">
        <f aca="true">IF(OR(B695="",P695=""),"",IF(R695&lt;&gt;"",IF(R695&gt;P695,"Traité hors délai","Non"),IF(Q695="Classé sans suite","Non",IF(TODAY()&gt;P695,"OUI","Non"))))</f>
        <v/>
      </c>
      <c r="U695" s="11"/>
    </row>
    <row r="696" customFormat="false" ht="15" hidden="false" customHeight="false" outlineLevel="0" collapsed="false">
      <c r="A696" s="7" t="str">
        <f aca="false">IF(B696="","",YEAR(B696)&amp;"/"&amp;TEXT(ROW()-4,"0000"))</f>
        <v/>
      </c>
      <c r="B696" s="8"/>
      <c r="C696" s="7" t="str">
        <f aca="false">IF(B696="","",INT((B696-DATE(YEAR(B696-WEEKDAY(B696-1)+4),1,3)+WEEKDAY(DATE(YEAR(B696-WEEKDAY(B696-1)+4),1,3))+5)/7))</f>
        <v/>
      </c>
      <c r="D696" s="9" t="str">
        <f aca="false">IF(B696="","",B696-WEEKDAY(B696,2)+1)</f>
        <v/>
      </c>
      <c r="E696" s="10"/>
      <c r="F696" s="8"/>
      <c r="G696" s="11"/>
      <c r="H696" s="10"/>
      <c r="I696" s="11"/>
      <c r="J696" s="10"/>
      <c r="K696" s="10"/>
      <c r="L696" s="10"/>
      <c r="M696" s="11"/>
      <c r="N696" s="8"/>
      <c r="O696" s="7" t="str">
        <f aca="false">IF(L696="","",IFERROR(VLOOKUP(L696,Paramètres!$F$5:$G$8,2,FALSE()),""))</f>
        <v/>
      </c>
      <c r="P696" s="9" t="str">
        <f aca="false">IF(OR(B696="",O696=""),"",IF(N696="",B696,N696)+O696)</f>
        <v/>
      </c>
      <c r="Q696" s="10"/>
      <c r="R696" s="8"/>
      <c r="S696" s="7" t="str">
        <f aca="false">IF(OR(B696="",R696=""),"",R696-B696)</f>
        <v/>
      </c>
      <c r="T696" s="7" t="str">
        <f aca="true">IF(OR(B696="",P696=""),"",IF(R696&lt;&gt;"",IF(R696&gt;P696,"Traité hors délai","Non"),IF(Q696="Classé sans suite","Non",IF(TODAY()&gt;P696,"OUI","Non"))))</f>
        <v/>
      </c>
      <c r="U696" s="11"/>
    </row>
    <row r="697" customFormat="false" ht="15" hidden="false" customHeight="false" outlineLevel="0" collapsed="false">
      <c r="A697" s="7" t="str">
        <f aca="false">IF(B697="","",YEAR(B697)&amp;"/"&amp;TEXT(ROW()-4,"0000"))</f>
        <v/>
      </c>
      <c r="B697" s="8"/>
      <c r="C697" s="7" t="str">
        <f aca="false">IF(B697="","",INT((B697-DATE(YEAR(B697-WEEKDAY(B697-1)+4),1,3)+WEEKDAY(DATE(YEAR(B697-WEEKDAY(B697-1)+4),1,3))+5)/7))</f>
        <v/>
      </c>
      <c r="D697" s="9" t="str">
        <f aca="false">IF(B697="","",B697-WEEKDAY(B697,2)+1)</f>
        <v/>
      </c>
      <c r="E697" s="10"/>
      <c r="F697" s="8"/>
      <c r="G697" s="11"/>
      <c r="H697" s="10"/>
      <c r="I697" s="11"/>
      <c r="J697" s="10"/>
      <c r="K697" s="10"/>
      <c r="L697" s="10"/>
      <c r="M697" s="11"/>
      <c r="N697" s="8"/>
      <c r="O697" s="7" t="str">
        <f aca="false">IF(L697="","",IFERROR(VLOOKUP(L697,Paramètres!$F$5:$G$8,2,FALSE()),""))</f>
        <v/>
      </c>
      <c r="P697" s="9" t="str">
        <f aca="false">IF(OR(B697="",O697=""),"",IF(N697="",B697,N697)+O697)</f>
        <v/>
      </c>
      <c r="Q697" s="10"/>
      <c r="R697" s="8"/>
      <c r="S697" s="7" t="str">
        <f aca="false">IF(OR(B697="",R697=""),"",R697-B697)</f>
        <v/>
      </c>
      <c r="T697" s="7" t="str">
        <f aca="true">IF(OR(B697="",P697=""),"",IF(R697&lt;&gt;"",IF(R697&gt;P697,"Traité hors délai","Non"),IF(Q697="Classé sans suite","Non",IF(TODAY()&gt;P697,"OUI","Non"))))</f>
        <v/>
      </c>
      <c r="U697" s="11"/>
    </row>
    <row r="698" customFormat="false" ht="15" hidden="false" customHeight="false" outlineLevel="0" collapsed="false">
      <c r="A698" s="7" t="str">
        <f aca="false">IF(B698="","",YEAR(B698)&amp;"/"&amp;TEXT(ROW()-4,"0000"))</f>
        <v/>
      </c>
      <c r="B698" s="8"/>
      <c r="C698" s="7" t="str">
        <f aca="false">IF(B698="","",INT((B698-DATE(YEAR(B698-WEEKDAY(B698-1)+4),1,3)+WEEKDAY(DATE(YEAR(B698-WEEKDAY(B698-1)+4),1,3))+5)/7))</f>
        <v/>
      </c>
      <c r="D698" s="9" t="str">
        <f aca="false">IF(B698="","",B698-WEEKDAY(B698,2)+1)</f>
        <v/>
      </c>
      <c r="E698" s="10"/>
      <c r="F698" s="8"/>
      <c r="G698" s="11"/>
      <c r="H698" s="10"/>
      <c r="I698" s="11"/>
      <c r="J698" s="10"/>
      <c r="K698" s="10"/>
      <c r="L698" s="10"/>
      <c r="M698" s="11"/>
      <c r="N698" s="8"/>
      <c r="O698" s="7" t="str">
        <f aca="false">IF(L698="","",IFERROR(VLOOKUP(L698,Paramètres!$F$5:$G$8,2,FALSE()),""))</f>
        <v/>
      </c>
      <c r="P698" s="9" t="str">
        <f aca="false">IF(OR(B698="",O698=""),"",IF(N698="",B698,N698)+O698)</f>
        <v/>
      </c>
      <c r="Q698" s="10"/>
      <c r="R698" s="8"/>
      <c r="S698" s="7" t="str">
        <f aca="false">IF(OR(B698="",R698=""),"",R698-B698)</f>
        <v/>
      </c>
      <c r="T698" s="7" t="str">
        <f aca="true">IF(OR(B698="",P698=""),"",IF(R698&lt;&gt;"",IF(R698&gt;P698,"Traité hors délai","Non"),IF(Q698="Classé sans suite","Non",IF(TODAY()&gt;P698,"OUI","Non"))))</f>
        <v/>
      </c>
      <c r="U698" s="11"/>
    </row>
    <row r="699" customFormat="false" ht="15" hidden="false" customHeight="false" outlineLevel="0" collapsed="false">
      <c r="A699" s="7" t="str">
        <f aca="false">IF(B699="","",YEAR(B699)&amp;"/"&amp;TEXT(ROW()-4,"0000"))</f>
        <v/>
      </c>
      <c r="B699" s="8"/>
      <c r="C699" s="7" t="str">
        <f aca="false">IF(B699="","",INT((B699-DATE(YEAR(B699-WEEKDAY(B699-1)+4),1,3)+WEEKDAY(DATE(YEAR(B699-WEEKDAY(B699-1)+4),1,3))+5)/7))</f>
        <v/>
      </c>
      <c r="D699" s="9" t="str">
        <f aca="false">IF(B699="","",B699-WEEKDAY(B699,2)+1)</f>
        <v/>
      </c>
      <c r="E699" s="10"/>
      <c r="F699" s="8"/>
      <c r="G699" s="11"/>
      <c r="H699" s="10"/>
      <c r="I699" s="11"/>
      <c r="J699" s="10"/>
      <c r="K699" s="10"/>
      <c r="L699" s="10"/>
      <c r="M699" s="11"/>
      <c r="N699" s="8"/>
      <c r="O699" s="7" t="str">
        <f aca="false">IF(L699="","",IFERROR(VLOOKUP(L699,Paramètres!$F$5:$G$8,2,FALSE()),""))</f>
        <v/>
      </c>
      <c r="P699" s="9" t="str">
        <f aca="false">IF(OR(B699="",O699=""),"",IF(N699="",B699,N699)+O699)</f>
        <v/>
      </c>
      <c r="Q699" s="10"/>
      <c r="R699" s="8"/>
      <c r="S699" s="7" t="str">
        <f aca="false">IF(OR(B699="",R699=""),"",R699-B699)</f>
        <v/>
      </c>
      <c r="T699" s="7" t="str">
        <f aca="true">IF(OR(B699="",P699=""),"",IF(R699&lt;&gt;"",IF(R699&gt;P699,"Traité hors délai","Non"),IF(Q699="Classé sans suite","Non",IF(TODAY()&gt;P699,"OUI","Non"))))</f>
        <v/>
      </c>
      <c r="U699" s="11"/>
    </row>
    <row r="700" customFormat="false" ht="15" hidden="false" customHeight="false" outlineLevel="0" collapsed="false">
      <c r="A700" s="7" t="str">
        <f aca="false">IF(B700="","",YEAR(B700)&amp;"/"&amp;TEXT(ROW()-4,"0000"))</f>
        <v/>
      </c>
      <c r="B700" s="8"/>
      <c r="C700" s="7" t="str">
        <f aca="false">IF(B700="","",INT((B700-DATE(YEAR(B700-WEEKDAY(B700-1)+4),1,3)+WEEKDAY(DATE(YEAR(B700-WEEKDAY(B700-1)+4),1,3))+5)/7))</f>
        <v/>
      </c>
      <c r="D700" s="9" t="str">
        <f aca="false">IF(B700="","",B700-WEEKDAY(B700,2)+1)</f>
        <v/>
      </c>
      <c r="E700" s="10"/>
      <c r="F700" s="8"/>
      <c r="G700" s="11"/>
      <c r="H700" s="10"/>
      <c r="I700" s="11"/>
      <c r="J700" s="10"/>
      <c r="K700" s="10"/>
      <c r="L700" s="10"/>
      <c r="M700" s="11"/>
      <c r="N700" s="8"/>
      <c r="O700" s="7" t="str">
        <f aca="false">IF(L700="","",IFERROR(VLOOKUP(L700,Paramètres!$F$5:$G$8,2,FALSE()),""))</f>
        <v/>
      </c>
      <c r="P700" s="9" t="str">
        <f aca="false">IF(OR(B700="",O700=""),"",IF(N700="",B700,N700)+O700)</f>
        <v/>
      </c>
      <c r="Q700" s="10"/>
      <c r="R700" s="8"/>
      <c r="S700" s="7" t="str">
        <f aca="false">IF(OR(B700="",R700=""),"",R700-B700)</f>
        <v/>
      </c>
      <c r="T700" s="7" t="str">
        <f aca="true">IF(OR(B700="",P700=""),"",IF(R700&lt;&gt;"",IF(R700&gt;P700,"Traité hors délai","Non"),IF(Q700="Classé sans suite","Non",IF(TODAY()&gt;P700,"OUI","Non"))))</f>
        <v/>
      </c>
      <c r="U700" s="11"/>
    </row>
    <row r="701" customFormat="false" ht="15" hidden="false" customHeight="false" outlineLevel="0" collapsed="false">
      <c r="A701" s="7" t="str">
        <f aca="false">IF(B701="","",YEAR(B701)&amp;"/"&amp;TEXT(ROW()-4,"0000"))</f>
        <v/>
      </c>
      <c r="B701" s="8"/>
      <c r="C701" s="7" t="str">
        <f aca="false">IF(B701="","",INT((B701-DATE(YEAR(B701-WEEKDAY(B701-1)+4),1,3)+WEEKDAY(DATE(YEAR(B701-WEEKDAY(B701-1)+4),1,3))+5)/7))</f>
        <v/>
      </c>
      <c r="D701" s="9" t="str">
        <f aca="false">IF(B701="","",B701-WEEKDAY(B701,2)+1)</f>
        <v/>
      </c>
      <c r="E701" s="10"/>
      <c r="F701" s="8"/>
      <c r="G701" s="11"/>
      <c r="H701" s="10"/>
      <c r="I701" s="11"/>
      <c r="J701" s="10"/>
      <c r="K701" s="10"/>
      <c r="L701" s="10"/>
      <c r="M701" s="11"/>
      <c r="N701" s="8"/>
      <c r="O701" s="7" t="str">
        <f aca="false">IF(L701="","",IFERROR(VLOOKUP(L701,Paramètres!$F$5:$G$8,2,FALSE()),""))</f>
        <v/>
      </c>
      <c r="P701" s="9" t="str">
        <f aca="false">IF(OR(B701="",O701=""),"",IF(N701="",B701,N701)+O701)</f>
        <v/>
      </c>
      <c r="Q701" s="10"/>
      <c r="R701" s="8"/>
      <c r="S701" s="7" t="str">
        <f aca="false">IF(OR(B701="",R701=""),"",R701-B701)</f>
        <v/>
      </c>
      <c r="T701" s="7" t="str">
        <f aca="true">IF(OR(B701="",P701=""),"",IF(R701&lt;&gt;"",IF(R701&gt;P701,"Traité hors délai","Non"),IF(Q701="Classé sans suite","Non",IF(TODAY()&gt;P701,"OUI","Non"))))</f>
        <v/>
      </c>
      <c r="U701" s="11"/>
    </row>
    <row r="702" customFormat="false" ht="15" hidden="false" customHeight="false" outlineLevel="0" collapsed="false">
      <c r="A702" s="7" t="str">
        <f aca="false">IF(B702="","",YEAR(B702)&amp;"/"&amp;TEXT(ROW()-4,"0000"))</f>
        <v/>
      </c>
      <c r="B702" s="8"/>
      <c r="C702" s="7" t="str">
        <f aca="false">IF(B702="","",INT((B702-DATE(YEAR(B702-WEEKDAY(B702-1)+4),1,3)+WEEKDAY(DATE(YEAR(B702-WEEKDAY(B702-1)+4),1,3))+5)/7))</f>
        <v/>
      </c>
      <c r="D702" s="9" t="str">
        <f aca="false">IF(B702="","",B702-WEEKDAY(B702,2)+1)</f>
        <v/>
      </c>
      <c r="E702" s="10"/>
      <c r="F702" s="8"/>
      <c r="G702" s="11"/>
      <c r="H702" s="10"/>
      <c r="I702" s="11"/>
      <c r="J702" s="10"/>
      <c r="K702" s="10"/>
      <c r="L702" s="10"/>
      <c r="M702" s="11"/>
      <c r="N702" s="8"/>
      <c r="O702" s="7" t="str">
        <f aca="false">IF(L702="","",IFERROR(VLOOKUP(L702,Paramètres!$F$5:$G$8,2,FALSE()),""))</f>
        <v/>
      </c>
      <c r="P702" s="9" t="str">
        <f aca="false">IF(OR(B702="",O702=""),"",IF(N702="",B702,N702)+O702)</f>
        <v/>
      </c>
      <c r="Q702" s="10"/>
      <c r="R702" s="8"/>
      <c r="S702" s="7" t="str">
        <f aca="false">IF(OR(B702="",R702=""),"",R702-B702)</f>
        <v/>
      </c>
      <c r="T702" s="7" t="str">
        <f aca="true">IF(OR(B702="",P702=""),"",IF(R702&lt;&gt;"",IF(R702&gt;P702,"Traité hors délai","Non"),IF(Q702="Classé sans suite","Non",IF(TODAY()&gt;P702,"OUI","Non"))))</f>
        <v/>
      </c>
      <c r="U702" s="11"/>
    </row>
    <row r="703" customFormat="false" ht="15" hidden="false" customHeight="false" outlineLevel="0" collapsed="false">
      <c r="A703" s="7" t="str">
        <f aca="false">IF(B703="","",YEAR(B703)&amp;"/"&amp;TEXT(ROW()-4,"0000"))</f>
        <v/>
      </c>
      <c r="B703" s="8"/>
      <c r="C703" s="7" t="str">
        <f aca="false">IF(B703="","",INT((B703-DATE(YEAR(B703-WEEKDAY(B703-1)+4),1,3)+WEEKDAY(DATE(YEAR(B703-WEEKDAY(B703-1)+4),1,3))+5)/7))</f>
        <v/>
      </c>
      <c r="D703" s="9" t="str">
        <f aca="false">IF(B703="","",B703-WEEKDAY(B703,2)+1)</f>
        <v/>
      </c>
      <c r="E703" s="10"/>
      <c r="F703" s="8"/>
      <c r="G703" s="11"/>
      <c r="H703" s="10"/>
      <c r="I703" s="11"/>
      <c r="J703" s="10"/>
      <c r="K703" s="10"/>
      <c r="L703" s="10"/>
      <c r="M703" s="11"/>
      <c r="N703" s="8"/>
      <c r="O703" s="7" t="str">
        <f aca="false">IF(L703="","",IFERROR(VLOOKUP(L703,Paramètres!$F$5:$G$8,2,FALSE()),""))</f>
        <v/>
      </c>
      <c r="P703" s="9" t="str">
        <f aca="false">IF(OR(B703="",O703=""),"",IF(N703="",B703,N703)+O703)</f>
        <v/>
      </c>
      <c r="Q703" s="10"/>
      <c r="R703" s="8"/>
      <c r="S703" s="7" t="str">
        <f aca="false">IF(OR(B703="",R703=""),"",R703-B703)</f>
        <v/>
      </c>
      <c r="T703" s="7" t="str">
        <f aca="true">IF(OR(B703="",P703=""),"",IF(R703&lt;&gt;"",IF(R703&gt;P703,"Traité hors délai","Non"),IF(Q703="Classé sans suite","Non",IF(TODAY()&gt;P703,"OUI","Non"))))</f>
        <v/>
      </c>
      <c r="U703" s="11"/>
    </row>
    <row r="704" customFormat="false" ht="15" hidden="false" customHeight="false" outlineLevel="0" collapsed="false">
      <c r="A704" s="7" t="str">
        <f aca="false">IF(B704="","",YEAR(B704)&amp;"/"&amp;TEXT(ROW()-4,"0000"))</f>
        <v/>
      </c>
      <c r="B704" s="8"/>
      <c r="C704" s="7" t="str">
        <f aca="false">IF(B704="","",INT((B704-DATE(YEAR(B704-WEEKDAY(B704-1)+4),1,3)+WEEKDAY(DATE(YEAR(B704-WEEKDAY(B704-1)+4),1,3))+5)/7))</f>
        <v/>
      </c>
      <c r="D704" s="9" t="str">
        <f aca="false">IF(B704="","",B704-WEEKDAY(B704,2)+1)</f>
        <v/>
      </c>
      <c r="E704" s="10"/>
      <c r="F704" s="8"/>
      <c r="G704" s="11"/>
      <c r="H704" s="10"/>
      <c r="I704" s="11"/>
      <c r="J704" s="10"/>
      <c r="K704" s="10"/>
      <c r="L704" s="10"/>
      <c r="M704" s="11"/>
      <c r="N704" s="8"/>
      <c r="O704" s="7" t="str">
        <f aca="false">IF(L704="","",IFERROR(VLOOKUP(L704,Paramètres!$F$5:$G$8,2,FALSE()),""))</f>
        <v/>
      </c>
      <c r="P704" s="9" t="str">
        <f aca="false">IF(OR(B704="",O704=""),"",IF(N704="",B704,N704)+O704)</f>
        <v/>
      </c>
      <c r="Q704" s="10"/>
      <c r="R704" s="8"/>
      <c r="S704" s="7" t="str">
        <f aca="false">IF(OR(B704="",R704=""),"",R704-B704)</f>
        <v/>
      </c>
      <c r="T704" s="7" t="str">
        <f aca="true">IF(OR(B704="",P704=""),"",IF(R704&lt;&gt;"",IF(R704&gt;P704,"Traité hors délai","Non"),IF(Q704="Classé sans suite","Non",IF(TODAY()&gt;P704,"OUI","Non"))))</f>
        <v/>
      </c>
      <c r="U704" s="11"/>
    </row>
    <row r="705" customFormat="false" ht="15" hidden="false" customHeight="false" outlineLevel="0" collapsed="false">
      <c r="A705" s="7" t="str">
        <f aca="false">IF(B705="","",YEAR(B705)&amp;"/"&amp;TEXT(ROW()-4,"0000"))</f>
        <v/>
      </c>
      <c r="B705" s="8"/>
      <c r="C705" s="7" t="str">
        <f aca="false">IF(B705="","",INT((B705-DATE(YEAR(B705-WEEKDAY(B705-1)+4),1,3)+WEEKDAY(DATE(YEAR(B705-WEEKDAY(B705-1)+4),1,3))+5)/7))</f>
        <v/>
      </c>
      <c r="D705" s="9" t="str">
        <f aca="false">IF(B705="","",B705-WEEKDAY(B705,2)+1)</f>
        <v/>
      </c>
      <c r="E705" s="10"/>
      <c r="F705" s="8"/>
      <c r="G705" s="11"/>
      <c r="H705" s="10"/>
      <c r="I705" s="11"/>
      <c r="J705" s="10"/>
      <c r="K705" s="10"/>
      <c r="L705" s="10"/>
      <c r="M705" s="11"/>
      <c r="N705" s="8"/>
      <c r="O705" s="7" t="str">
        <f aca="false">IF(L705="","",IFERROR(VLOOKUP(L705,Paramètres!$F$5:$G$8,2,FALSE()),""))</f>
        <v/>
      </c>
      <c r="P705" s="9" t="str">
        <f aca="false">IF(OR(B705="",O705=""),"",IF(N705="",B705,N705)+O705)</f>
        <v/>
      </c>
      <c r="Q705" s="10"/>
      <c r="R705" s="8"/>
      <c r="S705" s="7" t="str">
        <f aca="false">IF(OR(B705="",R705=""),"",R705-B705)</f>
        <v/>
      </c>
      <c r="T705" s="7" t="str">
        <f aca="true">IF(OR(B705="",P705=""),"",IF(R705&lt;&gt;"",IF(R705&gt;P705,"Traité hors délai","Non"),IF(Q705="Classé sans suite","Non",IF(TODAY()&gt;P705,"OUI","Non"))))</f>
        <v/>
      </c>
      <c r="U705" s="11"/>
    </row>
    <row r="706" customFormat="false" ht="15" hidden="false" customHeight="false" outlineLevel="0" collapsed="false">
      <c r="A706" s="7" t="str">
        <f aca="false">IF(B706="","",YEAR(B706)&amp;"/"&amp;TEXT(ROW()-4,"0000"))</f>
        <v/>
      </c>
      <c r="B706" s="8"/>
      <c r="C706" s="7" t="str">
        <f aca="false">IF(B706="","",INT((B706-DATE(YEAR(B706-WEEKDAY(B706-1)+4),1,3)+WEEKDAY(DATE(YEAR(B706-WEEKDAY(B706-1)+4),1,3))+5)/7))</f>
        <v/>
      </c>
      <c r="D706" s="9" t="str">
        <f aca="false">IF(B706="","",B706-WEEKDAY(B706,2)+1)</f>
        <v/>
      </c>
      <c r="E706" s="10"/>
      <c r="F706" s="8"/>
      <c r="G706" s="11"/>
      <c r="H706" s="10"/>
      <c r="I706" s="11"/>
      <c r="J706" s="10"/>
      <c r="K706" s="10"/>
      <c r="L706" s="10"/>
      <c r="M706" s="11"/>
      <c r="N706" s="8"/>
      <c r="O706" s="7" t="str">
        <f aca="false">IF(L706="","",IFERROR(VLOOKUP(L706,Paramètres!$F$5:$G$8,2,FALSE()),""))</f>
        <v/>
      </c>
      <c r="P706" s="9" t="str">
        <f aca="false">IF(OR(B706="",O706=""),"",IF(N706="",B706,N706)+O706)</f>
        <v/>
      </c>
      <c r="Q706" s="10"/>
      <c r="R706" s="8"/>
      <c r="S706" s="7" t="str">
        <f aca="false">IF(OR(B706="",R706=""),"",R706-B706)</f>
        <v/>
      </c>
      <c r="T706" s="7" t="str">
        <f aca="true">IF(OR(B706="",P706=""),"",IF(R706&lt;&gt;"",IF(R706&gt;P706,"Traité hors délai","Non"),IF(Q706="Classé sans suite","Non",IF(TODAY()&gt;P706,"OUI","Non"))))</f>
        <v/>
      </c>
      <c r="U706" s="11"/>
    </row>
    <row r="707" customFormat="false" ht="15" hidden="false" customHeight="false" outlineLevel="0" collapsed="false">
      <c r="A707" s="7" t="str">
        <f aca="false">IF(B707="","",YEAR(B707)&amp;"/"&amp;TEXT(ROW()-4,"0000"))</f>
        <v/>
      </c>
      <c r="B707" s="8"/>
      <c r="C707" s="7" t="str">
        <f aca="false">IF(B707="","",INT((B707-DATE(YEAR(B707-WEEKDAY(B707-1)+4),1,3)+WEEKDAY(DATE(YEAR(B707-WEEKDAY(B707-1)+4),1,3))+5)/7))</f>
        <v/>
      </c>
      <c r="D707" s="9" t="str">
        <f aca="false">IF(B707="","",B707-WEEKDAY(B707,2)+1)</f>
        <v/>
      </c>
      <c r="E707" s="10"/>
      <c r="F707" s="8"/>
      <c r="G707" s="11"/>
      <c r="H707" s="10"/>
      <c r="I707" s="11"/>
      <c r="J707" s="10"/>
      <c r="K707" s="10"/>
      <c r="L707" s="10"/>
      <c r="M707" s="11"/>
      <c r="N707" s="8"/>
      <c r="O707" s="7" t="str">
        <f aca="false">IF(L707="","",IFERROR(VLOOKUP(L707,Paramètres!$F$5:$G$8,2,FALSE()),""))</f>
        <v/>
      </c>
      <c r="P707" s="9" t="str">
        <f aca="false">IF(OR(B707="",O707=""),"",IF(N707="",B707,N707)+O707)</f>
        <v/>
      </c>
      <c r="Q707" s="10"/>
      <c r="R707" s="8"/>
      <c r="S707" s="7" t="str">
        <f aca="false">IF(OR(B707="",R707=""),"",R707-B707)</f>
        <v/>
      </c>
      <c r="T707" s="7" t="str">
        <f aca="true">IF(OR(B707="",P707=""),"",IF(R707&lt;&gt;"",IF(R707&gt;P707,"Traité hors délai","Non"),IF(Q707="Classé sans suite","Non",IF(TODAY()&gt;P707,"OUI","Non"))))</f>
        <v/>
      </c>
      <c r="U707" s="11"/>
    </row>
    <row r="708" customFormat="false" ht="15" hidden="false" customHeight="false" outlineLevel="0" collapsed="false">
      <c r="A708" s="7" t="str">
        <f aca="false">IF(B708="","",YEAR(B708)&amp;"/"&amp;TEXT(ROW()-4,"0000"))</f>
        <v/>
      </c>
      <c r="B708" s="8"/>
      <c r="C708" s="7" t="str">
        <f aca="false">IF(B708="","",INT((B708-DATE(YEAR(B708-WEEKDAY(B708-1)+4),1,3)+WEEKDAY(DATE(YEAR(B708-WEEKDAY(B708-1)+4),1,3))+5)/7))</f>
        <v/>
      </c>
      <c r="D708" s="9" t="str">
        <f aca="false">IF(B708="","",B708-WEEKDAY(B708,2)+1)</f>
        <v/>
      </c>
      <c r="E708" s="10"/>
      <c r="F708" s="8"/>
      <c r="G708" s="11"/>
      <c r="H708" s="10"/>
      <c r="I708" s="11"/>
      <c r="J708" s="10"/>
      <c r="K708" s="10"/>
      <c r="L708" s="10"/>
      <c r="M708" s="11"/>
      <c r="N708" s="8"/>
      <c r="O708" s="7" t="str">
        <f aca="false">IF(L708="","",IFERROR(VLOOKUP(L708,Paramètres!$F$5:$G$8,2,FALSE()),""))</f>
        <v/>
      </c>
      <c r="P708" s="9" t="str">
        <f aca="false">IF(OR(B708="",O708=""),"",IF(N708="",B708,N708)+O708)</f>
        <v/>
      </c>
      <c r="Q708" s="10"/>
      <c r="R708" s="8"/>
      <c r="S708" s="7" t="str">
        <f aca="false">IF(OR(B708="",R708=""),"",R708-B708)</f>
        <v/>
      </c>
      <c r="T708" s="7" t="str">
        <f aca="true">IF(OR(B708="",P708=""),"",IF(R708&lt;&gt;"",IF(R708&gt;P708,"Traité hors délai","Non"),IF(Q708="Classé sans suite","Non",IF(TODAY()&gt;P708,"OUI","Non"))))</f>
        <v/>
      </c>
      <c r="U708" s="11"/>
    </row>
    <row r="709" customFormat="false" ht="15" hidden="false" customHeight="false" outlineLevel="0" collapsed="false">
      <c r="A709" s="7" t="str">
        <f aca="false">IF(B709="","",YEAR(B709)&amp;"/"&amp;TEXT(ROW()-4,"0000"))</f>
        <v/>
      </c>
      <c r="B709" s="8"/>
      <c r="C709" s="7" t="str">
        <f aca="false">IF(B709="","",INT((B709-DATE(YEAR(B709-WEEKDAY(B709-1)+4),1,3)+WEEKDAY(DATE(YEAR(B709-WEEKDAY(B709-1)+4),1,3))+5)/7))</f>
        <v/>
      </c>
      <c r="D709" s="9" t="str">
        <f aca="false">IF(B709="","",B709-WEEKDAY(B709,2)+1)</f>
        <v/>
      </c>
      <c r="E709" s="10"/>
      <c r="F709" s="8"/>
      <c r="G709" s="11"/>
      <c r="H709" s="10"/>
      <c r="I709" s="11"/>
      <c r="J709" s="10"/>
      <c r="K709" s="10"/>
      <c r="L709" s="10"/>
      <c r="M709" s="11"/>
      <c r="N709" s="8"/>
      <c r="O709" s="7" t="str">
        <f aca="false">IF(L709="","",IFERROR(VLOOKUP(L709,Paramètres!$F$5:$G$8,2,FALSE()),""))</f>
        <v/>
      </c>
      <c r="P709" s="9" t="str">
        <f aca="false">IF(OR(B709="",O709=""),"",IF(N709="",B709,N709)+O709)</f>
        <v/>
      </c>
      <c r="Q709" s="10"/>
      <c r="R709" s="8"/>
      <c r="S709" s="7" t="str">
        <f aca="false">IF(OR(B709="",R709=""),"",R709-B709)</f>
        <v/>
      </c>
      <c r="T709" s="7" t="str">
        <f aca="true">IF(OR(B709="",P709=""),"",IF(R709&lt;&gt;"",IF(R709&gt;P709,"Traité hors délai","Non"),IF(Q709="Classé sans suite","Non",IF(TODAY()&gt;P709,"OUI","Non"))))</f>
        <v/>
      </c>
      <c r="U709" s="11"/>
    </row>
    <row r="710" customFormat="false" ht="15" hidden="false" customHeight="false" outlineLevel="0" collapsed="false">
      <c r="A710" s="7" t="str">
        <f aca="false">IF(B710="","",YEAR(B710)&amp;"/"&amp;TEXT(ROW()-4,"0000"))</f>
        <v/>
      </c>
      <c r="B710" s="8"/>
      <c r="C710" s="7" t="str">
        <f aca="false">IF(B710="","",INT((B710-DATE(YEAR(B710-WEEKDAY(B710-1)+4),1,3)+WEEKDAY(DATE(YEAR(B710-WEEKDAY(B710-1)+4),1,3))+5)/7))</f>
        <v/>
      </c>
      <c r="D710" s="9" t="str">
        <f aca="false">IF(B710="","",B710-WEEKDAY(B710,2)+1)</f>
        <v/>
      </c>
      <c r="E710" s="10"/>
      <c r="F710" s="8"/>
      <c r="G710" s="11"/>
      <c r="H710" s="10"/>
      <c r="I710" s="11"/>
      <c r="J710" s="10"/>
      <c r="K710" s="10"/>
      <c r="L710" s="10"/>
      <c r="M710" s="11"/>
      <c r="N710" s="8"/>
      <c r="O710" s="7" t="str">
        <f aca="false">IF(L710="","",IFERROR(VLOOKUP(L710,Paramètres!$F$5:$G$8,2,FALSE()),""))</f>
        <v/>
      </c>
      <c r="P710" s="9" t="str">
        <f aca="false">IF(OR(B710="",O710=""),"",IF(N710="",B710,N710)+O710)</f>
        <v/>
      </c>
      <c r="Q710" s="10"/>
      <c r="R710" s="8"/>
      <c r="S710" s="7" t="str">
        <f aca="false">IF(OR(B710="",R710=""),"",R710-B710)</f>
        <v/>
      </c>
      <c r="T710" s="7" t="str">
        <f aca="true">IF(OR(B710="",P710=""),"",IF(R710&lt;&gt;"",IF(R710&gt;P710,"Traité hors délai","Non"),IF(Q710="Classé sans suite","Non",IF(TODAY()&gt;P710,"OUI","Non"))))</f>
        <v/>
      </c>
      <c r="U710" s="11"/>
    </row>
    <row r="711" customFormat="false" ht="15" hidden="false" customHeight="false" outlineLevel="0" collapsed="false">
      <c r="A711" s="7" t="str">
        <f aca="false">IF(B711="","",YEAR(B711)&amp;"/"&amp;TEXT(ROW()-4,"0000"))</f>
        <v/>
      </c>
      <c r="B711" s="8"/>
      <c r="C711" s="7" t="str">
        <f aca="false">IF(B711="","",INT((B711-DATE(YEAR(B711-WEEKDAY(B711-1)+4),1,3)+WEEKDAY(DATE(YEAR(B711-WEEKDAY(B711-1)+4),1,3))+5)/7))</f>
        <v/>
      </c>
      <c r="D711" s="9" t="str">
        <f aca="false">IF(B711="","",B711-WEEKDAY(B711,2)+1)</f>
        <v/>
      </c>
      <c r="E711" s="10"/>
      <c r="F711" s="8"/>
      <c r="G711" s="11"/>
      <c r="H711" s="10"/>
      <c r="I711" s="11"/>
      <c r="J711" s="10"/>
      <c r="K711" s="10"/>
      <c r="L711" s="10"/>
      <c r="M711" s="11"/>
      <c r="N711" s="8"/>
      <c r="O711" s="7" t="str">
        <f aca="false">IF(L711="","",IFERROR(VLOOKUP(L711,Paramètres!$F$5:$G$8,2,FALSE()),""))</f>
        <v/>
      </c>
      <c r="P711" s="9" t="str">
        <f aca="false">IF(OR(B711="",O711=""),"",IF(N711="",B711,N711)+O711)</f>
        <v/>
      </c>
      <c r="Q711" s="10"/>
      <c r="R711" s="8"/>
      <c r="S711" s="7" t="str">
        <f aca="false">IF(OR(B711="",R711=""),"",R711-B711)</f>
        <v/>
      </c>
      <c r="T711" s="7" t="str">
        <f aca="true">IF(OR(B711="",P711=""),"",IF(R711&lt;&gt;"",IF(R711&gt;P711,"Traité hors délai","Non"),IF(Q711="Classé sans suite","Non",IF(TODAY()&gt;P711,"OUI","Non"))))</f>
        <v/>
      </c>
      <c r="U711" s="11"/>
    </row>
    <row r="712" customFormat="false" ht="15" hidden="false" customHeight="false" outlineLevel="0" collapsed="false">
      <c r="A712" s="7" t="str">
        <f aca="false">IF(B712="","",YEAR(B712)&amp;"/"&amp;TEXT(ROW()-4,"0000"))</f>
        <v/>
      </c>
      <c r="B712" s="8"/>
      <c r="C712" s="7" t="str">
        <f aca="false">IF(B712="","",INT((B712-DATE(YEAR(B712-WEEKDAY(B712-1)+4),1,3)+WEEKDAY(DATE(YEAR(B712-WEEKDAY(B712-1)+4),1,3))+5)/7))</f>
        <v/>
      </c>
      <c r="D712" s="9" t="str">
        <f aca="false">IF(B712="","",B712-WEEKDAY(B712,2)+1)</f>
        <v/>
      </c>
      <c r="E712" s="10"/>
      <c r="F712" s="8"/>
      <c r="G712" s="11"/>
      <c r="H712" s="10"/>
      <c r="I712" s="11"/>
      <c r="J712" s="10"/>
      <c r="K712" s="10"/>
      <c r="L712" s="10"/>
      <c r="M712" s="11"/>
      <c r="N712" s="8"/>
      <c r="O712" s="7" t="str">
        <f aca="false">IF(L712="","",IFERROR(VLOOKUP(L712,Paramètres!$F$5:$G$8,2,FALSE()),""))</f>
        <v/>
      </c>
      <c r="P712" s="9" t="str">
        <f aca="false">IF(OR(B712="",O712=""),"",IF(N712="",B712,N712)+O712)</f>
        <v/>
      </c>
      <c r="Q712" s="10"/>
      <c r="R712" s="8"/>
      <c r="S712" s="7" t="str">
        <f aca="false">IF(OR(B712="",R712=""),"",R712-B712)</f>
        <v/>
      </c>
      <c r="T712" s="7" t="str">
        <f aca="true">IF(OR(B712="",P712=""),"",IF(R712&lt;&gt;"",IF(R712&gt;P712,"Traité hors délai","Non"),IF(Q712="Classé sans suite","Non",IF(TODAY()&gt;P712,"OUI","Non"))))</f>
        <v/>
      </c>
      <c r="U712" s="11"/>
    </row>
    <row r="713" customFormat="false" ht="15" hidden="false" customHeight="false" outlineLevel="0" collapsed="false">
      <c r="A713" s="7" t="str">
        <f aca="false">IF(B713="","",YEAR(B713)&amp;"/"&amp;TEXT(ROW()-4,"0000"))</f>
        <v/>
      </c>
      <c r="B713" s="8"/>
      <c r="C713" s="7" t="str">
        <f aca="false">IF(B713="","",INT((B713-DATE(YEAR(B713-WEEKDAY(B713-1)+4),1,3)+WEEKDAY(DATE(YEAR(B713-WEEKDAY(B713-1)+4),1,3))+5)/7))</f>
        <v/>
      </c>
      <c r="D713" s="9" t="str">
        <f aca="false">IF(B713="","",B713-WEEKDAY(B713,2)+1)</f>
        <v/>
      </c>
      <c r="E713" s="10"/>
      <c r="F713" s="8"/>
      <c r="G713" s="11"/>
      <c r="H713" s="10"/>
      <c r="I713" s="11"/>
      <c r="J713" s="10"/>
      <c r="K713" s="10"/>
      <c r="L713" s="10"/>
      <c r="M713" s="11"/>
      <c r="N713" s="8"/>
      <c r="O713" s="7" t="str">
        <f aca="false">IF(L713="","",IFERROR(VLOOKUP(L713,Paramètres!$F$5:$G$8,2,FALSE()),""))</f>
        <v/>
      </c>
      <c r="P713" s="9" t="str">
        <f aca="false">IF(OR(B713="",O713=""),"",IF(N713="",B713,N713)+O713)</f>
        <v/>
      </c>
      <c r="Q713" s="10"/>
      <c r="R713" s="8"/>
      <c r="S713" s="7" t="str">
        <f aca="false">IF(OR(B713="",R713=""),"",R713-B713)</f>
        <v/>
      </c>
      <c r="T713" s="7" t="str">
        <f aca="true">IF(OR(B713="",P713=""),"",IF(R713&lt;&gt;"",IF(R713&gt;P713,"Traité hors délai","Non"),IF(Q713="Classé sans suite","Non",IF(TODAY()&gt;P713,"OUI","Non"))))</f>
        <v/>
      </c>
      <c r="U713" s="11"/>
    </row>
    <row r="714" customFormat="false" ht="15" hidden="false" customHeight="false" outlineLevel="0" collapsed="false">
      <c r="A714" s="7" t="str">
        <f aca="false">IF(B714="","",YEAR(B714)&amp;"/"&amp;TEXT(ROW()-4,"0000"))</f>
        <v/>
      </c>
      <c r="B714" s="8"/>
      <c r="C714" s="7" t="str">
        <f aca="false">IF(B714="","",INT((B714-DATE(YEAR(B714-WEEKDAY(B714-1)+4),1,3)+WEEKDAY(DATE(YEAR(B714-WEEKDAY(B714-1)+4),1,3))+5)/7))</f>
        <v/>
      </c>
      <c r="D714" s="9" t="str">
        <f aca="false">IF(B714="","",B714-WEEKDAY(B714,2)+1)</f>
        <v/>
      </c>
      <c r="E714" s="10"/>
      <c r="F714" s="8"/>
      <c r="G714" s="11"/>
      <c r="H714" s="10"/>
      <c r="I714" s="11"/>
      <c r="J714" s="10"/>
      <c r="K714" s="10"/>
      <c r="L714" s="10"/>
      <c r="M714" s="11"/>
      <c r="N714" s="8"/>
      <c r="O714" s="7" t="str">
        <f aca="false">IF(L714="","",IFERROR(VLOOKUP(L714,Paramètres!$F$5:$G$8,2,FALSE()),""))</f>
        <v/>
      </c>
      <c r="P714" s="9" t="str">
        <f aca="false">IF(OR(B714="",O714=""),"",IF(N714="",B714,N714)+O714)</f>
        <v/>
      </c>
      <c r="Q714" s="10"/>
      <c r="R714" s="8"/>
      <c r="S714" s="7" t="str">
        <f aca="false">IF(OR(B714="",R714=""),"",R714-B714)</f>
        <v/>
      </c>
      <c r="T714" s="7" t="str">
        <f aca="true">IF(OR(B714="",P714=""),"",IF(R714&lt;&gt;"",IF(R714&gt;P714,"Traité hors délai","Non"),IF(Q714="Classé sans suite","Non",IF(TODAY()&gt;P714,"OUI","Non"))))</f>
        <v/>
      </c>
      <c r="U714" s="11"/>
    </row>
    <row r="715" customFormat="false" ht="15" hidden="false" customHeight="false" outlineLevel="0" collapsed="false">
      <c r="A715" s="7" t="str">
        <f aca="false">IF(B715="","",YEAR(B715)&amp;"/"&amp;TEXT(ROW()-4,"0000"))</f>
        <v/>
      </c>
      <c r="B715" s="8"/>
      <c r="C715" s="7" t="str">
        <f aca="false">IF(B715="","",INT((B715-DATE(YEAR(B715-WEEKDAY(B715-1)+4),1,3)+WEEKDAY(DATE(YEAR(B715-WEEKDAY(B715-1)+4),1,3))+5)/7))</f>
        <v/>
      </c>
      <c r="D715" s="9" t="str">
        <f aca="false">IF(B715="","",B715-WEEKDAY(B715,2)+1)</f>
        <v/>
      </c>
      <c r="E715" s="10"/>
      <c r="F715" s="8"/>
      <c r="G715" s="11"/>
      <c r="H715" s="10"/>
      <c r="I715" s="11"/>
      <c r="J715" s="10"/>
      <c r="K715" s="10"/>
      <c r="L715" s="10"/>
      <c r="M715" s="11"/>
      <c r="N715" s="8"/>
      <c r="O715" s="7" t="str">
        <f aca="false">IF(L715="","",IFERROR(VLOOKUP(L715,Paramètres!$F$5:$G$8,2,FALSE()),""))</f>
        <v/>
      </c>
      <c r="P715" s="9" t="str">
        <f aca="false">IF(OR(B715="",O715=""),"",IF(N715="",B715,N715)+O715)</f>
        <v/>
      </c>
      <c r="Q715" s="10"/>
      <c r="R715" s="8"/>
      <c r="S715" s="7" t="str">
        <f aca="false">IF(OR(B715="",R715=""),"",R715-B715)</f>
        <v/>
      </c>
      <c r="T715" s="7" t="str">
        <f aca="true">IF(OR(B715="",P715=""),"",IF(R715&lt;&gt;"",IF(R715&gt;P715,"Traité hors délai","Non"),IF(Q715="Classé sans suite","Non",IF(TODAY()&gt;P715,"OUI","Non"))))</f>
        <v/>
      </c>
      <c r="U715" s="11"/>
    </row>
    <row r="716" customFormat="false" ht="15" hidden="false" customHeight="false" outlineLevel="0" collapsed="false">
      <c r="A716" s="7" t="str">
        <f aca="false">IF(B716="","",YEAR(B716)&amp;"/"&amp;TEXT(ROW()-4,"0000"))</f>
        <v/>
      </c>
      <c r="B716" s="8"/>
      <c r="C716" s="7" t="str">
        <f aca="false">IF(B716="","",INT((B716-DATE(YEAR(B716-WEEKDAY(B716-1)+4),1,3)+WEEKDAY(DATE(YEAR(B716-WEEKDAY(B716-1)+4),1,3))+5)/7))</f>
        <v/>
      </c>
      <c r="D716" s="9" t="str">
        <f aca="false">IF(B716="","",B716-WEEKDAY(B716,2)+1)</f>
        <v/>
      </c>
      <c r="E716" s="10"/>
      <c r="F716" s="8"/>
      <c r="G716" s="11"/>
      <c r="H716" s="10"/>
      <c r="I716" s="11"/>
      <c r="J716" s="10"/>
      <c r="K716" s="10"/>
      <c r="L716" s="10"/>
      <c r="M716" s="11"/>
      <c r="N716" s="8"/>
      <c r="O716" s="7" t="str">
        <f aca="false">IF(L716="","",IFERROR(VLOOKUP(L716,Paramètres!$F$5:$G$8,2,FALSE()),""))</f>
        <v/>
      </c>
      <c r="P716" s="9" t="str">
        <f aca="false">IF(OR(B716="",O716=""),"",IF(N716="",B716,N716)+O716)</f>
        <v/>
      </c>
      <c r="Q716" s="10"/>
      <c r="R716" s="8"/>
      <c r="S716" s="7" t="str">
        <f aca="false">IF(OR(B716="",R716=""),"",R716-B716)</f>
        <v/>
      </c>
      <c r="T716" s="7" t="str">
        <f aca="true">IF(OR(B716="",P716=""),"",IF(R716&lt;&gt;"",IF(R716&gt;P716,"Traité hors délai","Non"),IF(Q716="Classé sans suite","Non",IF(TODAY()&gt;P716,"OUI","Non"))))</f>
        <v/>
      </c>
      <c r="U716" s="11"/>
    </row>
    <row r="717" customFormat="false" ht="15" hidden="false" customHeight="false" outlineLevel="0" collapsed="false">
      <c r="A717" s="7" t="str">
        <f aca="false">IF(B717="","",YEAR(B717)&amp;"/"&amp;TEXT(ROW()-4,"0000"))</f>
        <v/>
      </c>
      <c r="B717" s="8"/>
      <c r="C717" s="7" t="str">
        <f aca="false">IF(B717="","",INT((B717-DATE(YEAR(B717-WEEKDAY(B717-1)+4),1,3)+WEEKDAY(DATE(YEAR(B717-WEEKDAY(B717-1)+4),1,3))+5)/7))</f>
        <v/>
      </c>
      <c r="D717" s="9" t="str">
        <f aca="false">IF(B717="","",B717-WEEKDAY(B717,2)+1)</f>
        <v/>
      </c>
      <c r="E717" s="10"/>
      <c r="F717" s="8"/>
      <c r="G717" s="11"/>
      <c r="H717" s="10"/>
      <c r="I717" s="11"/>
      <c r="J717" s="10"/>
      <c r="K717" s="10"/>
      <c r="L717" s="10"/>
      <c r="M717" s="11"/>
      <c r="N717" s="8"/>
      <c r="O717" s="7" t="str">
        <f aca="false">IF(L717="","",IFERROR(VLOOKUP(L717,Paramètres!$F$5:$G$8,2,FALSE()),""))</f>
        <v/>
      </c>
      <c r="P717" s="9" t="str">
        <f aca="false">IF(OR(B717="",O717=""),"",IF(N717="",B717,N717)+O717)</f>
        <v/>
      </c>
      <c r="Q717" s="10"/>
      <c r="R717" s="8"/>
      <c r="S717" s="7" t="str">
        <f aca="false">IF(OR(B717="",R717=""),"",R717-B717)</f>
        <v/>
      </c>
      <c r="T717" s="7" t="str">
        <f aca="true">IF(OR(B717="",P717=""),"",IF(R717&lt;&gt;"",IF(R717&gt;P717,"Traité hors délai","Non"),IF(Q717="Classé sans suite","Non",IF(TODAY()&gt;P717,"OUI","Non"))))</f>
        <v/>
      </c>
      <c r="U717" s="11"/>
    </row>
    <row r="718" customFormat="false" ht="15" hidden="false" customHeight="false" outlineLevel="0" collapsed="false">
      <c r="A718" s="7" t="str">
        <f aca="false">IF(B718="","",YEAR(B718)&amp;"/"&amp;TEXT(ROW()-4,"0000"))</f>
        <v/>
      </c>
      <c r="B718" s="8"/>
      <c r="C718" s="7" t="str">
        <f aca="false">IF(B718="","",INT((B718-DATE(YEAR(B718-WEEKDAY(B718-1)+4),1,3)+WEEKDAY(DATE(YEAR(B718-WEEKDAY(B718-1)+4),1,3))+5)/7))</f>
        <v/>
      </c>
      <c r="D718" s="9" t="str">
        <f aca="false">IF(B718="","",B718-WEEKDAY(B718,2)+1)</f>
        <v/>
      </c>
      <c r="E718" s="10"/>
      <c r="F718" s="8"/>
      <c r="G718" s="11"/>
      <c r="H718" s="10"/>
      <c r="I718" s="11"/>
      <c r="J718" s="10"/>
      <c r="K718" s="10"/>
      <c r="L718" s="10"/>
      <c r="M718" s="11"/>
      <c r="N718" s="8"/>
      <c r="O718" s="7" t="str">
        <f aca="false">IF(L718="","",IFERROR(VLOOKUP(L718,Paramètres!$F$5:$G$8,2,FALSE()),""))</f>
        <v/>
      </c>
      <c r="P718" s="9" t="str">
        <f aca="false">IF(OR(B718="",O718=""),"",IF(N718="",B718,N718)+O718)</f>
        <v/>
      </c>
      <c r="Q718" s="10"/>
      <c r="R718" s="8"/>
      <c r="S718" s="7" t="str">
        <f aca="false">IF(OR(B718="",R718=""),"",R718-B718)</f>
        <v/>
      </c>
      <c r="T718" s="7" t="str">
        <f aca="true">IF(OR(B718="",P718=""),"",IF(R718&lt;&gt;"",IF(R718&gt;P718,"Traité hors délai","Non"),IF(Q718="Classé sans suite","Non",IF(TODAY()&gt;P718,"OUI","Non"))))</f>
        <v/>
      </c>
      <c r="U718" s="11"/>
    </row>
    <row r="719" customFormat="false" ht="15" hidden="false" customHeight="false" outlineLevel="0" collapsed="false">
      <c r="A719" s="7" t="str">
        <f aca="false">IF(B719="","",YEAR(B719)&amp;"/"&amp;TEXT(ROW()-4,"0000"))</f>
        <v/>
      </c>
      <c r="B719" s="8"/>
      <c r="C719" s="7" t="str">
        <f aca="false">IF(B719="","",INT((B719-DATE(YEAR(B719-WEEKDAY(B719-1)+4),1,3)+WEEKDAY(DATE(YEAR(B719-WEEKDAY(B719-1)+4),1,3))+5)/7))</f>
        <v/>
      </c>
      <c r="D719" s="9" t="str">
        <f aca="false">IF(B719="","",B719-WEEKDAY(B719,2)+1)</f>
        <v/>
      </c>
      <c r="E719" s="10"/>
      <c r="F719" s="8"/>
      <c r="G719" s="11"/>
      <c r="H719" s="10"/>
      <c r="I719" s="11"/>
      <c r="J719" s="10"/>
      <c r="K719" s="10"/>
      <c r="L719" s="10"/>
      <c r="M719" s="11"/>
      <c r="N719" s="8"/>
      <c r="O719" s="7" t="str">
        <f aca="false">IF(L719="","",IFERROR(VLOOKUP(L719,Paramètres!$F$5:$G$8,2,FALSE()),""))</f>
        <v/>
      </c>
      <c r="P719" s="9" t="str">
        <f aca="false">IF(OR(B719="",O719=""),"",IF(N719="",B719,N719)+O719)</f>
        <v/>
      </c>
      <c r="Q719" s="10"/>
      <c r="R719" s="8"/>
      <c r="S719" s="7" t="str">
        <f aca="false">IF(OR(B719="",R719=""),"",R719-B719)</f>
        <v/>
      </c>
      <c r="T719" s="7" t="str">
        <f aca="true">IF(OR(B719="",P719=""),"",IF(R719&lt;&gt;"",IF(R719&gt;P719,"Traité hors délai","Non"),IF(Q719="Classé sans suite","Non",IF(TODAY()&gt;P719,"OUI","Non"))))</f>
        <v/>
      </c>
      <c r="U719" s="11"/>
    </row>
    <row r="720" customFormat="false" ht="15" hidden="false" customHeight="false" outlineLevel="0" collapsed="false">
      <c r="A720" s="7" t="str">
        <f aca="false">IF(B720="","",YEAR(B720)&amp;"/"&amp;TEXT(ROW()-4,"0000"))</f>
        <v/>
      </c>
      <c r="B720" s="8"/>
      <c r="C720" s="7" t="str">
        <f aca="false">IF(B720="","",INT((B720-DATE(YEAR(B720-WEEKDAY(B720-1)+4),1,3)+WEEKDAY(DATE(YEAR(B720-WEEKDAY(B720-1)+4),1,3))+5)/7))</f>
        <v/>
      </c>
      <c r="D720" s="9" t="str">
        <f aca="false">IF(B720="","",B720-WEEKDAY(B720,2)+1)</f>
        <v/>
      </c>
      <c r="E720" s="10"/>
      <c r="F720" s="8"/>
      <c r="G720" s="11"/>
      <c r="H720" s="10"/>
      <c r="I720" s="11"/>
      <c r="J720" s="10"/>
      <c r="K720" s="10"/>
      <c r="L720" s="10"/>
      <c r="M720" s="11"/>
      <c r="N720" s="8"/>
      <c r="O720" s="7" t="str">
        <f aca="false">IF(L720="","",IFERROR(VLOOKUP(L720,Paramètres!$F$5:$G$8,2,FALSE()),""))</f>
        <v/>
      </c>
      <c r="P720" s="9" t="str">
        <f aca="false">IF(OR(B720="",O720=""),"",IF(N720="",B720,N720)+O720)</f>
        <v/>
      </c>
      <c r="Q720" s="10"/>
      <c r="R720" s="8"/>
      <c r="S720" s="7" t="str">
        <f aca="false">IF(OR(B720="",R720=""),"",R720-B720)</f>
        <v/>
      </c>
      <c r="T720" s="7" t="str">
        <f aca="true">IF(OR(B720="",P720=""),"",IF(R720&lt;&gt;"",IF(R720&gt;P720,"Traité hors délai","Non"),IF(Q720="Classé sans suite","Non",IF(TODAY()&gt;P720,"OUI","Non"))))</f>
        <v/>
      </c>
      <c r="U720" s="11"/>
    </row>
    <row r="721" customFormat="false" ht="15" hidden="false" customHeight="false" outlineLevel="0" collapsed="false">
      <c r="A721" s="7" t="str">
        <f aca="false">IF(B721="","",YEAR(B721)&amp;"/"&amp;TEXT(ROW()-4,"0000"))</f>
        <v/>
      </c>
      <c r="B721" s="8"/>
      <c r="C721" s="7" t="str">
        <f aca="false">IF(B721="","",INT((B721-DATE(YEAR(B721-WEEKDAY(B721-1)+4),1,3)+WEEKDAY(DATE(YEAR(B721-WEEKDAY(B721-1)+4),1,3))+5)/7))</f>
        <v/>
      </c>
      <c r="D721" s="9" t="str">
        <f aca="false">IF(B721="","",B721-WEEKDAY(B721,2)+1)</f>
        <v/>
      </c>
      <c r="E721" s="10"/>
      <c r="F721" s="8"/>
      <c r="G721" s="11"/>
      <c r="H721" s="10"/>
      <c r="I721" s="11"/>
      <c r="J721" s="10"/>
      <c r="K721" s="10"/>
      <c r="L721" s="10"/>
      <c r="M721" s="11"/>
      <c r="N721" s="8"/>
      <c r="O721" s="7" t="str">
        <f aca="false">IF(L721="","",IFERROR(VLOOKUP(L721,Paramètres!$F$5:$G$8,2,FALSE()),""))</f>
        <v/>
      </c>
      <c r="P721" s="9" t="str">
        <f aca="false">IF(OR(B721="",O721=""),"",IF(N721="",B721,N721)+O721)</f>
        <v/>
      </c>
      <c r="Q721" s="10"/>
      <c r="R721" s="8"/>
      <c r="S721" s="7" t="str">
        <f aca="false">IF(OR(B721="",R721=""),"",R721-B721)</f>
        <v/>
      </c>
      <c r="T721" s="7" t="str">
        <f aca="true">IF(OR(B721="",P721=""),"",IF(R721&lt;&gt;"",IF(R721&gt;P721,"Traité hors délai","Non"),IF(Q721="Classé sans suite","Non",IF(TODAY()&gt;P721,"OUI","Non"))))</f>
        <v/>
      </c>
      <c r="U721" s="11"/>
    </row>
    <row r="722" customFormat="false" ht="15" hidden="false" customHeight="false" outlineLevel="0" collapsed="false">
      <c r="A722" s="7" t="str">
        <f aca="false">IF(B722="","",YEAR(B722)&amp;"/"&amp;TEXT(ROW()-4,"0000"))</f>
        <v/>
      </c>
      <c r="B722" s="8"/>
      <c r="C722" s="7" t="str">
        <f aca="false">IF(B722="","",INT((B722-DATE(YEAR(B722-WEEKDAY(B722-1)+4),1,3)+WEEKDAY(DATE(YEAR(B722-WEEKDAY(B722-1)+4),1,3))+5)/7))</f>
        <v/>
      </c>
      <c r="D722" s="9" t="str">
        <f aca="false">IF(B722="","",B722-WEEKDAY(B722,2)+1)</f>
        <v/>
      </c>
      <c r="E722" s="10"/>
      <c r="F722" s="8"/>
      <c r="G722" s="11"/>
      <c r="H722" s="10"/>
      <c r="I722" s="11"/>
      <c r="J722" s="10"/>
      <c r="K722" s="10"/>
      <c r="L722" s="10"/>
      <c r="M722" s="11"/>
      <c r="N722" s="8"/>
      <c r="O722" s="7" t="str">
        <f aca="false">IF(L722="","",IFERROR(VLOOKUP(L722,Paramètres!$F$5:$G$8,2,FALSE()),""))</f>
        <v/>
      </c>
      <c r="P722" s="9" t="str">
        <f aca="false">IF(OR(B722="",O722=""),"",IF(N722="",B722,N722)+O722)</f>
        <v/>
      </c>
      <c r="Q722" s="10"/>
      <c r="R722" s="8"/>
      <c r="S722" s="7" t="str">
        <f aca="false">IF(OR(B722="",R722=""),"",R722-B722)</f>
        <v/>
      </c>
      <c r="T722" s="7" t="str">
        <f aca="true">IF(OR(B722="",P722=""),"",IF(R722&lt;&gt;"",IF(R722&gt;P722,"Traité hors délai","Non"),IF(Q722="Classé sans suite","Non",IF(TODAY()&gt;P722,"OUI","Non"))))</f>
        <v/>
      </c>
      <c r="U722" s="11"/>
    </row>
    <row r="723" customFormat="false" ht="15" hidden="false" customHeight="false" outlineLevel="0" collapsed="false">
      <c r="A723" s="7" t="str">
        <f aca="false">IF(B723="","",YEAR(B723)&amp;"/"&amp;TEXT(ROW()-4,"0000"))</f>
        <v/>
      </c>
      <c r="B723" s="8"/>
      <c r="C723" s="7" t="str">
        <f aca="false">IF(B723="","",INT((B723-DATE(YEAR(B723-WEEKDAY(B723-1)+4),1,3)+WEEKDAY(DATE(YEAR(B723-WEEKDAY(B723-1)+4),1,3))+5)/7))</f>
        <v/>
      </c>
      <c r="D723" s="9" t="str">
        <f aca="false">IF(B723="","",B723-WEEKDAY(B723,2)+1)</f>
        <v/>
      </c>
      <c r="E723" s="10"/>
      <c r="F723" s="8"/>
      <c r="G723" s="11"/>
      <c r="H723" s="10"/>
      <c r="I723" s="11"/>
      <c r="J723" s="10"/>
      <c r="K723" s="10"/>
      <c r="L723" s="10"/>
      <c r="M723" s="11"/>
      <c r="N723" s="8"/>
      <c r="O723" s="7" t="str">
        <f aca="false">IF(L723="","",IFERROR(VLOOKUP(L723,Paramètres!$F$5:$G$8,2,FALSE()),""))</f>
        <v/>
      </c>
      <c r="P723" s="9" t="str">
        <f aca="false">IF(OR(B723="",O723=""),"",IF(N723="",B723,N723)+O723)</f>
        <v/>
      </c>
      <c r="Q723" s="10"/>
      <c r="R723" s="8"/>
      <c r="S723" s="7" t="str">
        <f aca="false">IF(OR(B723="",R723=""),"",R723-B723)</f>
        <v/>
      </c>
      <c r="T723" s="7" t="str">
        <f aca="true">IF(OR(B723="",P723=""),"",IF(R723&lt;&gt;"",IF(R723&gt;P723,"Traité hors délai","Non"),IF(Q723="Classé sans suite","Non",IF(TODAY()&gt;P723,"OUI","Non"))))</f>
        <v/>
      </c>
      <c r="U723" s="11"/>
    </row>
    <row r="724" customFormat="false" ht="15" hidden="false" customHeight="false" outlineLevel="0" collapsed="false">
      <c r="A724" s="7" t="str">
        <f aca="false">IF(B724="","",YEAR(B724)&amp;"/"&amp;TEXT(ROW()-4,"0000"))</f>
        <v/>
      </c>
      <c r="B724" s="8"/>
      <c r="C724" s="7" t="str">
        <f aca="false">IF(B724="","",INT((B724-DATE(YEAR(B724-WEEKDAY(B724-1)+4),1,3)+WEEKDAY(DATE(YEAR(B724-WEEKDAY(B724-1)+4),1,3))+5)/7))</f>
        <v/>
      </c>
      <c r="D724" s="9" t="str">
        <f aca="false">IF(B724="","",B724-WEEKDAY(B724,2)+1)</f>
        <v/>
      </c>
      <c r="E724" s="10"/>
      <c r="F724" s="8"/>
      <c r="G724" s="11"/>
      <c r="H724" s="10"/>
      <c r="I724" s="11"/>
      <c r="J724" s="10"/>
      <c r="K724" s="10"/>
      <c r="L724" s="10"/>
      <c r="M724" s="11"/>
      <c r="N724" s="8"/>
      <c r="O724" s="7" t="str">
        <f aca="false">IF(L724="","",IFERROR(VLOOKUP(L724,Paramètres!$F$5:$G$8,2,FALSE()),""))</f>
        <v/>
      </c>
      <c r="P724" s="9" t="str">
        <f aca="false">IF(OR(B724="",O724=""),"",IF(N724="",B724,N724)+O724)</f>
        <v/>
      </c>
      <c r="Q724" s="10"/>
      <c r="R724" s="8"/>
      <c r="S724" s="7" t="str">
        <f aca="false">IF(OR(B724="",R724=""),"",R724-B724)</f>
        <v/>
      </c>
      <c r="T724" s="7" t="str">
        <f aca="true">IF(OR(B724="",P724=""),"",IF(R724&lt;&gt;"",IF(R724&gt;P724,"Traité hors délai","Non"),IF(Q724="Classé sans suite","Non",IF(TODAY()&gt;P724,"OUI","Non"))))</f>
        <v/>
      </c>
      <c r="U724" s="11"/>
    </row>
    <row r="725" customFormat="false" ht="15" hidden="false" customHeight="false" outlineLevel="0" collapsed="false">
      <c r="A725" s="7" t="str">
        <f aca="false">IF(B725="","",YEAR(B725)&amp;"/"&amp;TEXT(ROW()-4,"0000"))</f>
        <v/>
      </c>
      <c r="B725" s="8"/>
      <c r="C725" s="7" t="str">
        <f aca="false">IF(B725="","",INT((B725-DATE(YEAR(B725-WEEKDAY(B725-1)+4),1,3)+WEEKDAY(DATE(YEAR(B725-WEEKDAY(B725-1)+4),1,3))+5)/7))</f>
        <v/>
      </c>
      <c r="D725" s="9" t="str">
        <f aca="false">IF(B725="","",B725-WEEKDAY(B725,2)+1)</f>
        <v/>
      </c>
      <c r="E725" s="10"/>
      <c r="F725" s="8"/>
      <c r="G725" s="11"/>
      <c r="H725" s="10"/>
      <c r="I725" s="11"/>
      <c r="J725" s="10"/>
      <c r="K725" s="10"/>
      <c r="L725" s="10"/>
      <c r="M725" s="11"/>
      <c r="N725" s="8"/>
      <c r="O725" s="7" t="str">
        <f aca="false">IF(L725="","",IFERROR(VLOOKUP(L725,Paramètres!$F$5:$G$8,2,FALSE()),""))</f>
        <v/>
      </c>
      <c r="P725" s="9" t="str">
        <f aca="false">IF(OR(B725="",O725=""),"",IF(N725="",B725,N725)+O725)</f>
        <v/>
      </c>
      <c r="Q725" s="10"/>
      <c r="R725" s="8"/>
      <c r="S725" s="7" t="str">
        <f aca="false">IF(OR(B725="",R725=""),"",R725-B725)</f>
        <v/>
      </c>
      <c r="T725" s="7" t="str">
        <f aca="true">IF(OR(B725="",P725=""),"",IF(R725&lt;&gt;"",IF(R725&gt;P725,"Traité hors délai","Non"),IF(Q725="Classé sans suite","Non",IF(TODAY()&gt;P725,"OUI","Non"))))</f>
        <v/>
      </c>
      <c r="U725" s="11"/>
    </row>
    <row r="726" customFormat="false" ht="15" hidden="false" customHeight="false" outlineLevel="0" collapsed="false">
      <c r="A726" s="7" t="str">
        <f aca="false">IF(B726="","",YEAR(B726)&amp;"/"&amp;TEXT(ROW()-4,"0000"))</f>
        <v/>
      </c>
      <c r="B726" s="8"/>
      <c r="C726" s="7" t="str">
        <f aca="false">IF(B726="","",INT((B726-DATE(YEAR(B726-WEEKDAY(B726-1)+4),1,3)+WEEKDAY(DATE(YEAR(B726-WEEKDAY(B726-1)+4),1,3))+5)/7))</f>
        <v/>
      </c>
      <c r="D726" s="9" t="str">
        <f aca="false">IF(B726="","",B726-WEEKDAY(B726,2)+1)</f>
        <v/>
      </c>
      <c r="E726" s="10"/>
      <c r="F726" s="8"/>
      <c r="G726" s="11"/>
      <c r="H726" s="10"/>
      <c r="I726" s="11"/>
      <c r="J726" s="10"/>
      <c r="K726" s="10"/>
      <c r="L726" s="10"/>
      <c r="M726" s="11"/>
      <c r="N726" s="8"/>
      <c r="O726" s="7" t="str">
        <f aca="false">IF(L726="","",IFERROR(VLOOKUP(L726,Paramètres!$F$5:$G$8,2,FALSE()),""))</f>
        <v/>
      </c>
      <c r="P726" s="9" t="str">
        <f aca="false">IF(OR(B726="",O726=""),"",IF(N726="",B726,N726)+O726)</f>
        <v/>
      </c>
      <c r="Q726" s="10"/>
      <c r="R726" s="8"/>
      <c r="S726" s="7" t="str">
        <f aca="false">IF(OR(B726="",R726=""),"",R726-B726)</f>
        <v/>
      </c>
      <c r="T726" s="7" t="str">
        <f aca="true">IF(OR(B726="",P726=""),"",IF(R726&lt;&gt;"",IF(R726&gt;P726,"Traité hors délai","Non"),IF(Q726="Classé sans suite","Non",IF(TODAY()&gt;P726,"OUI","Non"))))</f>
        <v/>
      </c>
      <c r="U726" s="11"/>
    </row>
    <row r="727" customFormat="false" ht="15" hidden="false" customHeight="false" outlineLevel="0" collapsed="false">
      <c r="A727" s="7" t="str">
        <f aca="false">IF(B727="","",YEAR(B727)&amp;"/"&amp;TEXT(ROW()-4,"0000"))</f>
        <v/>
      </c>
      <c r="B727" s="8"/>
      <c r="C727" s="7" t="str">
        <f aca="false">IF(B727="","",INT((B727-DATE(YEAR(B727-WEEKDAY(B727-1)+4),1,3)+WEEKDAY(DATE(YEAR(B727-WEEKDAY(B727-1)+4),1,3))+5)/7))</f>
        <v/>
      </c>
      <c r="D727" s="9" t="str">
        <f aca="false">IF(B727="","",B727-WEEKDAY(B727,2)+1)</f>
        <v/>
      </c>
      <c r="E727" s="10"/>
      <c r="F727" s="8"/>
      <c r="G727" s="11"/>
      <c r="H727" s="10"/>
      <c r="I727" s="11"/>
      <c r="J727" s="10"/>
      <c r="K727" s="10"/>
      <c r="L727" s="10"/>
      <c r="M727" s="11"/>
      <c r="N727" s="8"/>
      <c r="O727" s="7" t="str">
        <f aca="false">IF(L727="","",IFERROR(VLOOKUP(L727,Paramètres!$F$5:$G$8,2,FALSE()),""))</f>
        <v/>
      </c>
      <c r="P727" s="9" t="str">
        <f aca="false">IF(OR(B727="",O727=""),"",IF(N727="",B727,N727)+O727)</f>
        <v/>
      </c>
      <c r="Q727" s="10"/>
      <c r="R727" s="8"/>
      <c r="S727" s="7" t="str">
        <f aca="false">IF(OR(B727="",R727=""),"",R727-B727)</f>
        <v/>
      </c>
      <c r="T727" s="7" t="str">
        <f aca="true">IF(OR(B727="",P727=""),"",IF(R727&lt;&gt;"",IF(R727&gt;P727,"Traité hors délai","Non"),IF(Q727="Classé sans suite","Non",IF(TODAY()&gt;P727,"OUI","Non"))))</f>
        <v/>
      </c>
      <c r="U727" s="11"/>
    </row>
    <row r="728" customFormat="false" ht="15" hidden="false" customHeight="false" outlineLevel="0" collapsed="false">
      <c r="A728" s="7" t="str">
        <f aca="false">IF(B728="","",YEAR(B728)&amp;"/"&amp;TEXT(ROW()-4,"0000"))</f>
        <v/>
      </c>
      <c r="B728" s="8"/>
      <c r="C728" s="7" t="str">
        <f aca="false">IF(B728="","",INT((B728-DATE(YEAR(B728-WEEKDAY(B728-1)+4),1,3)+WEEKDAY(DATE(YEAR(B728-WEEKDAY(B728-1)+4),1,3))+5)/7))</f>
        <v/>
      </c>
      <c r="D728" s="9" t="str">
        <f aca="false">IF(B728="","",B728-WEEKDAY(B728,2)+1)</f>
        <v/>
      </c>
      <c r="E728" s="10"/>
      <c r="F728" s="8"/>
      <c r="G728" s="11"/>
      <c r="H728" s="10"/>
      <c r="I728" s="11"/>
      <c r="J728" s="10"/>
      <c r="K728" s="10"/>
      <c r="L728" s="10"/>
      <c r="M728" s="11"/>
      <c r="N728" s="8"/>
      <c r="O728" s="7" t="str">
        <f aca="false">IF(L728="","",IFERROR(VLOOKUP(L728,Paramètres!$F$5:$G$8,2,FALSE()),""))</f>
        <v/>
      </c>
      <c r="P728" s="9" t="str">
        <f aca="false">IF(OR(B728="",O728=""),"",IF(N728="",B728,N728)+O728)</f>
        <v/>
      </c>
      <c r="Q728" s="10"/>
      <c r="R728" s="8"/>
      <c r="S728" s="7" t="str">
        <f aca="false">IF(OR(B728="",R728=""),"",R728-B728)</f>
        <v/>
      </c>
      <c r="T728" s="7" t="str">
        <f aca="true">IF(OR(B728="",P728=""),"",IF(R728&lt;&gt;"",IF(R728&gt;P728,"Traité hors délai","Non"),IF(Q728="Classé sans suite","Non",IF(TODAY()&gt;P728,"OUI","Non"))))</f>
        <v/>
      </c>
      <c r="U728" s="11"/>
    </row>
    <row r="729" customFormat="false" ht="15" hidden="false" customHeight="false" outlineLevel="0" collapsed="false">
      <c r="A729" s="7" t="str">
        <f aca="false">IF(B729="","",YEAR(B729)&amp;"/"&amp;TEXT(ROW()-4,"0000"))</f>
        <v/>
      </c>
      <c r="B729" s="8"/>
      <c r="C729" s="7" t="str">
        <f aca="false">IF(B729="","",INT((B729-DATE(YEAR(B729-WEEKDAY(B729-1)+4),1,3)+WEEKDAY(DATE(YEAR(B729-WEEKDAY(B729-1)+4),1,3))+5)/7))</f>
        <v/>
      </c>
      <c r="D729" s="9" t="str">
        <f aca="false">IF(B729="","",B729-WEEKDAY(B729,2)+1)</f>
        <v/>
      </c>
      <c r="E729" s="10"/>
      <c r="F729" s="8"/>
      <c r="G729" s="11"/>
      <c r="H729" s="10"/>
      <c r="I729" s="11"/>
      <c r="J729" s="10"/>
      <c r="K729" s="10"/>
      <c r="L729" s="10"/>
      <c r="M729" s="11"/>
      <c r="N729" s="8"/>
      <c r="O729" s="7" t="str">
        <f aca="false">IF(L729="","",IFERROR(VLOOKUP(L729,Paramètres!$F$5:$G$8,2,FALSE()),""))</f>
        <v/>
      </c>
      <c r="P729" s="9" t="str">
        <f aca="false">IF(OR(B729="",O729=""),"",IF(N729="",B729,N729)+O729)</f>
        <v/>
      </c>
      <c r="Q729" s="10"/>
      <c r="R729" s="8"/>
      <c r="S729" s="7" t="str">
        <f aca="false">IF(OR(B729="",R729=""),"",R729-B729)</f>
        <v/>
      </c>
      <c r="T729" s="7" t="str">
        <f aca="true">IF(OR(B729="",P729=""),"",IF(R729&lt;&gt;"",IF(R729&gt;P729,"Traité hors délai","Non"),IF(Q729="Classé sans suite","Non",IF(TODAY()&gt;P729,"OUI","Non"))))</f>
        <v/>
      </c>
      <c r="U729" s="11"/>
    </row>
    <row r="730" customFormat="false" ht="15" hidden="false" customHeight="false" outlineLevel="0" collapsed="false">
      <c r="A730" s="7" t="str">
        <f aca="false">IF(B730="","",YEAR(B730)&amp;"/"&amp;TEXT(ROW()-4,"0000"))</f>
        <v/>
      </c>
      <c r="B730" s="8"/>
      <c r="C730" s="7" t="str">
        <f aca="false">IF(B730="","",INT((B730-DATE(YEAR(B730-WEEKDAY(B730-1)+4),1,3)+WEEKDAY(DATE(YEAR(B730-WEEKDAY(B730-1)+4),1,3))+5)/7))</f>
        <v/>
      </c>
      <c r="D730" s="9" t="str">
        <f aca="false">IF(B730="","",B730-WEEKDAY(B730,2)+1)</f>
        <v/>
      </c>
      <c r="E730" s="10"/>
      <c r="F730" s="8"/>
      <c r="G730" s="11"/>
      <c r="H730" s="10"/>
      <c r="I730" s="11"/>
      <c r="J730" s="10"/>
      <c r="K730" s="10"/>
      <c r="L730" s="10"/>
      <c r="M730" s="11"/>
      <c r="N730" s="8"/>
      <c r="O730" s="7" t="str">
        <f aca="false">IF(L730="","",IFERROR(VLOOKUP(L730,Paramètres!$F$5:$G$8,2,FALSE()),""))</f>
        <v/>
      </c>
      <c r="P730" s="9" t="str">
        <f aca="false">IF(OR(B730="",O730=""),"",IF(N730="",B730,N730)+O730)</f>
        <v/>
      </c>
      <c r="Q730" s="10"/>
      <c r="R730" s="8"/>
      <c r="S730" s="7" t="str">
        <f aca="false">IF(OR(B730="",R730=""),"",R730-B730)</f>
        <v/>
      </c>
      <c r="T730" s="7" t="str">
        <f aca="true">IF(OR(B730="",P730=""),"",IF(R730&lt;&gt;"",IF(R730&gt;P730,"Traité hors délai","Non"),IF(Q730="Classé sans suite","Non",IF(TODAY()&gt;P730,"OUI","Non"))))</f>
        <v/>
      </c>
      <c r="U730" s="11"/>
    </row>
    <row r="731" customFormat="false" ht="15" hidden="false" customHeight="false" outlineLevel="0" collapsed="false">
      <c r="A731" s="7" t="str">
        <f aca="false">IF(B731="","",YEAR(B731)&amp;"/"&amp;TEXT(ROW()-4,"0000"))</f>
        <v/>
      </c>
      <c r="B731" s="8"/>
      <c r="C731" s="7" t="str">
        <f aca="false">IF(B731="","",INT((B731-DATE(YEAR(B731-WEEKDAY(B731-1)+4),1,3)+WEEKDAY(DATE(YEAR(B731-WEEKDAY(B731-1)+4),1,3))+5)/7))</f>
        <v/>
      </c>
      <c r="D731" s="9" t="str">
        <f aca="false">IF(B731="","",B731-WEEKDAY(B731,2)+1)</f>
        <v/>
      </c>
      <c r="E731" s="10"/>
      <c r="F731" s="8"/>
      <c r="G731" s="11"/>
      <c r="H731" s="10"/>
      <c r="I731" s="11"/>
      <c r="J731" s="10"/>
      <c r="K731" s="10"/>
      <c r="L731" s="10"/>
      <c r="M731" s="11"/>
      <c r="N731" s="8"/>
      <c r="O731" s="7" t="str">
        <f aca="false">IF(L731="","",IFERROR(VLOOKUP(L731,Paramètres!$F$5:$G$8,2,FALSE()),""))</f>
        <v/>
      </c>
      <c r="P731" s="9" t="str">
        <f aca="false">IF(OR(B731="",O731=""),"",IF(N731="",B731,N731)+O731)</f>
        <v/>
      </c>
      <c r="Q731" s="10"/>
      <c r="R731" s="8"/>
      <c r="S731" s="7" t="str">
        <f aca="false">IF(OR(B731="",R731=""),"",R731-B731)</f>
        <v/>
      </c>
      <c r="T731" s="7" t="str">
        <f aca="true">IF(OR(B731="",P731=""),"",IF(R731&lt;&gt;"",IF(R731&gt;P731,"Traité hors délai","Non"),IF(Q731="Classé sans suite","Non",IF(TODAY()&gt;P731,"OUI","Non"))))</f>
        <v/>
      </c>
      <c r="U731" s="11"/>
    </row>
    <row r="732" customFormat="false" ht="15" hidden="false" customHeight="false" outlineLevel="0" collapsed="false">
      <c r="A732" s="7" t="str">
        <f aca="false">IF(B732="","",YEAR(B732)&amp;"/"&amp;TEXT(ROW()-4,"0000"))</f>
        <v/>
      </c>
      <c r="B732" s="8"/>
      <c r="C732" s="7" t="str">
        <f aca="false">IF(B732="","",INT((B732-DATE(YEAR(B732-WEEKDAY(B732-1)+4),1,3)+WEEKDAY(DATE(YEAR(B732-WEEKDAY(B732-1)+4),1,3))+5)/7))</f>
        <v/>
      </c>
      <c r="D732" s="9" t="str">
        <f aca="false">IF(B732="","",B732-WEEKDAY(B732,2)+1)</f>
        <v/>
      </c>
      <c r="E732" s="10"/>
      <c r="F732" s="8"/>
      <c r="G732" s="11"/>
      <c r="H732" s="10"/>
      <c r="I732" s="11"/>
      <c r="J732" s="10"/>
      <c r="K732" s="10"/>
      <c r="L732" s="10"/>
      <c r="M732" s="11"/>
      <c r="N732" s="8"/>
      <c r="O732" s="7" t="str">
        <f aca="false">IF(L732="","",IFERROR(VLOOKUP(L732,Paramètres!$F$5:$G$8,2,FALSE()),""))</f>
        <v/>
      </c>
      <c r="P732" s="9" t="str">
        <f aca="false">IF(OR(B732="",O732=""),"",IF(N732="",B732,N732)+O732)</f>
        <v/>
      </c>
      <c r="Q732" s="10"/>
      <c r="R732" s="8"/>
      <c r="S732" s="7" t="str">
        <f aca="false">IF(OR(B732="",R732=""),"",R732-B732)</f>
        <v/>
      </c>
      <c r="T732" s="7" t="str">
        <f aca="true">IF(OR(B732="",P732=""),"",IF(R732&lt;&gt;"",IF(R732&gt;P732,"Traité hors délai","Non"),IF(Q732="Classé sans suite","Non",IF(TODAY()&gt;P732,"OUI","Non"))))</f>
        <v/>
      </c>
      <c r="U732" s="11"/>
    </row>
    <row r="733" customFormat="false" ht="15" hidden="false" customHeight="false" outlineLevel="0" collapsed="false">
      <c r="A733" s="7" t="str">
        <f aca="false">IF(B733="","",YEAR(B733)&amp;"/"&amp;TEXT(ROW()-4,"0000"))</f>
        <v/>
      </c>
      <c r="B733" s="8"/>
      <c r="C733" s="7" t="str">
        <f aca="false">IF(B733="","",INT((B733-DATE(YEAR(B733-WEEKDAY(B733-1)+4),1,3)+WEEKDAY(DATE(YEAR(B733-WEEKDAY(B733-1)+4),1,3))+5)/7))</f>
        <v/>
      </c>
      <c r="D733" s="9" t="str">
        <f aca="false">IF(B733="","",B733-WEEKDAY(B733,2)+1)</f>
        <v/>
      </c>
      <c r="E733" s="10"/>
      <c r="F733" s="8"/>
      <c r="G733" s="11"/>
      <c r="H733" s="10"/>
      <c r="I733" s="11"/>
      <c r="J733" s="10"/>
      <c r="K733" s="10"/>
      <c r="L733" s="10"/>
      <c r="M733" s="11"/>
      <c r="N733" s="8"/>
      <c r="O733" s="7" t="str">
        <f aca="false">IF(L733="","",IFERROR(VLOOKUP(L733,Paramètres!$F$5:$G$8,2,FALSE()),""))</f>
        <v/>
      </c>
      <c r="P733" s="9" t="str">
        <f aca="false">IF(OR(B733="",O733=""),"",IF(N733="",B733,N733)+O733)</f>
        <v/>
      </c>
      <c r="Q733" s="10"/>
      <c r="R733" s="8"/>
      <c r="S733" s="7" t="str">
        <f aca="false">IF(OR(B733="",R733=""),"",R733-B733)</f>
        <v/>
      </c>
      <c r="T733" s="7" t="str">
        <f aca="true">IF(OR(B733="",P733=""),"",IF(R733&lt;&gt;"",IF(R733&gt;P733,"Traité hors délai","Non"),IF(Q733="Classé sans suite","Non",IF(TODAY()&gt;P733,"OUI","Non"))))</f>
        <v/>
      </c>
      <c r="U733" s="11"/>
    </row>
    <row r="734" customFormat="false" ht="15" hidden="false" customHeight="false" outlineLevel="0" collapsed="false">
      <c r="A734" s="7" t="str">
        <f aca="false">IF(B734="","",YEAR(B734)&amp;"/"&amp;TEXT(ROW()-4,"0000"))</f>
        <v/>
      </c>
      <c r="B734" s="8"/>
      <c r="C734" s="7" t="str">
        <f aca="false">IF(B734="","",INT((B734-DATE(YEAR(B734-WEEKDAY(B734-1)+4),1,3)+WEEKDAY(DATE(YEAR(B734-WEEKDAY(B734-1)+4),1,3))+5)/7))</f>
        <v/>
      </c>
      <c r="D734" s="9" t="str">
        <f aca="false">IF(B734="","",B734-WEEKDAY(B734,2)+1)</f>
        <v/>
      </c>
      <c r="E734" s="10"/>
      <c r="F734" s="8"/>
      <c r="G734" s="11"/>
      <c r="H734" s="10"/>
      <c r="I734" s="11"/>
      <c r="J734" s="10"/>
      <c r="K734" s="10"/>
      <c r="L734" s="10"/>
      <c r="M734" s="11"/>
      <c r="N734" s="8"/>
      <c r="O734" s="7" t="str">
        <f aca="false">IF(L734="","",IFERROR(VLOOKUP(L734,Paramètres!$F$5:$G$8,2,FALSE()),""))</f>
        <v/>
      </c>
      <c r="P734" s="9" t="str">
        <f aca="false">IF(OR(B734="",O734=""),"",IF(N734="",B734,N734)+O734)</f>
        <v/>
      </c>
      <c r="Q734" s="10"/>
      <c r="R734" s="8"/>
      <c r="S734" s="7" t="str">
        <f aca="false">IF(OR(B734="",R734=""),"",R734-B734)</f>
        <v/>
      </c>
      <c r="T734" s="7" t="str">
        <f aca="true">IF(OR(B734="",P734=""),"",IF(R734&lt;&gt;"",IF(R734&gt;P734,"Traité hors délai","Non"),IF(Q734="Classé sans suite","Non",IF(TODAY()&gt;P734,"OUI","Non"))))</f>
        <v/>
      </c>
      <c r="U734" s="11"/>
    </row>
    <row r="735" customFormat="false" ht="15" hidden="false" customHeight="false" outlineLevel="0" collapsed="false">
      <c r="A735" s="7" t="str">
        <f aca="false">IF(B735="","",YEAR(B735)&amp;"/"&amp;TEXT(ROW()-4,"0000"))</f>
        <v/>
      </c>
      <c r="B735" s="8"/>
      <c r="C735" s="7" t="str">
        <f aca="false">IF(B735="","",INT((B735-DATE(YEAR(B735-WEEKDAY(B735-1)+4),1,3)+WEEKDAY(DATE(YEAR(B735-WEEKDAY(B735-1)+4),1,3))+5)/7))</f>
        <v/>
      </c>
      <c r="D735" s="9" t="str">
        <f aca="false">IF(B735="","",B735-WEEKDAY(B735,2)+1)</f>
        <v/>
      </c>
      <c r="E735" s="10"/>
      <c r="F735" s="8"/>
      <c r="G735" s="11"/>
      <c r="H735" s="10"/>
      <c r="I735" s="11"/>
      <c r="J735" s="10"/>
      <c r="K735" s="10"/>
      <c r="L735" s="10"/>
      <c r="M735" s="11"/>
      <c r="N735" s="8"/>
      <c r="O735" s="7" t="str">
        <f aca="false">IF(L735="","",IFERROR(VLOOKUP(L735,Paramètres!$F$5:$G$8,2,FALSE()),""))</f>
        <v/>
      </c>
      <c r="P735" s="9" t="str">
        <f aca="false">IF(OR(B735="",O735=""),"",IF(N735="",B735,N735)+O735)</f>
        <v/>
      </c>
      <c r="Q735" s="10"/>
      <c r="R735" s="8"/>
      <c r="S735" s="7" t="str">
        <f aca="false">IF(OR(B735="",R735=""),"",R735-B735)</f>
        <v/>
      </c>
      <c r="T735" s="7" t="str">
        <f aca="true">IF(OR(B735="",P735=""),"",IF(R735&lt;&gt;"",IF(R735&gt;P735,"Traité hors délai","Non"),IF(Q735="Classé sans suite","Non",IF(TODAY()&gt;P735,"OUI","Non"))))</f>
        <v/>
      </c>
      <c r="U735" s="11"/>
    </row>
    <row r="736" customFormat="false" ht="15" hidden="false" customHeight="false" outlineLevel="0" collapsed="false">
      <c r="A736" s="7" t="str">
        <f aca="false">IF(B736="","",YEAR(B736)&amp;"/"&amp;TEXT(ROW()-4,"0000"))</f>
        <v/>
      </c>
      <c r="B736" s="8"/>
      <c r="C736" s="7" t="str">
        <f aca="false">IF(B736="","",INT((B736-DATE(YEAR(B736-WEEKDAY(B736-1)+4),1,3)+WEEKDAY(DATE(YEAR(B736-WEEKDAY(B736-1)+4),1,3))+5)/7))</f>
        <v/>
      </c>
      <c r="D736" s="9" t="str">
        <f aca="false">IF(B736="","",B736-WEEKDAY(B736,2)+1)</f>
        <v/>
      </c>
      <c r="E736" s="10"/>
      <c r="F736" s="8"/>
      <c r="G736" s="11"/>
      <c r="H736" s="10"/>
      <c r="I736" s="11"/>
      <c r="J736" s="10"/>
      <c r="K736" s="10"/>
      <c r="L736" s="10"/>
      <c r="M736" s="11"/>
      <c r="N736" s="8"/>
      <c r="O736" s="7" t="str">
        <f aca="false">IF(L736="","",IFERROR(VLOOKUP(L736,Paramètres!$F$5:$G$8,2,FALSE()),""))</f>
        <v/>
      </c>
      <c r="P736" s="9" t="str">
        <f aca="false">IF(OR(B736="",O736=""),"",IF(N736="",B736,N736)+O736)</f>
        <v/>
      </c>
      <c r="Q736" s="10"/>
      <c r="R736" s="8"/>
      <c r="S736" s="7" t="str">
        <f aca="false">IF(OR(B736="",R736=""),"",R736-B736)</f>
        <v/>
      </c>
      <c r="T736" s="7" t="str">
        <f aca="true">IF(OR(B736="",P736=""),"",IF(R736&lt;&gt;"",IF(R736&gt;P736,"Traité hors délai","Non"),IF(Q736="Classé sans suite","Non",IF(TODAY()&gt;P736,"OUI","Non"))))</f>
        <v/>
      </c>
      <c r="U736" s="11"/>
    </row>
    <row r="737" customFormat="false" ht="15" hidden="false" customHeight="false" outlineLevel="0" collapsed="false">
      <c r="A737" s="7" t="str">
        <f aca="false">IF(B737="","",YEAR(B737)&amp;"/"&amp;TEXT(ROW()-4,"0000"))</f>
        <v/>
      </c>
      <c r="B737" s="8"/>
      <c r="C737" s="7" t="str">
        <f aca="false">IF(B737="","",INT((B737-DATE(YEAR(B737-WEEKDAY(B737-1)+4),1,3)+WEEKDAY(DATE(YEAR(B737-WEEKDAY(B737-1)+4),1,3))+5)/7))</f>
        <v/>
      </c>
      <c r="D737" s="9" t="str">
        <f aca="false">IF(B737="","",B737-WEEKDAY(B737,2)+1)</f>
        <v/>
      </c>
      <c r="E737" s="10"/>
      <c r="F737" s="8"/>
      <c r="G737" s="11"/>
      <c r="H737" s="10"/>
      <c r="I737" s="11"/>
      <c r="J737" s="10"/>
      <c r="K737" s="10"/>
      <c r="L737" s="10"/>
      <c r="M737" s="11"/>
      <c r="N737" s="8"/>
      <c r="O737" s="7" t="str">
        <f aca="false">IF(L737="","",IFERROR(VLOOKUP(L737,Paramètres!$F$5:$G$8,2,FALSE()),""))</f>
        <v/>
      </c>
      <c r="P737" s="9" t="str">
        <f aca="false">IF(OR(B737="",O737=""),"",IF(N737="",B737,N737)+O737)</f>
        <v/>
      </c>
      <c r="Q737" s="10"/>
      <c r="R737" s="8"/>
      <c r="S737" s="7" t="str">
        <f aca="false">IF(OR(B737="",R737=""),"",R737-B737)</f>
        <v/>
      </c>
      <c r="T737" s="7" t="str">
        <f aca="true">IF(OR(B737="",P737=""),"",IF(R737&lt;&gt;"",IF(R737&gt;P737,"Traité hors délai","Non"),IF(Q737="Classé sans suite","Non",IF(TODAY()&gt;P737,"OUI","Non"))))</f>
        <v/>
      </c>
      <c r="U737" s="11"/>
    </row>
    <row r="738" customFormat="false" ht="15" hidden="false" customHeight="false" outlineLevel="0" collapsed="false">
      <c r="A738" s="7" t="str">
        <f aca="false">IF(B738="","",YEAR(B738)&amp;"/"&amp;TEXT(ROW()-4,"0000"))</f>
        <v/>
      </c>
      <c r="B738" s="8"/>
      <c r="C738" s="7" t="str">
        <f aca="false">IF(B738="","",INT((B738-DATE(YEAR(B738-WEEKDAY(B738-1)+4),1,3)+WEEKDAY(DATE(YEAR(B738-WEEKDAY(B738-1)+4),1,3))+5)/7))</f>
        <v/>
      </c>
      <c r="D738" s="9" t="str">
        <f aca="false">IF(B738="","",B738-WEEKDAY(B738,2)+1)</f>
        <v/>
      </c>
      <c r="E738" s="10"/>
      <c r="F738" s="8"/>
      <c r="G738" s="11"/>
      <c r="H738" s="10"/>
      <c r="I738" s="11"/>
      <c r="J738" s="10"/>
      <c r="K738" s="10"/>
      <c r="L738" s="10"/>
      <c r="M738" s="11"/>
      <c r="N738" s="8"/>
      <c r="O738" s="7" t="str">
        <f aca="false">IF(L738="","",IFERROR(VLOOKUP(L738,Paramètres!$F$5:$G$8,2,FALSE()),""))</f>
        <v/>
      </c>
      <c r="P738" s="9" t="str">
        <f aca="false">IF(OR(B738="",O738=""),"",IF(N738="",B738,N738)+O738)</f>
        <v/>
      </c>
      <c r="Q738" s="10"/>
      <c r="R738" s="8"/>
      <c r="S738" s="7" t="str">
        <f aca="false">IF(OR(B738="",R738=""),"",R738-B738)</f>
        <v/>
      </c>
      <c r="T738" s="7" t="str">
        <f aca="true">IF(OR(B738="",P738=""),"",IF(R738&lt;&gt;"",IF(R738&gt;P738,"Traité hors délai","Non"),IF(Q738="Classé sans suite","Non",IF(TODAY()&gt;P738,"OUI","Non"))))</f>
        <v/>
      </c>
      <c r="U738" s="11"/>
    </row>
    <row r="739" customFormat="false" ht="15" hidden="false" customHeight="false" outlineLevel="0" collapsed="false">
      <c r="A739" s="7" t="str">
        <f aca="false">IF(B739="","",YEAR(B739)&amp;"/"&amp;TEXT(ROW()-4,"0000"))</f>
        <v/>
      </c>
      <c r="B739" s="8"/>
      <c r="C739" s="7" t="str">
        <f aca="false">IF(B739="","",INT((B739-DATE(YEAR(B739-WEEKDAY(B739-1)+4),1,3)+WEEKDAY(DATE(YEAR(B739-WEEKDAY(B739-1)+4),1,3))+5)/7))</f>
        <v/>
      </c>
      <c r="D739" s="9" t="str">
        <f aca="false">IF(B739="","",B739-WEEKDAY(B739,2)+1)</f>
        <v/>
      </c>
      <c r="E739" s="10"/>
      <c r="F739" s="8"/>
      <c r="G739" s="11"/>
      <c r="H739" s="10"/>
      <c r="I739" s="11"/>
      <c r="J739" s="10"/>
      <c r="K739" s="10"/>
      <c r="L739" s="10"/>
      <c r="M739" s="11"/>
      <c r="N739" s="8"/>
      <c r="O739" s="7" t="str">
        <f aca="false">IF(L739="","",IFERROR(VLOOKUP(L739,Paramètres!$F$5:$G$8,2,FALSE()),""))</f>
        <v/>
      </c>
      <c r="P739" s="9" t="str">
        <f aca="false">IF(OR(B739="",O739=""),"",IF(N739="",B739,N739)+O739)</f>
        <v/>
      </c>
      <c r="Q739" s="10"/>
      <c r="R739" s="8"/>
      <c r="S739" s="7" t="str">
        <f aca="false">IF(OR(B739="",R739=""),"",R739-B739)</f>
        <v/>
      </c>
      <c r="T739" s="7" t="str">
        <f aca="true">IF(OR(B739="",P739=""),"",IF(R739&lt;&gt;"",IF(R739&gt;P739,"Traité hors délai","Non"),IF(Q739="Classé sans suite","Non",IF(TODAY()&gt;P739,"OUI","Non"))))</f>
        <v/>
      </c>
      <c r="U739" s="11"/>
    </row>
    <row r="740" customFormat="false" ht="15" hidden="false" customHeight="false" outlineLevel="0" collapsed="false">
      <c r="A740" s="7" t="str">
        <f aca="false">IF(B740="","",YEAR(B740)&amp;"/"&amp;TEXT(ROW()-4,"0000"))</f>
        <v/>
      </c>
      <c r="B740" s="8"/>
      <c r="C740" s="7" t="str">
        <f aca="false">IF(B740="","",INT((B740-DATE(YEAR(B740-WEEKDAY(B740-1)+4),1,3)+WEEKDAY(DATE(YEAR(B740-WEEKDAY(B740-1)+4),1,3))+5)/7))</f>
        <v/>
      </c>
      <c r="D740" s="9" t="str">
        <f aca="false">IF(B740="","",B740-WEEKDAY(B740,2)+1)</f>
        <v/>
      </c>
      <c r="E740" s="10"/>
      <c r="F740" s="8"/>
      <c r="G740" s="11"/>
      <c r="H740" s="10"/>
      <c r="I740" s="11"/>
      <c r="J740" s="10"/>
      <c r="K740" s="10"/>
      <c r="L740" s="10"/>
      <c r="M740" s="11"/>
      <c r="N740" s="8"/>
      <c r="O740" s="7" t="str">
        <f aca="false">IF(L740="","",IFERROR(VLOOKUP(L740,Paramètres!$F$5:$G$8,2,FALSE()),""))</f>
        <v/>
      </c>
      <c r="P740" s="9" t="str">
        <f aca="false">IF(OR(B740="",O740=""),"",IF(N740="",B740,N740)+O740)</f>
        <v/>
      </c>
      <c r="Q740" s="10"/>
      <c r="R740" s="8"/>
      <c r="S740" s="7" t="str">
        <f aca="false">IF(OR(B740="",R740=""),"",R740-B740)</f>
        <v/>
      </c>
      <c r="T740" s="7" t="str">
        <f aca="true">IF(OR(B740="",P740=""),"",IF(R740&lt;&gt;"",IF(R740&gt;P740,"Traité hors délai","Non"),IF(Q740="Classé sans suite","Non",IF(TODAY()&gt;P740,"OUI","Non"))))</f>
        <v/>
      </c>
      <c r="U740" s="11"/>
    </row>
    <row r="741" customFormat="false" ht="15" hidden="false" customHeight="false" outlineLevel="0" collapsed="false">
      <c r="A741" s="7" t="str">
        <f aca="false">IF(B741="","",YEAR(B741)&amp;"/"&amp;TEXT(ROW()-4,"0000"))</f>
        <v/>
      </c>
      <c r="B741" s="8"/>
      <c r="C741" s="7" t="str">
        <f aca="false">IF(B741="","",INT((B741-DATE(YEAR(B741-WEEKDAY(B741-1)+4),1,3)+WEEKDAY(DATE(YEAR(B741-WEEKDAY(B741-1)+4),1,3))+5)/7))</f>
        <v/>
      </c>
      <c r="D741" s="9" t="str">
        <f aca="false">IF(B741="","",B741-WEEKDAY(B741,2)+1)</f>
        <v/>
      </c>
      <c r="E741" s="10"/>
      <c r="F741" s="8"/>
      <c r="G741" s="11"/>
      <c r="H741" s="10"/>
      <c r="I741" s="11"/>
      <c r="J741" s="10"/>
      <c r="K741" s="10"/>
      <c r="L741" s="10"/>
      <c r="M741" s="11"/>
      <c r="N741" s="8"/>
      <c r="O741" s="7" t="str">
        <f aca="false">IF(L741="","",IFERROR(VLOOKUP(L741,Paramètres!$F$5:$G$8,2,FALSE()),""))</f>
        <v/>
      </c>
      <c r="P741" s="9" t="str">
        <f aca="false">IF(OR(B741="",O741=""),"",IF(N741="",B741,N741)+O741)</f>
        <v/>
      </c>
      <c r="Q741" s="10"/>
      <c r="R741" s="8"/>
      <c r="S741" s="7" t="str">
        <f aca="false">IF(OR(B741="",R741=""),"",R741-B741)</f>
        <v/>
      </c>
      <c r="T741" s="7" t="str">
        <f aca="true">IF(OR(B741="",P741=""),"",IF(R741&lt;&gt;"",IF(R741&gt;P741,"Traité hors délai","Non"),IF(Q741="Classé sans suite","Non",IF(TODAY()&gt;P741,"OUI","Non"))))</f>
        <v/>
      </c>
      <c r="U741" s="11"/>
    </row>
    <row r="742" customFormat="false" ht="15" hidden="false" customHeight="false" outlineLevel="0" collapsed="false">
      <c r="A742" s="7" t="str">
        <f aca="false">IF(B742="","",YEAR(B742)&amp;"/"&amp;TEXT(ROW()-4,"0000"))</f>
        <v/>
      </c>
      <c r="B742" s="8"/>
      <c r="C742" s="7" t="str">
        <f aca="false">IF(B742="","",INT((B742-DATE(YEAR(B742-WEEKDAY(B742-1)+4),1,3)+WEEKDAY(DATE(YEAR(B742-WEEKDAY(B742-1)+4),1,3))+5)/7))</f>
        <v/>
      </c>
      <c r="D742" s="9" t="str">
        <f aca="false">IF(B742="","",B742-WEEKDAY(B742,2)+1)</f>
        <v/>
      </c>
      <c r="E742" s="10"/>
      <c r="F742" s="8"/>
      <c r="G742" s="11"/>
      <c r="H742" s="10"/>
      <c r="I742" s="11"/>
      <c r="J742" s="10"/>
      <c r="K742" s="10"/>
      <c r="L742" s="10"/>
      <c r="M742" s="11"/>
      <c r="N742" s="8"/>
      <c r="O742" s="7" t="str">
        <f aca="false">IF(L742="","",IFERROR(VLOOKUP(L742,Paramètres!$F$5:$G$8,2,FALSE()),""))</f>
        <v/>
      </c>
      <c r="P742" s="9" t="str">
        <f aca="false">IF(OR(B742="",O742=""),"",IF(N742="",B742,N742)+O742)</f>
        <v/>
      </c>
      <c r="Q742" s="10"/>
      <c r="R742" s="8"/>
      <c r="S742" s="7" t="str">
        <f aca="false">IF(OR(B742="",R742=""),"",R742-B742)</f>
        <v/>
      </c>
      <c r="T742" s="7" t="str">
        <f aca="true">IF(OR(B742="",P742=""),"",IF(R742&lt;&gt;"",IF(R742&gt;P742,"Traité hors délai","Non"),IF(Q742="Classé sans suite","Non",IF(TODAY()&gt;P742,"OUI","Non"))))</f>
        <v/>
      </c>
      <c r="U742" s="11"/>
    </row>
    <row r="743" customFormat="false" ht="15" hidden="false" customHeight="false" outlineLevel="0" collapsed="false">
      <c r="A743" s="7" t="str">
        <f aca="false">IF(B743="","",YEAR(B743)&amp;"/"&amp;TEXT(ROW()-4,"0000"))</f>
        <v/>
      </c>
      <c r="B743" s="8"/>
      <c r="C743" s="7" t="str">
        <f aca="false">IF(B743="","",INT((B743-DATE(YEAR(B743-WEEKDAY(B743-1)+4),1,3)+WEEKDAY(DATE(YEAR(B743-WEEKDAY(B743-1)+4),1,3))+5)/7))</f>
        <v/>
      </c>
      <c r="D743" s="9" t="str">
        <f aca="false">IF(B743="","",B743-WEEKDAY(B743,2)+1)</f>
        <v/>
      </c>
      <c r="E743" s="10"/>
      <c r="F743" s="8"/>
      <c r="G743" s="11"/>
      <c r="H743" s="10"/>
      <c r="I743" s="11"/>
      <c r="J743" s="10"/>
      <c r="K743" s="10"/>
      <c r="L743" s="10"/>
      <c r="M743" s="11"/>
      <c r="N743" s="8"/>
      <c r="O743" s="7" t="str">
        <f aca="false">IF(L743="","",IFERROR(VLOOKUP(L743,Paramètres!$F$5:$G$8,2,FALSE()),""))</f>
        <v/>
      </c>
      <c r="P743" s="9" t="str">
        <f aca="false">IF(OR(B743="",O743=""),"",IF(N743="",B743,N743)+O743)</f>
        <v/>
      </c>
      <c r="Q743" s="10"/>
      <c r="R743" s="8"/>
      <c r="S743" s="7" t="str">
        <f aca="false">IF(OR(B743="",R743=""),"",R743-B743)</f>
        <v/>
      </c>
      <c r="T743" s="7" t="str">
        <f aca="true">IF(OR(B743="",P743=""),"",IF(R743&lt;&gt;"",IF(R743&gt;P743,"Traité hors délai","Non"),IF(Q743="Classé sans suite","Non",IF(TODAY()&gt;P743,"OUI","Non"))))</f>
        <v/>
      </c>
      <c r="U743" s="11"/>
    </row>
    <row r="744" customFormat="false" ht="15" hidden="false" customHeight="false" outlineLevel="0" collapsed="false">
      <c r="A744" s="7" t="str">
        <f aca="false">IF(B744="","",YEAR(B744)&amp;"/"&amp;TEXT(ROW()-4,"0000"))</f>
        <v/>
      </c>
      <c r="B744" s="8"/>
      <c r="C744" s="7" t="str">
        <f aca="false">IF(B744="","",INT((B744-DATE(YEAR(B744-WEEKDAY(B744-1)+4),1,3)+WEEKDAY(DATE(YEAR(B744-WEEKDAY(B744-1)+4),1,3))+5)/7))</f>
        <v/>
      </c>
      <c r="D744" s="9" t="str">
        <f aca="false">IF(B744="","",B744-WEEKDAY(B744,2)+1)</f>
        <v/>
      </c>
      <c r="E744" s="10"/>
      <c r="F744" s="8"/>
      <c r="G744" s="11"/>
      <c r="H744" s="10"/>
      <c r="I744" s="11"/>
      <c r="J744" s="10"/>
      <c r="K744" s="10"/>
      <c r="L744" s="10"/>
      <c r="M744" s="11"/>
      <c r="N744" s="8"/>
      <c r="O744" s="7" t="str">
        <f aca="false">IF(L744="","",IFERROR(VLOOKUP(L744,Paramètres!$F$5:$G$8,2,FALSE()),""))</f>
        <v/>
      </c>
      <c r="P744" s="9" t="str">
        <f aca="false">IF(OR(B744="",O744=""),"",IF(N744="",B744,N744)+O744)</f>
        <v/>
      </c>
      <c r="Q744" s="10"/>
      <c r="R744" s="8"/>
      <c r="S744" s="7" t="str">
        <f aca="false">IF(OR(B744="",R744=""),"",R744-B744)</f>
        <v/>
      </c>
      <c r="T744" s="7" t="str">
        <f aca="true">IF(OR(B744="",P744=""),"",IF(R744&lt;&gt;"",IF(R744&gt;P744,"Traité hors délai","Non"),IF(Q744="Classé sans suite","Non",IF(TODAY()&gt;P744,"OUI","Non"))))</f>
        <v/>
      </c>
      <c r="U744" s="11"/>
    </row>
    <row r="745" customFormat="false" ht="15" hidden="false" customHeight="false" outlineLevel="0" collapsed="false">
      <c r="A745" s="7" t="str">
        <f aca="false">IF(B745="","",YEAR(B745)&amp;"/"&amp;TEXT(ROW()-4,"0000"))</f>
        <v/>
      </c>
      <c r="B745" s="8"/>
      <c r="C745" s="7" t="str">
        <f aca="false">IF(B745="","",INT((B745-DATE(YEAR(B745-WEEKDAY(B745-1)+4),1,3)+WEEKDAY(DATE(YEAR(B745-WEEKDAY(B745-1)+4),1,3))+5)/7))</f>
        <v/>
      </c>
      <c r="D745" s="9" t="str">
        <f aca="false">IF(B745="","",B745-WEEKDAY(B745,2)+1)</f>
        <v/>
      </c>
      <c r="E745" s="10"/>
      <c r="F745" s="8"/>
      <c r="G745" s="11"/>
      <c r="H745" s="10"/>
      <c r="I745" s="11"/>
      <c r="J745" s="10"/>
      <c r="K745" s="10"/>
      <c r="L745" s="10"/>
      <c r="M745" s="11"/>
      <c r="N745" s="8"/>
      <c r="O745" s="7" t="str">
        <f aca="false">IF(L745="","",IFERROR(VLOOKUP(L745,Paramètres!$F$5:$G$8,2,FALSE()),""))</f>
        <v/>
      </c>
      <c r="P745" s="9" t="str">
        <f aca="false">IF(OR(B745="",O745=""),"",IF(N745="",B745,N745)+O745)</f>
        <v/>
      </c>
      <c r="Q745" s="10"/>
      <c r="R745" s="8"/>
      <c r="S745" s="7" t="str">
        <f aca="false">IF(OR(B745="",R745=""),"",R745-B745)</f>
        <v/>
      </c>
      <c r="T745" s="7" t="str">
        <f aca="true">IF(OR(B745="",P745=""),"",IF(R745&lt;&gt;"",IF(R745&gt;P745,"Traité hors délai","Non"),IF(Q745="Classé sans suite","Non",IF(TODAY()&gt;P745,"OUI","Non"))))</f>
        <v/>
      </c>
      <c r="U745" s="11"/>
    </row>
    <row r="746" customFormat="false" ht="15" hidden="false" customHeight="false" outlineLevel="0" collapsed="false">
      <c r="A746" s="7" t="str">
        <f aca="false">IF(B746="","",YEAR(B746)&amp;"/"&amp;TEXT(ROW()-4,"0000"))</f>
        <v/>
      </c>
      <c r="B746" s="8"/>
      <c r="C746" s="7" t="str">
        <f aca="false">IF(B746="","",INT((B746-DATE(YEAR(B746-WEEKDAY(B746-1)+4),1,3)+WEEKDAY(DATE(YEAR(B746-WEEKDAY(B746-1)+4),1,3))+5)/7))</f>
        <v/>
      </c>
      <c r="D746" s="9" t="str">
        <f aca="false">IF(B746="","",B746-WEEKDAY(B746,2)+1)</f>
        <v/>
      </c>
      <c r="E746" s="10"/>
      <c r="F746" s="8"/>
      <c r="G746" s="11"/>
      <c r="H746" s="10"/>
      <c r="I746" s="11"/>
      <c r="J746" s="10"/>
      <c r="K746" s="10"/>
      <c r="L746" s="10"/>
      <c r="M746" s="11"/>
      <c r="N746" s="8"/>
      <c r="O746" s="7" t="str">
        <f aca="false">IF(L746="","",IFERROR(VLOOKUP(L746,Paramètres!$F$5:$G$8,2,FALSE()),""))</f>
        <v/>
      </c>
      <c r="P746" s="9" t="str">
        <f aca="false">IF(OR(B746="",O746=""),"",IF(N746="",B746,N746)+O746)</f>
        <v/>
      </c>
      <c r="Q746" s="10"/>
      <c r="R746" s="8"/>
      <c r="S746" s="7" t="str">
        <f aca="false">IF(OR(B746="",R746=""),"",R746-B746)</f>
        <v/>
      </c>
      <c r="T746" s="7" t="str">
        <f aca="true">IF(OR(B746="",P746=""),"",IF(R746&lt;&gt;"",IF(R746&gt;P746,"Traité hors délai","Non"),IF(Q746="Classé sans suite","Non",IF(TODAY()&gt;P746,"OUI","Non"))))</f>
        <v/>
      </c>
      <c r="U746" s="11"/>
    </row>
    <row r="747" customFormat="false" ht="15" hidden="false" customHeight="false" outlineLevel="0" collapsed="false">
      <c r="A747" s="7" t="str">
        <f aca="false">IF(B747="","",YEAR(B747)&amp;"/"&amp;TEXT(ROW()-4,"0000"))</f>
        <v/>
      </c>
      <c r="B747" s="8"/>
      <c r="C747" s="7" t="str">
        <f aca="false">IF(B747="","",INT((B747-DATE(YEAR(B747-WEEKDAY(B747-1)+4),1,3)+WEEKDAY(DATE(YEAR(B747-WEEKDAY(B747-1)+4),1,3))+5)/7))</f>
        <v/>
      </c>
      <c r="D747" s="9" t="str">
        <f aca="false">IF(B747="","",B747-WEEKDAY(B747,2)+1)</f>
        <v/>
      </c>
      <c r="E747" s="10"/>
      <c r="F747" s="8"/>
      <c r="G747" s="11"/>
      <c r="H747" s="10"/>
      <c r="I747" s="11"/>
      <c r="J747" s="10"/>
      <c r="K747" s="10"/>
      <c r="L747" s="10"/>
      <c r="M747" s="11"/>
      <c r="N747" s="8"/>
      <c r="O747" s="7" t="str">
        <f aca="false">IF(L747="","",IFERROR(VLOOKUP(L747,Paramètres!$F$5:$G$8,2,FALSE()),""))</f>
        <v/>
      </c>
      <c r="P747" s="9" t="str">
        <f aca="false">IF(OR(B747="",O747=""),"",IF(N747="",B747,N747)+O747)</f>
        <v/>
      </c>
      <c r="Q747" s="10"/>
      <c r="R747" s="8"/>
      <c r="S747" s="7" t="str">
        <f aca="false">IF(OR(B747="",R747=""),"",R747-B747)</f>
        <v/>
      </c>
      <c r="T747" s="7" t="str">
        <f aca="true">IF(OR(B747="",P747=""),"",IF(R747&lt;&gt;"",IF(R747&gt;P747,"Traité hors délai","Non"),IF(Q747="Classé sans suite","Non",IF(TODAY()&gt;P747,"OUI","Non"))))</f>
        <v/>
      </c>
      <c r="U747" s="11"/>
    </row>
    <row r="748" customFormat="false" ht="15" hidden="false" customHeight="false" outlineLevel="0" collapsed="false">
      <c r="A748" s="7" t="str">
        <f aca="false">IF(B748="","",YEAR(B748)&amp;"/"&amp;TEXT(ROW()-4,"0000"))</f>
        <v/>
      </c>
      <c r="B748" s="8"/>
      <c r="C748" s="7" t="str">
        <f aca="false">IF(B748="","",INT((B748-DATE(YEAR(B748-WEEKDAY(B748-1)+4),1,3)+WEEKDAY(DATE(YEAR(B748-WEEKDAY(B748-1)+4),1,3))+5)/7))</f>
        <v/>
      </c>
      <c r="D748" s="9" t="str">
        <f aca="false">IF(B748="","",B748-WEEKDAY(B748,2)+1)</f>
        <v/>
      </c>
      <c r="E748" s="10"/>
      <c r="F748" s="8"/>
      <c r="G748" s="11"/>
      <c r="H748" s="10"/>
      <c r="I748" s="11"/>
      <c r="J748" s="10"/>
      <c r="K748" s="10"/>
      <c r="L748" s="10"/>
      <c r="M748" s="11"/>
      <c r="N748" s="8"/>
      <c r="O748" s="7" t="str">
        <f aca="false">IF(L748="","",IFERROR(VLOOKUP(L748,Paramètres!$F$5:$G$8,2,FALSE()),""))</f>
        <v/>
      </c>
      <c r="P748" s="9" t="str">
        <f aca="false">IF(OR(B748="",O748=""),"",IF(N748="",B748,N748)+O748)</f>
        <v/>
      </c>
      <c r="Q748" s="10"/>
      <c r="R748" s="8"/>
      <c r="S748" s="7" t="str">
        <f aca="false">IF(OR(B748="",R748=""),"",R748-B748)</f>
        <v/>
      </c>
      <c r="T748" s="7" t="str">
        <f aca="true">IF(OR(B748="",P748=""),"",IF(R748&lt;&gt;"",IF(R748&gt;P748,"Traité hors délai","Non"),IF(Q748="Classé sans suite","Non",IF(TODAY()&gt;P748,"OUI","Non"))))</f>
        <v/>
      </c>
      <c r="U748" s="11"/>
    </row>
    <row r="749" customFormat="false" ht="15" hidden="false" customHeight="false" outlineLevel="0" collapsed="false">
      <c r="A749" s="7" t="str">
        <f aca="false">IF(B749="","",YEAR(B749)&amp;"/"&amp;TEXT(ROW()-4,"0000"))</f>
        <v/>
      </c>
      <c r="B749" s="8"/>
      <c r="C749" s="7" t="str">
        <f aca="false">IF(B749="","",INT((B749-DATE(YEAR(B749-WEEKDAY(B749-1)+4),1,3)+WEEKDAY(DATE(YEAR(B749-WEEKDAY(B749-1)+4),1,3))+5)/7))</f>
        <v/>
      </c>
      <c r="D749" s="9" t="str">
        <f aca="false">IF(B749="","",B749-WEEKDAY(B749,2)+1)</f>
        <v/>
      </c>
      <c r="E749" s="10"/>
      <c r="F749" s="8"/>
      <c r="G749" s="11"/>
      <c r="H749" s="10"/>
      <c r="I749" s="11"/>
      <c r="J749" s="10"/>
      <c r="K749" s="10"/>
      <c r="L749" s="10"/>
      <c r="M749" s="11"/>
      <c r="N749" s="8"/>
      <c r="O749" s="7" t="str">
        <f aca="false">IF(L749="","",IFERROR(VLOOKUP(L749,Paramètres!$F$5:$G$8,2,FALSE()),""))</f>
        <v/>
      </c>
      <c r="P749" s="9" t="str">
        <f aca="false">IF(OR(B749="",O749=""),"",IF(N749="",B749,N749)+O749)</f>
        <v/>
      </c>
      <c r="Q749" s="10"/>
      <c r="R749" s="8"/>
      <c r="S749" s="7" t="str">
        <f aca="false">IF(OR(B749="",R749=""),"",R749-B749)</f>
        <v/>
      </c>
      <c r="T749" s="7" t="str">
        <f aca="true">IF(OR(B749="",P749=""),"",IF(R749&lt;&gt;"",IF(R749&gt;P749,"Traité hors délai","Non"),IF(Q749="Classé sans suite","Non",IF(TODAY()&gt;P749,"OUI","Non"))))</f>
        <v/>
      </c>
      <c r="U749" s="11"/>
    </row>
    <row r="750" customFormat="false" ht="15" hidden="false" customHeight="false" outlineLevel="0" collapsed="false">
      <c r="A750" s="7" t="str">
        <f aca="false">IF(B750="","",YEAR(B750)&amp;"/"&amp;TEXT(ROW()-4,"0000"))</f>
        <v/>
      </c>
      <c r="B750" s="8"/>
      <c r="C750" s="7" t="str">
        <f aca="false">IF(B750="","",INT((B750-DATE(YEAR(B750-WEEKDAY(B750-1)+4),1,3)+WEEKDAY(DATE(YEAR(B750-WEEKDAY(B750-1)+4),1,3))+5)/7))</f>
        <v/>
      </c>
      <c r="D750" s="9" t="str">
        <f aca="false">IF(B750="","",B750-WEEKDAY(B750,2)+1)</f>
        <v/>
      </c>
      <c r="E750" s="10"/>
      <c r="F750" s="8"/>
      <c r="G750" s="11"/>
      <c r="H750" s="10"/>
      <c r="I750" s="11"/>
      <c r="J750" s="10"/>
      <c r="K750" s="10"/>
      <c r="L750" s="10"/>
      <c r="M750" s="11"/>
      <c r="N750" s="8"/>
      <c r="O750" s="7" t="str">
        <f aca="false">IF(L750="","",IFERROR(VLOOKUP(L750,Paramètres!$F$5:$G$8,2,FALSE()),""))</f>
        <v/>
      </c>
      <c r="P750" s="9" t="str">
        <f aca="false">IF(OR(B750="",O750=""),"",IF(N750="",B750,N750)+O750)</f>
        <v/>
      </c>
      <c r="Q750" s="10"/>
      <c r="R750" s="8"/>
      <c r="S750" s="7" t="str">
        <f aca="false">IF(OR(B750="",R750=""),"",R750-B750)</f>
        <v/>
      </c>
      <c r="T750" s="7" t="str">
        <f aca="true">IF(OR(B750="",P750=""),"",IF(R750&lt;&gt;"",IF(R750&gt;P750,"Traité hors délai","Non"),IF(Q750="Classé sans suite","Non",IF(TODAY()&gt;P750,"OUI","Non"))))</f>
        <v/>
      </c>
      <c r="U750" s="11"/>
    </row>
    <row r="751" customFormat="false" ht="15" hidden="false" customHeight="false" outlineLevel="0" collapsed="false">
      <c r="A751" s="7" t="str">
        <f aca="false">IF(B751="","",YEAR(B751)&amp;"/"&amp;TEXT(ROW()-4,"0000"))</f>
        <v/>
      </c>
      <c r="B751" s="8"/>
      <c r="C751" s="7" t="str">
        <f aca="false">IF(B751="","",INT((B751-DATE(YEAR(B751-WEEKDAY(B751-1)+4),1,3)+WEEKDAY(DATE(YEAR(B751-WEEKDAY(B751-1)+4),1,3))+5)/7))</f>
        <v/>
      </c>
      <c r="D751" s="9" t="str">
        <f aca="false">IF(B751="","",B751-WEEKDAY(B751,2)+1)</f>
        <v/>
      </c>
      <c r="E751" s="10"/>
      <c r="F751" s="8"/>
      <c r="G751" s="11"/>
      <c r="H751" s="10"/>
      <c r="I751" s="11"/>
      <c r="J751" s="10"/>
      <c r="K751" s="10"/>
      <c r="L751" s="10"/>
      <c r="M751" s="11"/>
      <c r="N751" s="8"/>
      <c r="O751" s="7" t="str">
        <f aca="false">IF(L751="","",IFERROR(VLOOKUP(L751,Paramètres!$F$5:$G$8,2,FALSE()),""))</f>
        <v/>
      </c>
      <c r="P751" s="9" t="str">
        <f aca="false">IF(OR(B751="",O751=""),"",IF(N751="",B751,N751)+O751)</f>
        <v/>
      </c>
      <c r="Q751" s="10"/>
      <c r="R751" s="8"/>
      <c r="S751" s="7" t="str">
        <f aca="false">IF(OR(B751="",R751=""),"",R751-B751)</f>
        <v/>
      </c>
      <c r="T751" s="7" t="str">
        <f aca="true">IF(OR(B751="",P751=""),"",IF(R751&lt;&gt;"",IF(R751&gt;P751,"Traité hors délai","Non"),IF(Q751="Classé sans suite","Non",IF(TODAY()&gt;P751,"OUI","Non"))))</f>
        <v/>
      </c>
      <c r="U751" s="11"/>
    </row>
    <row r="752" customFormat="false" ht="15" hidden="false" customHeight="false" outlineLevel="0" collapsed="false">
      <c r="A752" s="7" t="str">
        <f aca="false">IF(B752="","",YEAR(B752)&amp;"/"&amp;TEXT(ROW()-4,"0000"))</f>
        <v/>
      </c>
      <c r="B752" s="8"/>
      <c r="C752" s="7" t="str">
        <f aca="false">IF(B752="","",INT((B752-DATE(YEAR(B752-WEEKDAY(B752-1)+4),1,3)+WEEKDAY(DATE(YEAR(B752-WEEKDAY(B752-1)+4),1,3))+5)/7))</f>
        <v/>
      </c>
      <c r="D752" s="9" t="str">
        <f aca="false">IF(B752="","",B752-WEEKDAY(B752,2)+1)</f>
        <v/>
      </c>
      <c r="E752" s="10"/>
      <c r="F752" s="8"/>
      <c r="G752" s="11"/>
      <c r="H752" s="10"/>
      <c r="I752" s="11"/>
      <c r="J752" s="10"/>
      <c r="K752" s="10"/>
      <c r="L752" s="10"/>
      <c r="M752" s="11"/>
      <c r="N752" s="8"/>
      <c r="O752" s="7" t="str">
        <f aca="false">IF(L752="","",IFERROR(VLOOKUP(L752,Paramètres!$F$5:$G$8,2,FALSE()),""))</f>
        <v/>
      </c>
      <c r="P752" s="9" t="str">
        <f aca="false">IF(OR(B752="",O752=""),"",IF(N752="",B752,N752)+O752)</f>
        <v/>
      </c>
      <c r="Q752" s="10"/>
      <c r="R752" s="8"/>
      <c r="S752" s="7" t="str">
        <f aca="false">IF(OR(B752="",R752=""),"",R752-B752)</f>
        <v/>
      </c>
      <c r="T752" s="7" t="str">
        <f aca="true">IF(OR(B752="",P752=""),"",IF(R752&lt;&gt;"",IF(R752&gt;P752,"Traité hors délai","Non"),IF(Q752="Classé sans suite","Non",IF(TODAY()&gt;P752,"OUI","Non"))))</f>
        <v/>
      </c>
      <c r="U752" s="11"/>
    </row>
    <row r="753" customFormat="false" ht="15" hidden="false" customHeight="false" outlineLevel="0" collapsed="false">
      <c r="A753" s="7" t="str">
        <f aca="false">IF(B753="","",YEAR(B753)&amp;"/"&amp;TEXT(ROW()-4,"0000"))</f>
        <v/>
      </c>
      <c r="B753" s="8"/>
      <c r="C753" s="7" t="str">
        <f aca="false">IF(B753="","",INT((B753-DATE(YEAR(B753-WEEKDAY(B753-1)+4),1,3)+WEEKDAY(DATE(YEAR(B753-WEEKDAY(B753-1)+4),1,3))+5)/7))</f>
        <v/>
      </c>
      <c r="D753" s="9" t="str">
        <f aca="false">IF(B753="","",B753-WEEKDAY(B753,2)+1)</f>
        <v/>
      </c>
      <c r="E753" s="10"/>
      <c r="F753" s="8"/>
      <c r="G753" s="11"/>
      <c r="H753" s="10"/>
      <c r="I753" s="11"/>
      <c r="J753" s="10"/>
      <c r="K753" s="10"/>
      <c r="L753" s="10"/>
      <c r="M753" s="11"/>
      <c r="N753" s="8"/>
      <c r="O753" s="7" t="str">
        <f aca="false">IF(L753="","",IFERROR(VLOOKUP(L753,Paramètres!$F$5:$G$8,2,FALSE()),""))</f>
        <v/>
      </c>
      <c r="P753" s="9" t="str">
        <f aca="false">IF(OR(B753="",O753=""),"",IF(N753="",B753,N753)+O753)</f>
        <v/>
      </c>
      <c r="Q753" s="10"/>
      <c r="R753" s="8"/>
      <c r="S753" s="7" t="str">
        <f aca="false">IF(OR(B753="",R753=""),"",R753-B753)</f>
        <v/>
      </c>
      <c r="T753" s="7" t="str">
        <f aca="true">IF(OR(B753="",P753=""),"",IF(R753&lt;&gt;"",IF(R753&gt;P753,"Traité hors délai","Non"),IF(Q753="Classé sans suite","Non",IF(TODAY()&gt;P753,"OUI","Non"))))</f>
        <v/>
      </c>
      <c r="U753" s="11"/>
    </row>
    <row r="754" customFormat="false" ht="15" hidden="false" customHeight="false" outlineLevel="0" collapsed="false">
      <c r="A754" s="7" t="str">
        <f aca="false">IF(B754="","",YEAR(B754)&amp;"/"&amp;TEXT(ROW()-4,"0000"))</f>
        <v/>
      </c>
      <c r="B754" s="8"/>
      <c r="C754" s="7" t="str">
        <f aca="false">IF(B754="","",INT((B754-DATE(YEAR(B754-WEEKDAY(B754-1)+4),1,3)+WEEKDAY(DATE(YEAR(B754-WEEKDAY(B754-1)+4),1,3))+5)/7))</f>
        <v/>
      </c>
      <c r="D754" s="9" t="str">
        <f aca="false">IF(B754="","",B754-WEEKDAY(B754,2)+1)</f>
        <v/>
      </c>
      <c r="E754" s="10"/>
      <c r="F754" s="8"/>
      <c r="G754" s="11"/>
      <c r="H754" s="10"/>
      <c r="I754" s="11"/>
      <c r="J754" s="10"/>
      <c r="K754" s="10"/>
      <c r="L754" s="10"/>
      <c r="M754" s="11"/>
      <c r="N754" s="8"/>
      <c r="O754" s="7" t="str">
        <f aca="false">IF(L754="","",IFERROR(VLOOKUP(L754,Paramètres!$F$5:$G$8,2,FALSE()),""))</f>
        <v/>
      </c>
      <c r="P754" s="9" t="str">
        <f aca="false">IF(OR(B754="",O754=""),"",IF(N754="",B754,N754)+O754)</f>
        <v/>
      </c>
      <c r="Q754" s="10"/>
      <c r="R754" s="8"/>
      <c r="S754" s="7" t="str">
        <f aca="false">IF(OR(B754="",R754=""),"",R754-B754)</f>
        <v/>
      </c>
      <c r="T754" s="7" t="str">
        <f aca="true">IF(OR(B754="",P754=""),"",IF(R754&lt;&gt;"",IF(R754&gt;P754,"Traité hors délai","Non"),IF(Q754="Classé sans suite","Non",IF(TODAY()&gt;P754,"OUI","Non"))))</f>
        <v/>
      </c>
      <c r="U754" s="11"/>
    </row>
    <row r="755" customFormat="false" ht="15" hidden="false" customHeight="false" outlineLevel="0" collapsed="false">
      <c r="A755" s="7" t="str">
        <f aca="false">IF(B755="","",YEAR(B755)&amp;"/"&amp;TEXT(ROW()-4,"0000"))</f>
        <v/>
      </c>
      <c r="B755" s="8"/>
      <c r="C755" s="7" t="str">
        <f aca="false">IF(B755="","",INT((B755-DATE(YEAR(B755-WEEKDAY(B755-1)+4),1,3)+WEEKDAY(DATE(YEAR(B755-WEEKDAY(B755-1)+4),1,3))+5)/7))</f>
        <v/>
      </c>
      <c r="D755" s="9" t="str">
        <f aca="false">IF(B755="","",B755-WEEKDAY(B755,2)+1)</f>
        <v/>
      </c>
      <c r="E755" s="10"/>
      <c r="F755" s="8"/>
      <c r="G755" s="11"/>
      <c r="H755" s="10"/>
      <c r="I755" s="11"/>
      <c r="J755" s="10"/>
      <c r="K755" s="10"/>
      <c r="L755" s="10"/>
      <c r="M755" s="11"/>
      <c r="N755" s="8"/>
      <c r="O755" s="7" t="str">
        <f aca="false">IF(L755="","",IFERROR(VLOOKUP(L755,Paramètres!$F$5:$G$8,2,FALSE()),""))</f>
        <v/>
      </c>
      <c r="P755" s="9" t="str">
        <f aca="false">IF(OR(B755="",O755=""),"",IF(N755="",B755,N755)+O755)</f>
        <v/>
      </c>
      <c r="Q755" s="10"/>
      <c r="R755" s="8"/>
      <c r="S755" s="7" t="str">
        <f aca="false">IF(OR(B755="",R755=""),"",R755-B755)</f>
        <v/>
      </c>
      <c r="T755" s="7" t="str">
        <f aca="true">IF(OR(B755="",P755=""),"",IF(R755&lt;&gt;"",IF(R755&gt;P755,"Traité hors délai","Non"),IF(Q755="Classé sans suite","Non",IF(TODAY()&gt;P755,"OUI","Non"))))</f>
        <v/>
      </c>
      <c r="U755" s="11"/>
    </row>
    <row r="756" customFormat="false" ht="15" hidden="false" customHeight="false" outlineLevel="0" collapsed="false">
      <c r="A756" s="7" t="str">
        <f aca="false">IF(B756="","",YEAR(B756)&amp;"/"&amp;TEXT(ROW()-4,"0000"))</f>
        <v/>
      </c>
      <c r="B756" s="8"/>
      <c r="C756" s="7" t="str">
        <f aca="false">IF(B756="","",INT((B756-DATE(YEAR(B756-WEEKDAY(B756-1)+4),1,3)+WEEKDAY(DATE(YEAR(B756-WEEKDAY(B756-1)+4),1,3))+5)/7))</f>
        <v/>
      </c>
      <c r="D756" s="9" t="str">
        <f aca="false">IF(B756="","",B756-WEEKDAY(B756,2)+1)</f>
        <v/>
      </c>
      <c r="E756" s="10"/>
      <c r="F756" s="8"/>
      <c r="G756" s="11"/>
      <c r="H756" s="10"/>
      <c r="I756" s="11"/>
      <c r="J756" s="10"/>
      <c r="K756" s="10"/>
      <c r="L756" s="10"/>
      <c r="M756" s="11"/>
      <c r="N756" s="8"/>
      <c r="O756" s="7" t="str">
        <f aca="false">IF(L756="","",IFERROR(VLOOKUP(L756,Paramètres!$F$5:$G$8,2,FALSE()),""))</f>
        <v/>
      </c>
      <c r="P756" s="9" t="str">
        <f aca="false">IF(OR(B756="",O756=""),"",IF(N756="",B756,N756)+O756)</f>
        <v/>
      </c>
      <c r="Q756" s="10"/>
      <c r="R756" s="8"/>
      <c r="S756" s="7" t="str">
        <f aca="false">IF(OR(B756="",R756=""),"",R756-B756)</f>
        <v/>
      </c>
      <c r="T756" s="7" t="str">
        <f aca="true">IF(OR(B756="",P756=""),"",IF(R756&lt;&gt;"",IF(R756&gt;P756,"Traité hors délai","Non"),IF(Q756="Classé sans suite","Non",IF(TODAY()&gt;P756,"OUI","Non"))))</f>
        <v/>
      </c>
      <c r="U756" s="11"/>
    </row>
    <row r="757" customFormat="false" ht="15" hidden="false" customHeight="false" outlineLevel="0" collapsed="false">
      <c r="A757" s="7" t="str">
        <f aca="false">IF(B757="","",YEAR(B757)&amp;"/"&amp;TEXT(ROW()-4,"0000"))</f>
        <v/>
      </c>
      <c r="B757" s="8"/>
      <c r="C757" s="7" t="str">
        <f aca="false">IF(B757="","",INT((B757-DATE(YEAR(B757-WEEKDAY(B757-1)+4),1,3)+WEEKDAY(DATE(YEAR(B757-WEEKDAY(B757-1)+4),1,3))+5)/7))</f>
        <v/>
      </c>
      <c r="D757" s="9" t="str">
        <f aca="false">IF(B757="","",B757-WEEKDAY(B757,2)+1)</f>
        <v/>
      </c>
      <c r="E757" s="10"/>
      <c r="F757" s="8"/>
      <c r="G757" s="11"/>
      <c r="H757" s="10"/>
      <c r="I757" s="11"/>
      <c r="J757" s="10"/>
      <c r="K757" s="10"/>
      <c r="L757" s="10"/>
      <c r="M757" s="11"/>
      <c r="N757" s="8"/>
      <c r="O757" s="7" t="str">
        <f aca="false">IF(L757="","",IFERROR(VLOOKUP(L757,Paramètres!$F$5:$G$8,2,FALSE()),""))</f>
        <v/>
      </c>
      <c r="P757" s="9" t="str">
        <f aca="false">IF(OR(B757="",O757=""),"",IF(N757="",B757,N757)+O757)</f>
        <v/>
      </c>
      <c r="Q757" s="10"/>
      <c r="R757" s="8"/>
      <c r="S757" s="7" t="str">
        <f aca="false">IF(OR(B757="",R757=""),"",R757-B757)</f>
        <v/>
      </c>
      <c r="T757" s="7" t="str">
        <f aca="true">IF(OR(B757="",P757=""),"",IF(R757&lt;&gt;"",IF(R757&gt;P757,"Traité hors délai","Non"),IF(Q757="Classé sans suite","Non",IF(TODAY()&gt;P757,"OUI","Non"))))</f>
        <v/>
      </c>
      <c r="U757" s="11"/>
    </row>
    <row r="758" customFormat="false" ht="15" hidden="false" customHeight="false" outlineLevel="0" collapsed="false">
      <c r="A758" s="7" t="str">
        <f aca="false">IF(B758="","",YEAR(B758)&amp;"/"&amp;TEXT(ROW()-4,"0000"))</f>
        <v/>
      </c>
      <c r="B758" s="8"/>
      <c r="C758" s="7" t="str">
        <f aca="false">IF(B758="","",INT((B758-DATE(YEAR(B758-WEEKDAY(B758-1)+4),1,3)+WEEKDAY(DATE(YEAR(B758-WEEKDAY(B758-1)+4),1,3))+5)/7))</f>
        <v/>
      </c>
      <c r="D758" s="9" t="str">
        <f aca="false">IF(B758="","",B758-WEEKDAY(B758,2)+1)</f>
        <v/>
      </c>
      <c r="E758" s="10"/>
      <c r="F758" s="8"/>
      <c r="G758" s="11"/>
      <c r="H758" s="10"/>
      <c r="I758" s="11"/>
      <c r="J758" s="10"/>
      <c r="K758" s="10"/>
      <c r="L758" s="10"/>
      <c r="M758" s="11"/>
      <c r="N758" s="8"/>
      <c r="O758" s="7" t="str">
        <f aca="false">IF(L758="","",IFERROR(VLOOKUP(L758,Paramètres!$F$5:$G$8,2,FALSE()),""))</f>
        <v/>
      </c>
      <c r="P758" s="9" t="str">
        <f aca="false">IF(OR(B758="",O758=""),"",IF(N758="",B758,N758)+O758)</f>
        <v/>
      </c>
      <c r="Q758" s="10"/>
      <c r="R758" s="8"/>
      <c r="S758" s="7" t="str">
        <f aca="false">IF(OR(B758="",R758=""),"",R758-B758)</f>
        <v/>
      </c>
      <c r="T758" s="7" t="str">
        <f aca="true">IF(OR(B758="",P758=""),"",IF(R758&lt;&gt;"",IF(R758&gt;P758,"Traité hors délai","Non"),IF(Q758="Classé sans suite","Non",IF(TODAY()&gt;P758,"OUI","Non"))))</f>
        <v/>
      </c>
      <c r="U758" s="11"/>
    </row>
    <row r="759" customFormat="false" ht="15" hidden="false" customHeight="false" outlineLevel="0" collapsed="false">
      <c r="A759" s="7" t="str">
        <f aca="false">IF(B759="","",YEAR(B759)&amp;"/"&amp;TEXT(ROW()-4,"0000"))</f>
        <v/>
      </c>
      <c r="B759" s="8"/>
      <c r="C759" s="7" t="str">
        <f aca="false">IF(B759="","",INT((B759-DATE(YEAR(B759-WEEKDAY(B759-1)+4),1,3)+WEEKDAY(DATE(YEAR(B759-WEEKDAY(B759-1)+4),1,3))+5)/7))</f>
        <v/>
      </c>
      <c r="D759" s="9" t="str">
        <f aca="false">IF(B759="","",B759-WEEKDAY(B759,2)+1)</f>
        <v/>
      </c>
      <c r="E759" s="10"/>
      <c r="F759" s="8"/>
      <c r="G759" s="11"/>
      <c r="H759" s="10"/>
      <c r="I759" s="11"/>
      <c r="J759" s="10"/>
      <c r="K759" s="10"/>
      <c r="L759" s="10"/>
      <c r="M759" s="11"/>
      <c r="N759" s="8"/>
      <c r="O759" s="7" t="str">
        <f aca="false">IF(L759="","",IFERROR(VLOOKUP(L759,Paramètres!$F$5:$G$8,2,FALSE()),""))</f>
        <v/>
      </c>
      <c r="P759" s="9" t="str">
        <f aca="false">IF(OR(B759="",O759=""),"",IF(N759="",B759,N759)+O759)</f>
        <v/>
      </c>
      <c r="Q759" s="10"/>
      <c r="R759" s="8"/>
      <c r="S759" s="7" t="str">
        <f aca="false">IF(OR(B759="",R759=""),"",R759-B759)</f>
        <v/>
      </c>
      <c r="T759" s="7" t="str">
        <f aca="true">IF(OR(B759="",P759=""),"",IF(R759&lt;&gt;"",IF(R759&gt;P759,"Traité hors délai","Non"),IF(Q759="Classé sans suite","Non",IF(TODAY()&gt;P759,"OUI","Non"))))</f>
        <v/>
      </c>
      <c r="U759" s="11"/>
    </row>
    <row r="760" customFormat="false" ht="15" hidden="false" customHeight="false" outlineLevel="0" collapsed="false">
      <c r="A760" s="7" t="str">
        <f aca="false">IF(B760="","",YEAR(B760)&amp;"/"&amp;TEXT(ROW()-4,"0000"))</f>
        <v/>
      </c>
      <c r="B760" s="8"/>
      <c r="C760" s="7" t="str">
        <f aca="false">IF(B760="","",INT((B760-DATE(YEAR(B760-WEEKDAY(B760-1)+4),1,3)+WEEKDAY(DATE(YEAR(B760-WEEKDAY(B760-1)+4),1,3))+5)/7))</f>
        <v/>
      </c>
      <c r="D760" s="9" t="str">
        <f aca="false">IF(B760="","",B760-WEEKDAY(B760,2)+1)</f>
        <v/>
      </c>
      <c r="E760" s="10"/>
      <c r="F760" s="8"/>
      <c r="G760" s="11"/>
      <c r="H760" s="10"/>
      <c r="I760" s="11"/>
      <c r="J760" s="10"/>
      <c r="K760" s="10"/>
      <c r="L760" s="10"/>
      <c r="M760" s="11"/>
      <c r="N760" s="8"/>
      <c r="O760" s="7" t="str">
        <f aca="false">IF(L760="","",IFERROR(VLOOKUP(L760,Paramètres!$F$5:$G$8,2,FALSE()),""))</f>
        <v/>
      </c>
      <c r="P760" s="9" t="str">
        <f aca="false">IF(OR(B760="",O760=""),"",IF(N760="",B760,N760)+O760)</f>
        <v/>
      </c>
      <c r="Q760" s="10"/>
      <c r="R760" s="8"/>
      <c r="S760" s="7" t="str">
        <f aca="false">IF(OR(B760="",R760=""),"",R760-B760)</f>
        <v/>
      </c>
      <c r="T760" s="7" t="str">
        <f aca="true">IF(OR(B760="",P760=""),"",IF(R760&lt;&gt;"",IF(R760&gt;P760,"Traité hors délai","Non"),IF(Q760="Classé sans suite","Non",IF(TODAY()&gt;P760,"OUI","Non"))))</f>
        <v/>
      </c>
      <c r="U760" s="11"/>
    </row>
    <row r="761" customFormat="false" ht="15" hidden="false" customHeight="false" outlineLevel="0" collapsed="false">
      <c r="A761" s="7" t="str">
        <f aca="false">IF(B761="","",YEAR(B761)&amp;"/"&amp;TEXT(ROW()-4,"0000"))</f>
        <v/>
      </c>
      <c r="B761" s="8"/>
      <c r="C761" s="7" t="str">
        <f aca="false">IF(B761="","",INT((B761-DATE(YEAR(B761-WEEKDAY(B761-1)+4),1,3)+WEEKDAY(DATE(YEAR(B761-WEEKDAY(B761-1)+4),1,3))+5)/7))</f>
        <v/>
      </c>
      <c r="D761" s="9" t="str">
        <f aca="false">IF(B761="","",B761-WEEKDAY(B761,2)+1)</f>
        <v/>
      </c>
      <c r="E761" s="10"/>
      <c r="F761" s="8"/>
      <c r="G761" s="11"/>
      <c r="H761" s="10"/>
      <c r="I761" s="11"/>
      <c r="J761" s="10"/>
      <c r="K761" s="10"/>
      <c r="L761" s="10"/>
      <c r="M761" s="11"/>
      <c r="N761" s="8"/>
      <c r="O761" s="7" t="str">
        <f aca="false">IF(L761="","",IFERROR(VLOOKUP(L761,Paramètres!$F$5:$G$8,2,FALSE()),""))</f>
        <v/>
      </c>
      <c r="P761" s="9" t="str">
        <f aca="false">IF(OR(B761="",O761=""),"",IF(N761="",B761,N761)+O761)</f>
        <v/>
      </c>
      <c r="Q761" s="10"/>
      <c r="R761" s="8"/>
      <c r="S761" s="7" t="str">
        <f aca="false">IF(OR(B761="",R761=""),"",R761-B761)</f>
        <v/>
      </c>
      <c r="T761" s="7" t="str">
        <f aca="true">IF(OR(B761="",P761=""),"",IF(R761&lt;&gt;"",IF(R761&gt;P761,"Traité hors délai","Non"),IF(Q761="Classé sans suite","Non",IF(TODAY()&gt;P761,"OUI","Non"))))</f>
        <v/>
      </c>
      <c r="U761" s="11"/>
    </row>
    <row r="762" customFormat="false" ht="15" hidden="false" customHeight="false" outlineLevel="0" collapsed="false">
      <c r="A762" s="7" t="str">
        <f aca="false">IF(B762="","",YEAR(B762)&amp;"/"&amp;TEXT(ROW()-4,"0000"))</f>
        <v/>
      </c>
      <c r="B762" s="8"/>
      <c r="C762" s="7" t="str">
        <f aca="false">IF(B762="","",INT((B762-DATE(YEAR(B762-WEEKDAY(B762-1)+4),1,3)+WEEKDAY(DATE(YEAR(B762-WEEKDAY(B762-1)+4),1,3))+5)/7))</f>
        <v/>
      </c>
      <c r="D762" s="9" t="str">
        <f aca="false">IF(B762="","",B762-WEEKDAY(B762,2)+1)</f>
        <v/>
      </c>
      <c r="E762" s="10"/>
      <c r="F762" s="8"/>
      <c r="G762" s="11"/>
      <c r="H762" s="10"/>
      <c r="I762" s="11"/>
      <c r="J762" s="10"/>
      <c r="K762" s="10"/>
      <c r="L762" s="10"/>
      <c r="M762" s="11"/>
      <c r="N762" s="8"/>
      <c r="O762" s="7" t="str">
        <f aca="false">IF(L762="","",IFERROR(VLOOKUP(L762,Paramètres!$F$5:$G$8,2,FALSE()),""))</f>
        <v/>
      </c>
      <c r="P762" s="9" t="str">
        <f aca="false">IF(OR(B762="",O762=""),"",IF(N762="",B762,N762)+O762)</f>
        <v/>
      </c>
      <c r="Q762" s="10"/>
      <c r="R762" s="8"/>
      <c r="S762" s="7" t="str">
        <f aca="false">IF(OR(B762="",R762=""),"",R762-B762)</f>
        <v/>
      </c>
      <c r="T762" s="7" t="str">
        <f aca="true">IF(OR(B762="",P762=""),"",IF(R762&lt;&gt;"",IF(R762&gt;P762,"Traité hors délai","Non"),IF(Q762="Classé sans suite","Non",IF(TODAY()&gt;P762,"OUI","Non"))))</f>
        <v/>
      </c>
      <c r="U762" s="11"/>
    </row>
    <row r="763" customFormat="false" ht="15" hidden="false" customHeight="false" outlineLevel="0" collapsed="false">
      <c r="A763" s="7" t="str">
        <f aca="false">IF(B763="","",YEAR(B763)&amp;"/"&amp;TEXT(ROW()-4,"0000"))</f>
        <v/>
      </c>
      <c r="B763" s="8"/>
      <c r="C763" s="7" t="str">
        <f aca="false">IF(B763="","",INT((B763-DATE(YEAR(B763-WEEKDAY(B763-1)+4),1,3)+WEEKDAY(DATE(YEAR(B763-WEEKDAY(B763-1)+4),1,3))+5)/7))</f>
        <v/>
      </c>
      <c r="D763" s="9" t="str">
        <f aca="false">IF(B763="","",B763-WEEKDAY(B763,2)+1)</f>
        <v/>
      </c>
      <c r="E763" s="10"/>
      <c r="F763" s="8"/>
      <c r="G763" s="11"/>
      <c r="H763" s="10"/>
      <c r="I763" s="11"/>
      <c r="J763" s="10"/>
      <c r="K763" s="10"/>
      <c r="L763" s="10"/>
      <c r="M763" s="11"/>
      <c r="N763" s="8"/>
      <c r="O763" s="7" t="str">
        <f aca="false">IF(L763="","",IFERROR(VLOOKUP(L763,Paramètres!$F$5:$G$8,2,FALSE()),""))</f>
        <v/>
      </c>
      <c r="P763" s="9" t="str">
        <f aca="false">IF(OR(B763="",O763=""),"",IF(N763="",B763,N763)+O763)</f>
        <v/>
      </c>
      <c r="Q763" s="10"/>
      <c r="R763" s="8"/>
      <c r="S763" s="7" t="str">
        <f aca="false">IF(OR(B763="",R763=""),"",R763-B763)</f>
        <v/>
      </c>
      <c r="T763" s="7" t="str">
        <f aca="true">IF(OR(B763="",P763=""),"",IF(R763&lt;&gt;"",IF(R763&gt;P763,"Traité hors délai","Non"),IF(Q763="Classé sans suite","Non",IF(TODAY()&gt;P763,"OUI","Non"))))</f>
        <v/>
      </c>
      <c r="U763" s="11"/>
    </row>
    <row r="764" customFormat="false" ht="15" hidden="false" customHeight="false" outlineLevel="0" collapsed="false">
      <c r="A764" s="7" t="str">
        <f aca="false">IF(B764="","",YEAR(B764)&amp;"/"&amp;TEXT(ROW()-4,"0000"))</f>
        <v/>
      </c>
      <c r="B764" s="8"/>
      <c r="C764" s="7" t="str">
        <f aca="false">IF(B764="","",INT((B764-DATE(YEAR(B764-WEEKDAY(B764-1)+4),1,3)+WEEKDAY(DATE(YEAR(B764-WEEKDAY(B764-1)+4),1,3))+5)/7))</f>
        <v/>
      </c>
      <c r="D764" s="9" t="str">
        <f aca="false">IF(B764="","",B764-WEEKDAY(B764,2)+1)</f>
        <v/>
      </c>
      <c r="E764" s="10"/>
      <c r="F764" s="8"/>
      <c r="G764" s="11"/>
      <c r="H764" s="10"/>
      <c r="I764" s="11"/>
      <c r="J764" s="10"/>
      <c r="K764" s="10"/>
      <c r="L764" s="10"/>
      <c r="M764" s="11"/>
      <c r="N764" s="8"/>
      <c r="O764" s="7" t="str">
        <f aca="false">IF(L764="","",IFERROR(VLOOKUP(L764,Paramètres!$F$5:$G$8,2,FALSE()),""))</f>
        <v/>
      </c>
      <c r="P764" s="9" t="str">
        <f aca="false">IF(OR(B764="",O764=""),"",IF(N764="",B764,N764)+O764)</f>
        <v/>
      </c>
      <c r="Q764" s="10"/>
      <c r="R764" s="8"/>
      <c r="S764" s="7" t="str">
        <f aca="false">IF(OR(B764="",R764=""),"",R764-B764)</f>
        <v/>
      </c>
      <c r="T764" s="7" t="str">
        <f aca="true">IF(OR(B764="",P764=""),"",IF(R764&lt;&gt;"",IF(R764&gt;P764,"Traité hors délai","Non"),IF(Q764="Classé sans suite","Non",IF(TODAY()&gt;P764,"OUI","Non"))))</f>
        <v/>
      </c>
      <c r="U764" s="11"/>
    </row>
    <row r="765" customFormat="false" ht="15" hidden="false" customHeight="false" outlineLevel="0" collapsed="false">
      <c r="A765" s="7" t="str">
        <f aca="false">IF(B765="","",YEAR(B765)&amp;"/"&amp;TEXT(ROW()-4,"0000"))</f>
        <v/>
      </c>
      <c r="B765" s="8"/>
      <c r="C765" s="7" t="str">
        <f aca="false">IF(B765="","",INT((B765-DATE(YEAR(B765-WEEKDAY(B765-1)+4),1,3)+WEEKDAY(DATE(YEAR(B765-WEEKDAY(B765-1)+4),1,3))+5)/7))</f>
        <v/>
      </c>
      <c r="D765" s="9" t="str">
        <f aca="false">IF(B765="","",B765-WEEKDAY(B765,2)+1)</f>
        <v/>
      </c>
      <c r="E765" s="10"/>
      <c r="F765" s="8"/>
      <c r="G765" s="11"/>
      <c r="H765" s="10"/>
      <c r="I765" s="11"/>
      <c r="J765" s="10"/>
      <c r="K765" s="10"/>
      <c r="L765" s="10"/>
      <c r="M765" s="11"/>
      <c r="N765" s="8"/>
      <c r="O765" s="7" t="str">
        <f aca="false">IF(L765="","",IFERROR(VLOOKUP(L765,Paramètres!$F$5:$G$8,2,FALSE()),""))</f>
        <v/>
      </c>
      <c r="P765" s="9" t="str">
        <f aca="false">IF(OR(B765="",O765=""),"",IF(N765="",B765,N765)+O765)</f>
        <v/>
      </c>
      <c r="Q765" s="10"/>
      <c r="R765" s="8"/>
      <c r="S765" s="7" t="str">
        <f aca="false">IF(OR(B765="",R765=""),"",R765-B765)</f>
        <v/>
      </c>
      <c r="T765" s="7" t="str">
        <f aca="true">IF(OR(B765="",P765=""),"",IF(R765&lt;&gt;"",IF(R765&gt;P765,"Traité hors délai","Non"),IF(Q765="Classé sans suite","Non",IF(TODAY()&gt;P765,"OUI","Non"))))</f>
        <v/>
      </c>
      <c r="U765" s="11"/>
    </row>
    <row r="766" customFormat="false" ht="15" hidden="false" customHeight="false" outlineLevel="0" collapsed="false">
      <c r="A766" s="7" t="str">
        <f aca="false">IF(B766="","",YEAR(B766)&amp;"/"&amp;TEXT(ROW()-4,"0000"))</f>
        <v/>
      </c>
      <c r="B766" s="8"/>
      <c r="C766" s="7" t="str">
        <f aca="false">IF(B766="","",INT((B766-DATE(YEAR(B766-WEEKDAY(B766-1)+4),1,3)+WEEKDAY(DATE(YEAR(B766-WEEKDAY(B766-1)+4),1,3))+5)/7))</f>
        <v/>
      </c>
      <c r="D766" s="9" t="str">
        <f aca="false">IF(B766="","",B766-WEEKDAY(B766,2)+1)</f>
        <v/>
      </c>
      <c r="E766" s="10"/>
      <c r="F766" s="8"/>
      <c r="G766" s="11"/>
      <c r="H766" s="10"/>
      <c r="I766" s="11"/>
      <c r="J766" s="10"/>
      <c r="K766" s="10"/>
      <c r="L766" s="10"/>
      <c r="M766" s="11"/>
      <c r="N766" s="8"/>
      <c r="O766" s="7" t="str">
        <f aca="false">IF(L766="","",IFERROR(VLOOKUP(L766,Paramètres!$F$5:$G$8,2,FALSE()),""))</f>
        <v/>
      </c>
      <c r="P766" s="9" t="str">
        <f aca="false">IF(OR(B766="",O766=""),"",IF(N766="",B766,N766)+O766)</f>
        <v/>
      </c>
      <c r="Q766" s="10"/>
      <c r="R766" s="8"/>
      <c r="S766" s="7" t="str">
        <f aca="false">IF(OR(B766="",R766=""),"",R766-B766)</f>
        <v/>
      </c>
      <c r="T766" s="7" t="str">
        <f aca="true">IF(OR(B766="",P766=""),"",IF(R766&lt;&gt;"",IF(R766&gt;P766,"Traité hors délai","Non"),IF(Q766="Classé sans suite","Non",IF(TODAY()&gt;P766,"OUI","Non"))))</f>
        <v/>
      </c>
      <c r="U766" s="11"/>
    </row>
    <row r="767" customFormat="false" ht="15" hidden="false" customHeight="false" outlineLevel="0" collapsed="false">
      <c r="A767" s="7" t="str">
        <f aca="false">IF(B767="","",YEAR(B767)&amp;"/"&amp;TEXT(ROW()-4,"0000"))</f>
        <v/>
      </c>
      <c r="B767" s="8"/>
      <c r="C767" s="7" t="str">
        <f aca="false">IF(B767="","",INT((B767-DATE(YEAR(B767-WEEKDAY(B767-1)+4),1,3)+WEEKDAY(DATE(YEAR(B767-WEEKDAY(B767-1)+4),1,3))+5)/7))</f>
        <v/>
      </c>
      <c r="D767" s="9" t="str">
        <f aca="false">IF(B767="","",B767-WEEKDAY(B767,2)+1)</f>
        <v/>
      </c>
      <c r="E767" s="10"/>
      <c r="F767" s="8"/>
      <c r="G767" s="11"/>
      <c r="H767" s="10"/>
      <c r="I767" s="11"/>
      <c r="J767" s="10"/>
      <c r="K767" s="10"/>
      <c r="L767" s="10"/>
      <c r="M767" s="11"/>
      <c r="N767" s="8"/>
      <c r="O767" s="7" t="str">
        <f aca="false">IF(L767="","",IFERROR(VLOOKUP(L767,Paramètres!$F$5:$G$8,2,FALSE()),""))</f>
        <v/>
      </c>
      <c r="P767" s="9" t="str">
        <f aca="false">IF(OR(B767="",O767=""),"",IF(N767="",B767,N767)+O767)</f>
        <v/>
      </c>
      <c r="Q767" s="10"/>
      <c r="R767" s="8"/>
      <c r="S767" s="7" t="str">
        <f aca="false">IF(OR(B767="",R767=""),"",R767-B767)</f>
        <v/>
      </c>
      <c r="T767" s="7" t="str">
        <f aca="true">IF(OR(B767="",P767=""),"",IF(R767&lt;&gt;"",IF(R767&gt;P767,"Traité hors délai","Non"),IF(Q767="Classé sans suite","Non",IF(TODAY()&gt;P767,"OUI","Non"))))</f>
        <v/>
      </c>
      <c r="U767" s="11"/>
    </row>
    <row r="768" customFormat="false" ht="15" hidden="false" customHeight="false" outlineLevel="0" collapsed="false">
      <c r="A768" s="7" t="str">
        <f aca="false">IF(B768="","",YEAR(B768)&amp;"/"&amp;TEXT(ROW()-4,"0000"))</f>
        <v/>
      </c>
      <c r="B768" s="8"/>
      <c r="C768" s="7" t="str">
        <f aca="false">IF(B768="","",INT((B768-DATE(YEAR(B768-WEEKDAY(B768-1)+4),1,3)+WEEKDAY(DATE(YEAR(B768-WEEKDAY(B768-1)+4),1,3))+5)/7))</f>
        <v/>
      </c>
      <c r="D768" s="9" t="str">
        <f aca="false">IF(B768="","",B768-WEEKDAY(B768,2)+1)</f>
        <v/>
      </c>
      <c r="E768" s="10"/>
      <c r="F768" s="8"/>
      <c r="G768" s="11"/>
      <c r="H768" s="10"/>
      <c r="I768" s="11"/>
      <c r="J768" s="10"/>
      <c r="K768" s="10"/>
      <c r="L768" s="10"/>
      <c r="M768" s="11"/>
      <c r="N768" s="8"/>
      <c r="O768" s="7" t="str">
        <f aca="false">IF(L768="","",IFERROR(VLOOKUP(L768,Paramètres!$F$5:$G$8,2,FALSE()),""))</f>
        <v/>
      </c>
      <c r="P768" s="9" t="str">
        <f aca="false">IF(OR(B768="",O768=""),"",IF(N768="",B768,N768)+O768)</f>
        <v/>
      </c>
      <c r="Q768" s="10"/>
      <c r="R768" s="8"/>
      <c r="S768" s="7" t="str">
        <f aca="false">IF(OR(B768="",R768=""),"",R768-B768)</f>
        <v/>
      </c>
      <c r="T768" s="7" t="str">
        <f aca="true">IF(OR(B768="",P768=""),"",IF(R768&lt;&gt;"",IF(R768&gt;P768,"Traité hors délai","Non"),IF(Q768="Classé sans suite","Non",IF(TODAY()&gt;P768,"OUI","Non"))))</f>
        <v/>
      </c>
      <c r="U768" s="11"/>
    </row>
    <row r="769" customFormat="false" ht="15" hidden="false" customHeight="false" outlineLevel="0" collapsed="false">
      <c r="A769" s="7" t="str">
        <f aca="false">IF(B769="","",YEAR(B769)&amp;"/"&amp;TEXT(ROW()-4,"0000"))</f>
        <v/>
      </c>
      <c r="B769" s="8"/>
      <c r="C769" s="7" t="str">
        <f aca="false">IF(B769="","",INT((B769-DATE(YEAR(B769-WEEKDAY(B769-1)+4),1,3)+WEEKDAY(DATE(YEAR(B769-WEEKDAY(B769-1)+4),1,3))+5)/7))</f>
        <v/>
      </c>
      <c r="D769" s="9" t="str">
        <f aca="false">IF(B769="","",B769-WEEKDAY(B769,2)+1)</f>
        <v/>
      </c>
      <c r="E769" s="10"/>
      <c r="F769" s="8"/>
      <c r="G769" s="11"/>
      <c r="H769" s="10"/>
      <c r="I769" s="11"/>
      <c r="J769" s="10"/>
      <c r="K769" s="10"/>
      <c r="L769" s="10"/>
      <c r="M769" s="11"/>
      <c r="N769" s="8"/>
      <c r="O769" s="7" t="str">
        <f aca="false">IF(L769="","",IFERROR(VLOOKUP(L769,Paramètres!$F$5:$G$8,2,FALSE()),""))</f>
        <v/>
      </c>
      <c r="P769" s="9" t="str">
        <f aca="false">IF(OR(B769="",O769=""),"",IF(N769="",B769,N769)+O769)</f>
        <v/>
      </c>
      <c r="Q769" s="10"/>
      <c r="R769" s="8"/>
      <c r="S769" s="7" t="str">
        <f aca="false">IF(OR(B769="",R769=""),"",R769-B769)</f>
        <v/>
      </c>
      <c r="T769" s="7" t="str">
        <f aca="true">IF(OR(B769="",P769=""),"",IF(R769&lt;&gt;"",IF(R769&gt;P769,"Traité hors délai","Non"),IF(Q769="Classé sans suite","Non",IF(TODAY()&gt;P769,"OUI","Non"))))</f>
        <v/>
      </c>
      <c r="U769" s="11"/>
    </row>
    <row r="770" customFormat="false" ht="15" hidden="false" customHeight="false" outlineLevel="0" collapsed="false">
      <c r="A770" s="7" t="str">
        <f aca="false">IF(B770="","",YEAR(B770)&amp;"/"&amp;TEXT(ROW()-4,"0000"))</f>
        <v/>
      </c>
      <c r="B770" s="8"/>
      <c r="C770" s="7" t="str">
        <f aca="false">IF(B770="","",INT((B770-DATE(YEAR(B770-WEEKDAY(B770-1)+4),1,3)+WEEKDAY(DATE(YEAR(B770-WEEKDAY(B770-1)+4),1,3))+5)/7))</f>
        <v/>
      </c>
      <c r="D770" s="9" t="str">
        <f aca="false">IF(B770="","",B770-WEEKDAY(B770,2)+1)</f>
        <v/>
      </c>
      <c r="E770" s="10"/>
      <c r="F770" s="8"/>
      <c r="G770" s="11"/>
      <c r="H770" s="10"/>
      <c r="I770" s="11"/>
      <c r="J770" s="10"/>
      <c r="K770" s="10"/>
      <c r="L770" s="10"/>
      <c r="M770" s="11"/>
      <c r="N770" s="8"/>
      <c r="O770" s="7" t="str">
        <f aca="false">IF(L770="","",IFERROR(VLOOKUP(L770,Paramètres!$F$5:$G$8,2,FALSE()),""))</f>
        <v/>
      </c>
      <c r="P770" s="9" t="str">
        <f aca="false">IF(OR(B770="",O770=""),"",IF(N770="",B770,N770)+O770)</f>
        <v/>
      </c>
      <c r="Q770" s="10"/>
      <c r="R770" s="8"/>
      <c r="S770" s="7" t="str">
        <f aca="false">IF(OR(B770="",R770=""),"",R770-B770)</f>
        <v/>
      </c>
      <c r="T770" s="7" t="str">
        <f aca="true">IF(OR(B770="",P770=""),"",IF(R770&lt;&gt;"",IF(R770&gt;P770,"Traité hors délai","Non"),IF(Q770="Classé sans suite","Non",IF(TODAY()&gt;P770,"OUI","Non"))))</f>
        <v/>
      </c>
      <c r="U770" s="11"/>
    </row>
    <row r="771" customFormat="false" ht="15" hidden="false" customHeight="false" outlineLevel="0" collapsed="false">
      <c r="A771" s="7" t="str">
        <f aca="false">IF(B771="","",YEAR(B771)&amp;"/"&amp;TEXT(ROW()-4,"0000"))</f>
        <v/>
      </c>
      <c r="B771" s="8"/>
      <c r="C771" s="7" t="str">
        <f aca="false">IF(B771="","",INT((B771-DATE(YEAR(B771-WEEKDAY(B771-1)+4),1,3)+WEEKDAY(DATE(YEAR(B771-WEEKDAY(B771-1)+4),1,3))+5)/7))</f>
        <v/>
      </c>
      <c r="D771" s="9" t="str">
        <f aca="false">IF(B771="","",B771-WEEKDAY(B771,2)+1)</f>
        <v/>
      </c>
      <c r="E771" s="10"/>
      <c r="F771" s="8"/>
      <c r="G771" s="11"/>
      <c r="H771" s="10"/>
      <c r="I771" s="11"/>
      <c r="J771" s="10"/>
      <c r="K771" s="10"/>
      <c r="L771" s="10"/>
      <c r="M771" s="11"/>
      <c r="N771" s="8"/>
      <c r="O771" s="7" t="str">
        <f aca="false">IF(L771="","",IFERROR(VLOOKUP(L771,Paramètres!$F$5:$G$8,2,FALSE()),""))</f>
        <v/>
      </c>
      <c r="P771" s="9" t="str">
        <f aca="false">IF(OR(B771="",O771=""),"",IF(N771="",B771,N771)+O771)</f>
        <v/>
      </c>
      <c r="Q771" s="10"/>
      <c r="R771" s="8"/>
      <c r="S771" s="7" t="str">
        <f aca="false">IF(OR(B771="",R771=""),"",R771-B771)</f>
        <v/>
      </c>
      <c r="T771" s="7" t="str">
        <f aca="true">IF(OR(B771="",P771=""),"",IF(R771&lt;&gt;"",IF(R771&gt;P771,"Traité hors délai","Non"),IF(Q771="Classé sans suite","Non",IF(TODAY()&gt;P771,"OUI","Non"))))</f>
        <v/>
      </c>
      <c r="U771" s="11"/>
    </row>
    <row r="772" customFormat="false" ht="15" hidden="false" customHeight="false" outlineLevel="0" collapsed="false">
      <c r="A772" s="7" t="str">
        <f aca="false">IF(B772="","",YEAR(B772)&amp;"/"&amp;TEXT(ROW()-4,"0000"))</f>
        <v/>
      </c>
      <c r="B772" s="8"/>
      <c r="C772" s="7" t="str">
        <f aca="false">IF(B772="","",INT((B772-DATE(YEAR(B772-WEEKDAY(B772-1)+4),1,3)+WEEKDAY(DATE(YEAR(B772-WEEKDAY(B772-1)+4),1,3))+5)/7))</f>
        <v/>
      </c>
      <c r="D772" s="9" t="str">
        <f aca="false">IF(B772="","",B772-WEEKDAY(B772,2)+1)</f>
        <v/>
      </c>
      <c r="E772" s="10"/>
      <c r="F772" s="8"/>
      <c r="G772" s="11"/>
      <c r="H772" s="10"/>
      <c r="I772" s="11"/>
      <c r="J772" s="10"/>
      <c r="K772" s="10"/>
      <c r="L772" s="10"/>
      <c r="M772" s="11"/>
      <c r="N772" s="8"/>
      <c r="O772" s="7" t="str">
        <f aca="false">IF(L772="","",IFERROR(VLOOKUP(L772,Paramètres!$F$5:$G$8,2,FALSE()),""))</f>
        <v/>
      </c>
      <c r="P772" s="9" t="str">
        <f aca="false">IF(OR(B772="",O772=""),"",IF(N772="",B772,N772)+O772)</f>
        <v/>
      </c>
      <c r="Q772" s="10"/>
      <c r="R772" s="8"/>
      <c r="S772" s="7" t="str">
        <f aca="false">IF(OR(B772="",R772=""),"",R772-B772)</f>
        <v/>
      </c>
      <c r="T772" s="7" t="str">
        <f aca="true">IF(OR(B772="",P772=""),"",IF(R772&lt;&gt;"",IF(R772&gt;P772,"Traité hors délai","Non"),IF(Q772="Classé sans suite","Non",IF(TODAY()&gt;P772,"OUI","Non"))))</f>
        <v/>
      </c>
      <c r="U772" s="11"/>
    </row>
    <row r="773" customFormat="false" ht="15" hidden="false" customHeight="false" outlineLevel="0" collapsed="false">
      <c r="A773" s="7" t="str">
        <f aca="false">IF(B773="","",YEAR(B773)&amp;"/"&amp;TEXT(ROW()-4,"0000"))</f>
        <v/>
      </c>
      <c r="B773" s="8"/>
      <c r="C773" s="7" t="str">
        <f aca="false">IF(B773="","",INT((B773-DATE(YEAR(B773-WEEKDAY(B773-1)+4),1,3)+WEEKDAY(DATE(YEAR(B773-WEEKDAY(B773-1)+4),1,3))+5)/7))</f>
        <v/>
      </c>
      <c r="D773" s="9" t="str">
        <f aca="false">IF(B773="","",B773-WEEKDAY(B773,2)+1)</f>
        <v/>
      </c>
      <c r="E773" s="10"/>
      <c r="F773" s="8"/>
      <c r="G773" s="11"/>
      <c r="H773" s="10"/>
      <c r="I773" s="11"/>
      <c r="J773" s="10"/>
      <c r="K773" s="10"/>
      <c r="L773" s="10"/>
      <c r="M773" s="11"/>
      <c r="N773" s="8"/>
      <c r="O773" s="7" t="str">
        <f aca="false">IF(L773="","",IFERROR(VLOOKUP(L773,Paramètres!$F$5:$G$8,2,FALSE()),""))</f>
        <v/>
      </c>
      <c r="P773" s="9" t="str">
        <f aca="false">IF(OR(B773="",O773=""),"",IF(N773="",B773,N773)+O773)</f>
        <v/>
      </c>
      <c r="Q773" s="10"/>
      <c r="R773" s="8"/>
      <c r="S773" s="7" t="str">
        <f aca="false">IF(OR(B773="",R773=""),"",R773-B773)</f>
        <v/>
      </c>
      <c r="T773" s="7" t="str">
        <f aca="true">IF(OR(B773="",P773=""),"",IF(R773&lt;&gt;"",IF(R773&gt;P773,"Traité hors délai","Non"),IF(Q773="Classé sans suite","Non",IF(TODAY()&gt;P773,"OUI","Non"))))</f>
        <v/>
      </c>
      <c r="U773" s="11"/>
    </row>
    <row r="774" customFormat="false" ht="15" hidden="false" customHeight="false" outlineLevel="0" collapsed="false">
      <c r="A774" s="7" t="str">
        <f aca="false">IF(B774="","",YEAR(B774)&amp;"/"&amp;TEXT(ROW()-4,"0000"))</f>
        <v/>
      </c>
      <c r="B774" s="8"/>
      <c r="C774" s="7" t="str">
        <f aca="false">IF(B774="","",INT((B774-DATE(YEAR(B774-WEEKDAY(B774-1)+4),1,3)+WEEKDAY(DATE(YEAR(B774-WEEKDAY(B774-1)+4),1,3))+5)/7))</f>
        <v/>
      </c>
      <c r="D774" s="9" t="str">
        <f aca="false">IF(B774="","",B774-WEEKDAY(B774,2)+1)</f>
        <v/>
      </c>
      <c r="E774" s="10"/>
      <c r="F774" s="8"/>
      <c r="G774" s="11"/>
      <c r="H774" s="10"/>
      <c r="I774" s="11"/>
      <c r="J774" s="10"/>
      <c r="K774" s="10"/>
      <c r="L774" s="10"/>
      <c r="M774" s="11"/>
      <c r="N774" s="8"/>
      <c r="O774" s="7" t="str">
        <f aca="false">IF(L774="","",IFERROR(VLOOKUP(L774,Paramètres!$F$5:$G$8,2,FALSE()),""))</f>
        <v/>
      </c>
      <c r="P774" s="9" t="str">
        <f aca="false">IF(OR(B774="",O774=""),"",IF(N774="",B774,N774)+O774)</f>
        <v/>
      </c>
      <c r="Q774" s="10"/>
      <c r="R774" s="8"/>
      <c r="S774" s="7" t="str">
        <f aca="false">IF(OR(B774="",R774=""),"",R774-B774)</f>
        <v/>
      </c>
      <c r="T774" s="7" t="str">
        <f aca="true">IF(OR(B774="",P774=""),"",IF(R774&lt;&gt;"",IF(R774&gt;P774,"Traité hors délai","Non"),IF(Q774="Classé sans suite","Non",IF(TODAY()&gt;P774,"OUI","Non"))))</f>
        <v/>
      </c>
      <c r="U774" s="11"/>
    </row>
    <row r="775" customFormat="false" ht="15" hidden="false" customHeight="false" outlineLevel="0" collapsed="false">
      <c r="A775" s="7" t="str">
        <f aca="false">IF(B775="","",YEAR(B775)&amp;"/"&amp;TEXT(ROW()-4,"0000"))</f>
        <v/>
      </c>
      <c r="B775" s="8"/>
      <c r="C775" s="7" t="str">
        <f aca="false">IF(B775="","",INT((B775-DATE(YEAR(B775-WEEKDAY(B775-1)+4),1,3)+WEEKDAY(DATE(YEAR(B775-WEEKDAY(B775-1)+4),1,3))+5)/7))</f>
        <v/>
      </c>
      <c r="D775" s="9" t="str">
        <f aca="false">IF(B775="","",B775-WEEKDAY(B775,2)+1)</f>
        <v/>
      </c>
      <c r="E775" s="10"/>
      <c r="F775" s="8"/>
      <c r="G775" s="11"/>
      <c r="H775" s="10"/>
      <c r="I775" s="11"/>
      <c r="J775" s="10"/>
      <c r="K775" s="10"/>
      <c r="L775" s="10"/>
      <c r="M775" s="11"/>
      <c r="N775" s="8"/>
      <c r="O775" s="7" t="str">
        <f aca="false">IF(L775="","",IFERROR(VLOOKUP(L775,Paramètres!$F$5:$G$8,2,FALSE()),""))</f>
        <v/>
      </c>
      <c r="P775" s="9" t="str">
        <f aca="false">IF(OR(B775="",O775=""),"",IF(N775="",B775,N775)+O775)</f>
        <v/>
      </c>
      <c r="Q775" s="10"/>
      <c r="R775" s="8"/>
      <c r="S775" s="7" t="str">
        <f aca="false">IF(OR(B775="",R775=""),"",R775-B775)</f>
        <v/>
      </c>
      <c r="T775" s="7" t="str">
        <f aca="true">IF(OR(B775="",P775=""),"",IF(R775&lt;&gt;"",IF(R775&gt;P775,"Traité hors délai","Non"),IF(Q775="Classé sans suite","Non",IF(TODAY()&gt;P775,"OUI","Non"))))</f>
        <v/>
      </c>
      <c r="U775" s="11"/>
    </row>
    <row r="776" customFormat="false" ht="15" hidden="false" customHeight="false" outlineLevel="0" collapsed="false">
      <c r="A776" s="7" t="str">
        <f aca="false">IF(B776="","",YEAR(B776)&amp;"/"&amp;TEXT(ROW()-4,"0000"))</f>
        <v/>
      </c>
      <c r="B776" s="8"/>
      <c r="C776" s="7" t="str">
        <f aca="false">IF(B776="","",INT((B776-DATE(YEAR(B776-WEEKDAY(B776-1)+4),1,3)+WEEKDAY(DATE(YEAR(B776-WEEKDAY(B776-1)+4),1,3))+5)/7))</f>
        <v/>
      </c>
      <c r="D776" s="9" t="str">
        <f aca="false">IF(B776="","",B776-WEEKDAY(B776,2)+1)</f>
        <v/>
      </c>
      <c r="E776" s="10"/>
      <c r="F776" s="8"/>
      <c r="G776" s="11"/>
      <c r="H776" s="10"/>
      <c r="I776" s="11"/>
      <c r="J776" s="10"/>
      <c r="K776" s="10"/>
      <c r="L776" s="10"/>
      <c r="M776" s="11"/>
      <c r="N776" s="8"/>
      <c r="O776" s="7" t="str">
        <f aca="false">IF(L776="","",IFERROR(VLOOKUP(L776,Paramètres!$F$5:$G$8,2,FALSE()),""))</f>
        <v/>
      </c>
      <c r="P776" s="9" t="str">
        <f aca="false">IF(OR(B776="",O776=""),"",IF(N776="",B776,N776)+O776)</f>
        <v/>
      </c>
      <c r="Q776" s="10"/>
      <c r="R776" s="8"/>
      <c r="S776" s="7" t="str">
        <f aca="false">IF(OR(B776="",R776=""),"",R776-B776)</f>
        <v/>
      </c>
      <c r="T776" s="7" t="str">
        <f aca="true">IF(OR(B776="",P776=""),"",IF(R776&lt;&gt;"",IF(R776&gt;P776,"Traité hors délai","Non"),IF(Q776="Classé sans suite","Non",IF(TODAY()&gt;P776,"OUI","Non"))))</f>
        <v/>
      </c>
      <c r="U776" s="11"/>
    </row>
    <row r="777" customFormat="false" ht="15" hidden="false" customHeight="false" outlineLevel="0" collapsed="false">
      <c r="A777" s="7" t="str">
        <f aca="false">IF(B777="","",YEAR(B777)&amp;"/"&amp;TEXT(ROW()-4,"0000"))</f>
        <v/>
      </c>
      <c r="B777" s="8"/>
      <c r="C777" s="7" t="str">
        <f aca="false">IF(B777="","",INT((B777-DATE(YEAR(B777-WEEKDAY(B777-1)+4),1,3)+WEEKDAY(DATE(YEAR(B777-WEEKDAY(B777-1)+4),1,3))+5)/7))</f>
        <v/>
      </c>
      <c r="D777" s="9" t="str">
        <f aca="false">IF(B777="","",B777-WEEKDAY(B777,2)+1)</f>
        <v/>
      </c>
      <c r="E777" s="10"/>
      <c r="F777" s="8"/>
      <c r="G777" s="11"/>
      <c r="H777" s="10"/>
      <c r="I777" s="11"/>
      <c r="J777" s="10"/>
      <c r="K777" s="10"/>
      <c r="L777" s="10"/>
      <c r="M777" s="11"/>
      <c r="N777" s="8"/>
      <c r="O777" s="7" t="str">
        <f aca="false">IF(L777="","",IFERROR(VLOOKUP(L777,Paramètres!$F$5:$G$8,2,FALSE()),""))</f>
        <v/>
      </c>
      <c r="P777" s="9" t="str">
        <f aca="false">IF(OR(B777="",O777=""),"",IF(N777="",B777,N777)+O777)</f>
        <v/>
      </c>
      <c r="Q777" s="10"/>
      <c r="R777" s="8"/>
      <c r="S777" s="7" t="str">
        <f aca="false">IF(OR(B777="",R777=""),"",R777-B777)</f>
        <v/>
      </c>
      <c r="T777" s="7" t="str">
        <f aca="true">IF(OR(B777="",P777=""),"",IF(R777&lt;&gt;"",IF(R777&gt;P777,"Traité hors délai","Non"),IF(Q777="Classé sans suite","Non",IF(TODAY()&gt;P777,"OUI","Non"))))</f>
        <v/>
      </c>
      <c r="U777" s="11"/>
    </row>
    <row r="778" customFormat="false" ht="15" hidden="false" customHeight="false" outlineLevel="0" collapsed="false">
      <c r="A778" s="7" t="str">
        <f aca="false">IF(B778="","",YEAR(B778)&amp;"/"&amp;TEXT(ROW()-4,"0000"))</f>
        <v/>
      </c>
      <c r="B778" s="8"/>
      <c r="C778" s="7" t="str">
        <f aca="false">IF(B778="","",INT((B778-DATE(YEAR(B778-WEEKDAY(B778-1)+4),1,3)+WEEKDAY(DATE(YEAR(B778-WEEKDAY(B778-1)+4),1,3))+5)/7))</f>
        <v/>
      </c>
      <c r="D778" s="9" t="str">
        <f aca="false">IF(B778="","",B778-WEEKDAY(B778,2)+1)</f>
        <v/>
      </c>
      <c r="E778" s="10"/>
      <c r="F778" s="8"/>
      <c r="G778" s="11"/>
      <c r="H778" s="10"/>
      <c r="I778" s="11"/>
      <c r="J778" s="10"/>
      <c r="K778" s="10"/>
      <c r="L778" s="10"/>
      <c r="M778" s="11"/>
      <c r="N778" s="8"/>
      <c r="O778" s="7" t="str">
        <f aca="false">IF(L778="","",IFERROR(VLOOKUP(L778,Paramètres!$F$5:$G$8,2,FALSE()),""))</f>
        <v/>
      </c>
      <c r="P778" s="9" t="str">
        <f aca="false">IF(OR(B778="",O778=""),"",IF(N778="",B778,N778)+O778)</f>
        <v/>
      </c>
      <c r="Q778" s="10"/>
      <c r="R778" s="8"/>
      <c r="S778" s="7" t="str">
        <f aca="false">IF(OR(B778="",R778=""),"",R778-B778)</f>
        <v/>
      </c>
      <c r="T778" s="7" t="str">
        <f aca="true">IF(OR(B778="",P778=""),"",IF(R778&lt;&gt;"",IF(R778&gt;P778,"Traité hors délai","Non"),IF(Q778="Classé sans suite","Non",IF(TODAY()&gt;P778,"OUI","Non"))))</f>
        <v/>
      </c>
      <c r="U778" s="11"/>
    </row>
    <row r="779" customFormat="false" ht="15" hidden="false" customHeight="false" outlineLevel="0" collapsed="false">
      <c r="A779" s="7" t="str">
        <f aca="false">IF(B779="","",YEAR(B779)&amp;"/"&amp;TEXT(ROW()-4,"0000"))</f>
        <v/>
      </c>
      <c r="B779" s="8"/>
      <c r="C779" s="7" t="str">
        <f aca="false">IF(B779="","",INT((B779-DATE(YEAR(B779-WEEKDAY(B779-1)+4),1,3)+WEEKDAY(DATE(YEAR(B779-WEEKDAY(B779-1)+4),1,3))+5)/7))</f>
        <v/>
      </c>
      <c r="D779" s="9" t="str">
        <f aca="false">IF(B779="","",B779-WEEKDAY(B779,2)+1)</f>
        <v/>
      </c>
      <c r="E779" s="10"/>
      <c r="F779" s="8"/>
      <c r="G779" s="11"/>
      <c r="H779" s="10"/>
      <c r="I779" s="11"/>
      <c r="J779" s="10"/>
      <c r="K779" s="10"/>
      <c r="L779" s="10"/>
      <c r="M779" s="11"/>
      <c r="N779" s="8"/>
      <c r="O779" s="7" t="str">
        <f aca="false">IF(L779="","",IFERROR(VLOOKUP(L779,Paramètres!$F$5:$G$8,2,FALSE()),""))</f>
        <v/>
      </c>
      <c r="P779" s="9" t="str">
        <f aca="false">IF(OR(B779="",O779=""),"",IF(N779="",B779,N779)+O779)</f>
        <v/>
      </c>
      <c r="Q779" s="10"/>
      <c r="R779" s="8"/>
      <c r="S779" s="7" t="str">
        <f aca="false">IF(OR(B779="",R779=""),"",R779-B779)</f>
        <v/>
      </c>
      <c r="T779" s="7" t="str">
        <f aca="true">IF(OR(B779="",P779=""),"",IF(R779&lt;&gt;"",IF(R779&gt;P779,"Traité hors délai","Non"),IF(Q779="Classé sans suite","Non",IF(TODAY()&gt;P779,"OUI","Non"))))</f>
        <v/>
      </c>
      <c r="U779" s="11"/>
    </row>
    <row r="780" customFormat="false" ht="15" hidden="false" customHeight="false" outlineLevel="0" collapsed="false">
      <c r="A780" s="7" t="str">
        <f aca="false">IF(B780="","",YEAR(B780)&amp;"/"&amp;TEXT(ROW()-4,"0000"))</f>
        <v/>
      </c>
      <c r="B780" s="8"/>
      <c r="C780" s="7" t="str">
        <f aca="false">IF(B780="","",INT((B780-DATE(YEAR(B780-WEEKDAY(B780-1)+4),1,3)+WEEKDAY(DATE(YEAR(B780-WEEKDAY(B780-1)+4),1,3))+5)/7))</f>
        <v/>
      </c>
      <c r="D780" s="9" t="str">
        <f aca="false">IF(B780="","",B780-WEEKDAY(B780,2)+1)</f>
        <v/>
      </c>
      <c r="E780" s="10"/>
      <c r="F780" s="8"/>
      <c r="G780" s="11"/>
      <c r="H780" s="10"/>
      <c r="I780" s="11"/>
      <c r="J780" s="10"/>
      <c r="K780" s="10"/>
      <c r="L780" s="10"/>
      <c r="M780" s="11"/>
      <c r="N780" s="8"/>
      <c r="O780" s="7" t="str">
        <f aca="false">IF(L780="","",IFERROR(VLOOKUP(L780,Paramètres!$F$5:$G$8,2,FALSE()),""))</f>
        <v/>
      </c>
      <c r="P780" s="9" t="str">
        <f aca="false">IF(OR(B780="",O780=""),"",IF(N780="",B780,N780)+O780)</f>
        <v/>
      </c>
      <c r="Q780" s="10"/>
      <c r="R780" s="8"/>
      <c r="S780" s="7" t="str">
        <f aca="false">IF(OR(B780="",R780=""),"",R780-B780)</f>
        <v/>
      </c>
      <c r="T780" s="7" t="str">
        <f aca="true">IF(OR(B780="",P780=""),"",IF(R780&lt;&gt;"",IF(R780&gt;P780,"Traité hors délai","Non"),IF(Q780="Classé sans suite","Non",IF(TODAY()&gt;P780,"OUI","Non"))))</f>
        <v/>
      </c>
      <c r="U780" s="11"/>
    </row>
    <row r="781" customFormat="false" ht="15" hidden="false" customHeight="false" outlineLevel="0" collapsed="false">
      <c r="A781" s="7" t="str">
        <f aca="false">IF(B781="","",YEAR(B781)&amp;"/"&amp;TEXT(ROW()-4,"0000"))</f>
        <v/>
      </c>
      <c r="B781" s="8"/>
      <c r="C781" s="7" t="str">
        <f aca="false">IF(B781="","",INT((B781-DATE(YEAR(B781-WEEKDAY(B781-1)+4),1,3)+WEEKDAY(DATE(YEAR(B781-WEEKDAY(B781-1)+4),1,3))+5)/7))</f>
        <v/>
      </c>
      <c r="D781" s="9" t="str">
        <f aca="false">IF(B781="","",B781-WEEKDAY(B781,2)+1)</f>
        <v/>
      </c>
      <c r="E781" s="10"/>
      <c r="F781" s="8"/>
      <c r="G781" s="11"/>
      <c r="H781" s="10"/>
      <c r="I781" s="11"/>
      <c r="J781" s="10"/>
      <c r="K781" s="10"/>
      <c r="L781" s="10"/>
      <c r="M781" s="11"/>
      <c r="N781" s="8"/>
      <c r="O781" s="7" t="str">
        <f aca="false">IF(L781="","",IFERROR(VLOOKUP(L781,Paramètres!$F$5:$G$8,2,FALSE()),""))</f>
        <v/>
      </c>
      <c r="P781" s="9" t="str">
        <f aca="false">IF(OR(B781="",O781=""),"",IF(N781="",B781,N781)+O781)</f>
        <v/>
      </c>
      <c r="Q781" s="10"/>
      <c r="R781" s="8"/>
      <c r="S781" s="7" t="str">
        <f aca="false">IF(OR(B781="",R781=""),"",R781-B781)</f>
        <v/>
      </c>
      <c r="T781" s="7" t="str">
        <f aca="true">IF(OR(B781="",P781=""),"",IF(R781&lt;&gt;"",IF(R781&gt;P781,"Traité hors délai","Non"),IF(Q781="Classé sans suite","Non",IF(TODAY()&gt;P781,"OUI","Non"))))</f>
        <v/>
      </c>
      <c r="U781" s="11"/>
    </row>
    <row r="782" customFormat="false" ht="15" hidden="false" customHeight="false" outlineLevel="0" collapsed="false">
      <c r="A782" s="7" t="str">
        <f aca="false">IF(B782="","",YEAR(B782)&amp;"/"&amp;TEXT(ROW()-4,"0000"))</f>
        <v/>
      </c>
      <c r="B782" s="8"/>
      <c r="C782" s="7" t="str">
        <f aca="false">IF(B782="","",INT((B782-DATE(YEAR(B782-WEEKDAY(B782-1)+4),1,3)+WEEKDAY(DATE(YEAR(B782-WEEKDAY(B782-1)+4),1,3))+5)/7))</f>
        <v/>
      </c>
      <c r="D782" s="9" t="str">
        <f aca="false">IF(B782="","",B782-WEEKDAY(B782,2)+1)</f>
        <v/>
      </c>
      <c r="E782" s="10"/>
      <c r="F782" s="8"/>
      <c r="G782" s="11"/>
      <c r="H782" s="10"/>
      <c r="I782" s="11"/>
      <c r="J782" s="10"/>
      <c r="K782" s="10"/>
      <c r="L782" s="10"/>
      <c r="M782" s="11"/>
      <c r="N782" s="8"/>
      <c r="O782" s="7" t="str">
        <f aca="false">IF(L782="","",IFERROR(VLOOKUP(L782,Paramètres!$F$5:$G$8,2,FALSE()),""))</f>
        <v/>
      </c>
      <c r="P782" s="9" t="str">
        <f aca="false">IF(OR(B782="",O782=""),"",IF(N782="",B782,N782)+O782)</f>
        <v/>
      </c>
      <c r="Q782" s="10"/>
      <c r="R782" s="8"/>
      <c r="S782" s="7" t="str">
        <f aca="false">IF(OR(B782="",R782=""),"",R782-B782)</f>
        <v/>
      </c>
      <c r="T782" s="7" t="str">
        <f aca="true">IF(OR(B782="",P782=""),"",IF(R782&lt;&gt;"",IF(R782&gt;P782,"Traité hors délai","Non"),IF(Q782="Classé sans suite","Non",IF(TODAY()&gt;P782,"OUI","Non"))))</f>
        <v/>
      </c>
      <c r="U782" s="11"/>
    </row>
    <row r="783" customFormat="false" ht="15" hidden="false" customHeight="false" outlineLevel="0" collapsed="false">
      <c r="A783" s="7" t="str">
        <f aca="false">IF(B783="","",YEAR(B783)&amp;"/"&amp;TEXT(ROW()-4,"0000"))</f>
        <v/>
      </c>
      <c r="B783" s="8"/>
      <c r="C783" s="7" t="str">
        <f aca="false">IF(B783="","",INT((B783-DATE(YEAR(B783-WEEKDAY(B783-1)+4),1,3)+WEEKDAY(DATE(YEAR(B783-WEEKDAY(B783-1)+4),1,3))+5)/7))</f>
        <v/>
      </c>
      <c r="D783" s="9" t="str">
        <f aca="false">IF(B783="","",B783-WEEKDAY(B783,2)+1)</f>
        <v/>
      </c>
      <c r="E783" s="10"/>
      <c r="F783" s="8"/>
      <c r="G783" s="11"/>
      <c r="H783" s="10"/>
      <c r="I783" s="11"/>
      <c r="J783" s="10"/>
      <c r="K783" s="10"/>
      <c r="L783" s="10"/>
      <c r="M783" s="11"/>
      <c r="N783" s="8"/>
      <c r="O783" s="7" t="str">
        <f aca="false">IF(L783="","",IFERROR(VLOOKUP(L783,Paramètres!$F$5:$G$8,2,FALSE()),""))</f>
        <v/>
      </c>
      <c r="P783" s="9" t="str">
        <f aca="false">IF(OR(B783="",O783=""),"",IF(N783="",B783,N783)+O783)</f>
        <v/>
      </c>
      <c r="Q783" s="10"/>
      <c r="R783" s="8"/>
      <c r="S783" s="7" t="str">
        <f aca="false">IF(OR(B783="",R783=""),"",R783-B783)</f>
        <v/>
      </c>
      <c r="T783" s="7" t="str">
        <f aca="true">IF(OR(B783="",P783=""),"",IF(R783&lt;&gt;"",IF(R783&gt;P783,"Traité hors délai","Non"),IF(Q783="Classé sans suite","Non",IF(TODAY()&gt;P783,"OUI","Non"))))</f>
        <v/>
      </c>
      <c r="U783" s="11"/>
    </row>
    <row r="784" customFormat="false" ht="15" hidden="false" customHeight="false" outlineLevel="0" collapsed="false">
      <c r="A784" s="7" t="str">
        <f aca="false">IF(B784="","",YEAR(B784)&amp;"/"&amp;TEXT(ROW()-4,"0000"))</f>
        <v/>
      </c>
      <c r="B784" s="8"/>
      <c r="C784" s="7" t="str">
        <f aca="false">IF(B784="","",INT((B784-DATE(YEAR(B784-WEEKDAY(B784-1)+4),1,3)+WEEKDAY(DATE(YEAR(B784-WEEKDAY(B784-1)+4),1,3))+5)/7))</f>
        <v/>
      </c>
      <c r="D784" s="9" t="str">
        <f aca="false">IF(B784="","",B784-WEEKDAY(B784,2)+1)</f>
        <v/>
      </c>
      <c r="E784" s="10"/>
      <c r="F784" s="8"/>
      <c r="G784" s="11"/>
      <c r="H784" s="10"/>
      <c r="I784" s="11"/>
      <c r="J784" s="10"/>
      <c r="K784" s="10"/>
      <c r="L784" s="10"/>
      <c r="M784" s="11"/>
      <c r="N784" s="8"/>
      <c r="O784" s="7" t="str">
        <f aca="false">IF(L784="","",IFERROR(VLOOKUP(L784,Paramètres!$F$5:$G$8,2,FALSE()),""))</f>
        <v/>
      </c>
      <c r="P784" s="9" t="str">
        <f aca="false">IF(OR(B784="",O784=""),"",IF(N784="",B784,N784)+O784)</f>
        <v/>
      </c>
      <c r="Q784" s="10"/>
      <c r="R784" s="8"/>
      <c r="S784" s="7" t="str">
        <f aca="false">IF(OR(B784="",R784=""),"",R784-B784)</f>
        <v/>
      </c>
      <c r="T784" s="7" t="str">
        <f aca="true">IF(OR(B784="",P784=""),"",IF(R784&lt;&gt;"",IF(R784&gt;P784,"Traité hors délai","Non"),IF(Q784="Classé sans suite","Non",IF(TODAY()&gt;P784,"OUI","Non"))))</f>
        <v/>
      </c>
      <c r="U784" s="11"/>
    </row>
    <row r="785" customFormat="false" ht="15" hidden="false" customHeight="false" outlineLevel="0" collapsed="false">
      <c r="A785" s="7" t="str">
        <f aca="false">IF(B785="","",YEAR(B785)&amp;"/"&amp;TEXT(ROW()-4,"0000"))</f>
        <v/>
      </c>
      <c r="B785" s="8"/>
      <c r="C785" s="7" t="str">
        <f aca="false">IF(B785="","",INT((B785-DATE(YEAR(B785-WEEKDAY(B785-1)+4),1,3)+WEEKDAY(DATE(YEAR(B785-WEEKDAY(B785-1)+4),1,3))+5)/7))</f>
        <v/>
      </c>
      <c r="D785" s="9" t="str">
        <f aca="false">IF(B785="","",B785-WEEKDAY(B785,2)+1)</f>
        <v/>
      </c>
      <c r="E785" s="10"/>
      <c r="F785" s="8"/>
      <c r="G785" s="11"/>
      <c r="H785" s="10"/>
      <c r="I785" s="11"/>
      <c r="J785" s="10"/>
      <c r="K785" s="10"/>
      <c r="L785" s="10"/>
      <c r="M785" s="11"/>
      <c r="N785" s="8"/>
      <c r="O785" s="7" t="str">
        <f aca="false">IF(L785="","",IFERROR(VLOOKUP(L785,Paramètres!$F$5:$G$8,2,FALSE()),""))</f>
        <v/>
      </c>
      <c r="P785" s="9" t="str">
        <f aca="false">IF(OR(B785="",O785=""),"",IF(N785="",B785,N785)+O785)</f>
        <v/>
      </c>
      <c r="Q785" s="10"/>
      <c r="R785" s="8"/>
      <c r="S785" s="7" t="str">
        <f aca="false">IF(OR(B785="",R785=""),"",R785-B785)</f>
        <v/>
      </c>
      <c r="T785" s="7" t="str">
        <f aca="true">IF(OR(B785="",P785=""),"",IF(R785&lt;&gt;"",IF(R785&gt;P785,"Traité hors délai","Non"),IF(Q785="Classé sans suite","Non",IF(TODAY()&gt;P785,"OUI","Non"))))</f>
        <v/>
      </c>
      <c r="U785" s="11"/>
    </row>
    <row r="786" customFormat="false" ht="15" hidden="false" customHeight="false" outlineLevel="0" collapsed="false">
      <c r="A786" s="7" t="str">
        <f aca="false">IF(B786="","",YEAR(B786)&amp;"/"&amp;TEXT(ROW()-4,"0000"))</f>
        <v/>
      </c>
      <c r="B786" s="8"/>
      <c r="C786" s="7" t="str">
        <f aca="false">IF(B786="","",INT((B786-DATE(YEAR(B786-WEEKDAY(B786-1)+4),1,3)+WEEKDAY(DATE(YEAR(B786-WEEKDAY(B786-1)+4),1,3))+5)/7))</f>
        <v/>
      </c>
      <c r="D786" s="9" t="str">
        <f aca="false">IF(B786="","",B786-WEEKDAY(B786,2)+1)</f>
        <v/>
      </c>
      <c r="E786" s="10"/>
      <c r="F786" s="8"/>
      <c r="G786" s="11"/>
      <c r="H786" s="10"/>
      <c r="I786" s="11"/>
      <c r="J786" s="10"/>
      <c r="K786" s="10"/>
      <c r="L786" s="10"/>
      <c r="M786" s="11"/>
      <c r="N786" s="8"/>
      <c r="O786" s="7" t="str">
        <f aca="false">IF(L786="","",IFERROR(VLOOKUP(L786,Paramètres!$F$5:$G$8,2,FALSE()),""))</f>
        <v/>
      </c>
      <c r="P786" s="9" t="str">
        <f aca="false">IF(OR(B786="",O786=""),"",IF(N786="",B786,N786)+O786)</f>
        <v/>
      </c>
      <c r="Q786" s="10"/>
      <c r="R786" s="8"/>
      <c r="S786" s="7" t="str">
        <f aca="false">IF(OR(B786="",R786=""),"",R786-B786)</f>
        <v/>
      </c>
      <c r="T786" s="7" t="str">
        <f aca="true">IF(OR(B786="",P786=""),"",IF(R786&lt;&gt;"",IF(R786&gt;P786,"Traité hors délai","Non"),IF(Q786="Classé sans suite","Non",IF(TODAY()&gt;P786,"OUI","Non"))))</f>
        <v/>
      </c>
      <c r="U786" s="11"/>
    </row>
    <row r="787" customFormat="false" ht="15" hidden="false" customHeight="false" outlineLevel="0" collapsed="false">
      <c r="A787" s="7" t="str">
        <f aca="false">IF(B787="","",YEAR(B787)&amp;"/"&amp;TEXT(ROW()-4,"0000"))</f>
        <v/>
      </c>
      <c r="B787" s="8"/>
      <c r="C787" s="7" t="str">
        <f aca="false">IF(B787="","",INT((B787-DATE(YEAR(B787-WEEKDAY(B787-1)+4),1,3)+WEEKDAY(DATE(YEAR(B787-WEEKDAY(B787-1)+4),1,3))+5)/7))</f>
        <v/>
      </c>
      <c r="D787" s="9" t="str">
        <f aca="false">IF(B787="","",B787-WEEKDAY(B787,2)+1)</f>
        <v/>
      </c>
      <c r="E787" s="10"/>
      <c r="F787" s="8"/>
      <c r="G787" s="11"/>
      <c r="H787" s="10"/>
      <c r="I787" s="11"/>
      <c r="J787" s="10"/>
      <c r="K787" s="10"/>
      <c r="L787" s="10"/>
      <c r="M787" s="11"/>
      <c r="N787" s="8"/>
      <c r="O787" s="7" t="str">
        <f aca="false">IF(L787="","",IFERROR(VLOOKUP(L787,Paramètres!$F$5:$G$8,2,FALSE()),""))</f>
        <v/>
      </c>
      <c r="P787" s="9" t="str">
        <f aca="false">IF(OR(B787="",O787=""),"",IF(N787="",B787,N787)+O787)</f>
        <v/>
      </c>
      <c r="Q787" s="10"/>
      <c r="R787" s="8"/>
      <c r="S787" s="7" t="str">
        <f aca="false">IF(OR(B787="",R787=""),"",R787-B787)</f>
        <v/>
      </c>
      <c r="T787" s="7" t="str">
        <f aca="true">IF(OR(B787="",P787=""),"",IF(R787&lt;&gt;"",IF(R787&gt;P787,"Traité hors délai","Non"),IF(Q787="Classé sans suite","Non",IF(TODAY()&gt;P787,"OUI","Non"))))</f>
        <v/>
      </c>
      <c r="U787" s="11"/>
    </row>
    <row r="788" customFormat="false" ht="15" hidden="false" customHeight="false" outlineLevel="0" collapsed="false">
      <c r="A788" s="7" t="str">
        <f aca="false">IF(B788="","",YEAR(B788)&amp;"/"&amp;TEXT(ROW()-4,"0000"))</f>
        <v/>
      </c>
      <c r="B788" s="8"/>
      <c r="C788" s="7" t="str">
        <f aca="false">IF(B788="","",INT((B788-DATE(YEAR(B788-WEEKDAY(B788-1)+4),1,3)+WEEKDAY(DATE(YEAR(B788-WEEKDAY(B788-1)+4),1,3))+5)/7))</f>
        <v/>
      </c>
      <c r="D788" s="9" t="str">
        <f aca="false">IF(B788="","",B788-WEEKDAY(B788,2)+1)</f>
        <v/>
      </c>
      <c r="E788" s="10"/>
      <c r="F788" s="8"/>
      <c r="G788" s="11"/>
      <c r="H788" s="10"/>
      <c r="I788" s="11"/>
      <c r="J788" s="10"/>
      <c r="K788" s="10"/>
      <c r="L788" s="10"/>
      <c r="M788" s="11"/>
      <c r="N788" s="8"/>
      <c r="O788" s="7" t="str">
        <f aca="false">IF(L788="","",IFERROR(VLOOKUP(L788,Paramètres!$F$5:$G$8,2,FALSE()),""))</f>
        <v/>
      </c>
      <c r="P788" s="9" t="str">
        <f aca="false">IF(OR(B788="",O788=""),"",IF(N788="",B788,N788)+O788)</f>
        <v/>
      </c>
      <c r="Q788" s="10"/>
      <c r="R788" s="8"/>
      <c r="S788" s="7" t="str">
        <f aca="false">IF(OR(B788="",R788=""),"",R788-B788)</f>
        <v/>
      </c>
      <c r="T788" s="7" t="str">
        <f aca="true">IF(OR(B788="",P788=""),"",IF(R788&lt;&gt;"",IF(R788&gt;P788,"Traité hors délai","Non"),IF(Q788="Classé sans suite","Non",IF(TODAY()&gt;P788,"OUI","Non"))))</f>
        <v/>
      </c>
      <c r="U788" s="11"/>
    </row>
    <row r="789" customFormat="false" ht="15" hidden="false" customHeight="false" outlineLevel="0" collapsed="false">
      <c r="A789" s="7" t="str">
        <f aca="false">IF(B789="","",YEAR(B789)&amp;"/"&amp;TEXT(ROW()-4,"0000"))</f>
        <v/>
      </c>
      <c r="B789" s="8"/>
      <c r="C789" s="7" t="str">
        <f aca="false">IF(B789="","",INT((B789-DATE(YEAR(B789-WEEKDAY(B789-1)+4),1,3)+WEEKDAY(DATE(YEAR(B789-WEEKDAY(B789-1)+4),1,3))+5)/7))</f>
        <v/>
      </c>
      <c r="D789" s="9" t="str">
        <f aca="false">IF(B789="","",B789-WEEKDAY(B789,2)+1)</f>
        <v/>
      </c>
      <c r="E789" s="10"/>
      <c r="F789" s="8"/>
      <c r="G789" s="11"/>
      <c r="H789" s="10"/>
      <c r="I789" s="11"/>
      <c r="J789" s="10"/>
      <c r="K789" s="10"/>
      <c r="L789" s="10"/>
      <c r="M789" s="11"/>
      <c r="N789" s="8"/>
      <c r="O789" s="7" t="str">
        <f aca="false">IF(L789="","",IFERROR(VLOOKUP(L789,Paramètres!$F$5:$G$8,2,FALSE()),""))</f>
        <v/>
      </c>
      <c r="P789" s="9" t="str">
        <f aca="false">IF(OR(B789="",O789=""),"",IF(N789="",B789,N789)+O789)</f>
        <v/>
      </c>
      <c r="Q789" s="10"/>
      <c r="R789" s="8"/>
      <c r="S789" s="7" t="str">
        <f aca="false">IF(OR(B789="",R789=""),"",R789-B789)</f>
        <v/>
      </c>
      <c r="T789" s="7" t="str">
        <f aca="true">IF(OR(B789="",P789=""),"",IF(R789&lt;&gt;"",IF(R789&gt;P789,"Traité hors délai","Non"),IF(Q789="Classé sans suite","Non",IF(TODAY()&gt;P789,"OUI","Non"))))</f>
        <v/>
      </c>
      <c r="U789" s="11"/>
    </row>
    <row r="790" customFormat="false" ht="15" hidden="false" customHeight="false" outlineLevel="0" collapsed="false">
      <c r="A790" s="7" t="str">
        <f aca="false">IF(B790="","",YEAR(B790)&amp;"/"&amp;TEXT(ROW()-4,"0000"))</f>
        <v/>
      </c>
      <c r="B790" s="8"/>
      <c r="C790" s="7" t="str">
        <f aca="false">IF(B790="","",INT((B790-DATE(YEAR(B790-WEEKDAY(B790-1)+4),1,3)+WEEKDAY(DATE(YEAR(B790-WEEKDAY(B790-1)+4),1,3))+5)/7))</f>
        <v/>
      </c>
      <c r="D790" s="9" t="str">
        <f aca="false">IF(B790="","",B790-WEEKDAY(B790,2)+1)</f>
        <v/>
      </c>
      <c r="E790" s="10"/>
      <c r="F790" s="8"/>
      <c r="G790" s="11"/>
      <c r="H790" s="10"/>
      <c r="I790" s="11"/>
      <c r="J790" s="10"/>
      <c r="K790" s="10"/>
      <c r="L790" s="10"/>
      <c r="M790" s="11"/>
      <c r="N790" s="8"/>
      <c r="O790" s="7" t="str">
        <f aca="false">IF(L790="","",IFERROR(VLOOKUP(L790,Paramètres!$F$5:$G$8,2,FALSE()),""))</f>
        <v/>
      </c>
      <c r="P790" s="9" t="str">
        <f aca="false">IF(OR(B790="",O790=""),"",IF(N790="",B790,N790)+O790)</f>
        <v/>
      </c>
      <c r="Q790" s="10"/>
      <c r="R790" s="8"/>
      <c r="S790" s="7" t="str">
        <f aca="false">IF(OR(B790="",R790=""),"",R790-B790)</f>
        <v/>
      </c>
      <c r="T790" s="7" t="str">
        <f aca="true">IF(OR(B790="",P790=""),"",IF(R790&lt;&gt;"",IF(R790&gt;P790,"Traité hors délai","Non"),IF(Q790="Classé sans suite","Non",IF(TODAY()&gt;P790,"OUI","Non"))))</f>
        <v/>
      </c>
      <c r="U790" s="11"/>
    </row>
    <row r="791" customFormat="false" ht="15" hidden="false" customHeight="false" outlineLevel="0" collapsed="false">
      <c r="A791" s="7" t="str">
        <f aca="false">IF(B791="","",YEAR(B791)&amp;"/"&amp;TEXT(ROW()-4,"0000"))</f>
        <v/>
      </c>
      <c r="B791" s="8"/>
      <c r="C791" s="7" t="str">
        <f aca="false">IF(B791="","",INT((B791-DATE(YEAR(B791-WEEKDAY(B791-1)+4),1,3)+WEEKDAY(DATE(YEAR(B791-WEEKDAY(B791-1)+4),1,3))+5)/7))</f>
        <v/>
      </c>
      <c r="D791" s="9" t="str">
        <f aca="false">IF(B791="","",B791-WEEKDAY(B791,2)+1)</f>
        <v/>
      </c>
      <c r="E791" s="10"/>
      <c r="F791" s="8"/>
      <c r="G791" s="11"/>
      <c r="H791" s="10"/>
      <c r="I791" s="11"/>
      <c r="J791" s="10"/>
      <c r="K791" s="10"/>
      <c r="L791" s="10"/>
      <c r="M791" s="11"/>
      <c r="N791" s="8"/>
      <c r="O791" s="7" t="str">
        <f aca="false">IF(L791="","",IFERROR(VLOOKUP(L791,Paramètres!$F$5:$G$8,2,FALSE()),""))</f>
        <v/>
      </c>
      <c r="P791" s="9" t="str">
        <f aca="false">IF(OR(B791="",O791=""),"",IF(N791="",B791,N791)+O791)</f>
        <v/>
      </c>
      <c r="Q791" s="10"/>
      <c r="R791" s="8"/>
      <c r="S791" s="7" t="str">
        <f aca="false">IF(OR(B791="",R791=""),"",R791-B791)</f>
        <v/>
      </c>
      <c r="T791" s="7" t="str">
        <f aca="true">IF(OR(B791="",P791=""),"",IF(R791&lt;&gt;"",IF(R791&gt;P791,"Traité hors délai","Non"),IF(Q791="Classé sans suite","Non",IF(TODAY()&gt;P791,"OUI","Non"))))</f>
        <v/>
      </c>
      <c r="U791" s="11"/>
    </row>
    <row r="792" customFormat="false" ht="15" hidden="false" customHeight="false" outlineLevel="0" collapsed="false">
      <c r="A792" s="7" t="str">
        <f aca="false">IF(B792="","",YEAR(B792)&amp;"/"&amp;TEXT(ROW()-4,"0000"))</f>
        <v/>
      </c>
      <c r="B792" s="8"/>
      <c r="C792" s="7" t="str">
        <f aca="false">IF(B792="","",INT((B792-DATE(YEAR(B792-WEEKDAY(B792-1)+4),1,3)+WEEKDAY(DATE(YEAR(B792-WEEKDAY(B792-1)+4),1,3))+5)/7))</f>
        <v/>
      </c>
      <c r="D792" s="9" t="str">
        <f aca="false">IF(B792="","",B792-WEEKDAY(B792,2)+1)</f>
        <v/>
      </c>
      <c r="E792" s="10"/>
      <c r="F792" s="8"/>
      <c r="G792" s="11"/>
      <c r="H792" s="10"/>
      <c r="I792" s="11"/>
      <c r="J792" s="10"/>
      <c r="K792" s="10"/>
      <c r="L792" s="10"/>
      <c r="M792" s="11"/>
      <c r="N792" s="8"/>
      <c r="O792" s="7" t="str">
        <f aca="false">IF(L792="","",IFERROR(VLOOKUP(L792,Paramètres!$F$5:$G$8,2,FALSE()),""))</f>
        <v/>
      </c>
      <c r="P792" s="9" t="str">
        <f aca="false">IF(OR(B792="",O792=""),"",IF(N792="",B792,N792)+O792)</f>
        <v/>
      </c>
      <c r="Q792" s="10"/>
      <c r="R792" s="8"/>
      <c r="S792" s="7" t="str">
        <f aca="false">IF(OR(B792="",R792=""),"",R792-B792)</f>
        <v/>
      </c>
      <c r="T792" s="7" t="str">
        <f aca="true">IF(OR(B792="",P792=""),"",IF(R792&lt;&gt;"",IF(R792&gt;P792,"Traité hors délai","Non"),IF(Q792="Classé sans suite","Non",IF(TODAY()&gt;P792,"OUI","Non"))))</f>
        <v/>
      </c>
      <c r="U792" s="11"/>
    </row>
    <row r="793" customFormat="false" ht="15" hidden="false" customHeight="false" outlineLevel="0" collapsed="false">
      <c r="A793" s="7" t="str">
        <f aca="false">IF(B793="","",YEAR(B793)&amp;"/"&amp;TEXT(ROW()-4,"0000"))</f>
        <v/>
      </c>
      <c r="B793" s="8"/>
      <c r="C793" s="7" t="str">
        <f aca="false">IF(B793="","",INT((B793-DATE(YEAR(B793-WEEKDAY(B793-1)+4),1,3)+WEEKDAY(DATE(YEAR(B793-WEEKDAY(B793-1)+4),1,3))+5)/7))</f>
        <v/>
      </c>
      <c r="D793" s="9" t="str">
        <f aca="false">IF(B793="","",B793-WEEKDAY(B793,2)+1)</f>
        <v/>
      </c>
      <c r="E793" s="10"/>
      <c r="F793" s="8"/>
      <c r="G793" s="11"/>
      <c r="H793" s="10"/>
      <c r="I793" s="11"/>
      <c r="J793" s="10"/>
      <c r="K793" s="10"/>
      <c r="L793" s="10"/>
      <c r="M793" s="11"/>
      <c r="N793" s="8"/>
      <c r="O793" s="7" t="str">
        <f aca="false">IF(L793="","",IFERROR(VLOOKUP(L793,Paramètres!$F$5:$G$8,2,FALSE()),""))</f>
        <v/>
      </c>
      <c r="P793" s="9" t="str">
        <f aca="false">IF(OR(B793="",O793=""),"",IF(N793="",B793,N793)+O793)</f>
        <v/>
      </c>
      <c r="Q793" s="10"/>
      <c r="R793" s="8"/>
      <c r="S793" s="7" t="str">
        <f aca="false">IF(OR(B793="",R793=""),"",R793-B793)</f>
        <v/>
      </c>
      <c r="T793" s="7" t="str">
        <f aca="true">IF(OR(B793="",P793=""),"",IF(R793&lt;&gt;"",IF(R793&gt;P793,"Traité hors délai","Non"),IF(Q793="Classé sans suite","Non",IF(TODAY()&gt;P793,"OUI","Non"))))</f>
        <v/>
      </c>
      <c r="U793" s="11"/>
    </row>
    <row r="794" customFormat="false" ht="15" hidden="false" customHeight="false" outlineLevel="0" collapsed="false">
      <c r="A794" s="7" t="str">
        <f aca="false">IF(B794="","",YEAR(B794)&amp;"/"&amp;TEXT(ROW()-4,"0000"))</f>
        <v/>
      </c>
      <c r="B794" s="8"/>
      <c r="C794" s="7" t="str">
        <f aca="false">IF(B794="","",INT((B794-DATE(YEAR(B794-WEEKDAY(B794-1)+4),1,3)+WEEKDAY(DATE(YEAR(B794-WEEKDAY(B794-1)+4),1,3))+5)/7))</f>
        <v/>
      </c>
      <c r="D794" s="9" t="str">
        <f aca="false">IF(B794="","",B794-WEEKDAY(B794,2)+1)</f>
        <v/>
      </c>
      <c r="E794" s="10"/>
      <c r="F794" s="8"/>
      <c r="G794" s="11"/>
      <c r="H794" s="10"/>
      <c r="I794" s="11"/>
      <c r="J794" s="10"/>
      <c r="K794" s="10"/>
      <c r="L794" s="10"/>
      <c r="M794" s="11"/>
      <c r="N794" s="8"/>
      <c r="O794" s="7" t="str">
        <f aca="false">IF(L794="","",IFERROR(VLOOKUP(L794,Paramètres!$F$5:$G$8,2,FALSE()),""))</f>
        <v/>
      </c>
      <c r="P794" s="9" t="str">
        <f aca="false">IF(OR(B794="",O794=""),"",IF(N794="",B794,N794)+O794)</f>
        <v/>
      </c>
      <c r="Q794" s="10"/>
      <c r="R794" s="8"/>
      <c r="S794" s="7" t="str">
        <f aca="false">IF(OR(B794="",R794=""),"",R794-B794)</f>
        <v/>
      </c>
      <c r="T794" s="7" t="str">
        <f aca="true">IF(OR(B794="",P794=""),"",IF(R794&lt;&gt;"",IF(R794&gt;P794,"Traité hors délai","Non"),IF(Q794="Classé sans suite","Non",IF(TODAY()&gt;P794,"OUI","Non"))))</f>
        <v/>
      </c>
      <c r="U794" s="11"/>
    </row>
    <row r="795" customFormat="false" ht="15" hidden="false" customHeight="false" outlineLevel="0" collapsed="false">
      <c r="A795" s="7" t="str">
        <f aca="false">IF(B795="","",YEAR(B795)&amp;"/"&amp;TEXT(ROW()-4,"0000"))</f>
        <v/>
      </c>
      <c r="B795" s="8"/>
      <c r="C795" s="7" t="str">
        <f aca="false">IF(B795="","",INT((B795-DATE(YEAR(B795-WEEKDAY(B795-1)+4),1,3)+WEEKDAY(DATE(YEAR(B795-WEEKDAY(B795-1)+4),1,3))+5)/7))</f>
        <v/>
      </c>
      <c r="D795" s="9" t="str">
        <f aca="false">IF(B795="","",B795-WEEKDAY(B795,2)+1)</f>
        <v/>
      </c>
      <c r="E795" s="10"/>
      <c r="F795" s="8"/>
      <c r="G795" s="11"/>
      <c r="H795" s="10"/>
      <c r="I795" s="11"/>
      <c r="J795" s="10"/>
      <c r="K795" s="10"/>
      <c r="L795" s="10"/>
      <c r="M795" s="11"/>
      <c r="N795" s="8"/>
      <c r="O795" s="7" t="str">
        <f aca="false">IF(L795="","",IFERROR(VLOOKUP(L795,Paramètres!$F$5:$G$8,2,FALSE()),""))</f>
        <v/>
      </c>
      <c r="P795" s="9" t="str">
        <f aca="false">IF(OR(B795="",O795=""),"",IF(N795="",B795,N795)+O795)</f>
        <v/>
      </c>
      <c r="Q795" s="10"/>
      <c r="R795" s="8"/>
      <c r="S795" s="7" t="str">
        <f aca="false">IF(OR(B795="",R795=""),"",R795-B795)</f>
        <v/>
      </c>
      <c r="T795" s="7" t="str">
        <f aca="true">IF(OR(B795="",P795=""),"",IF(R795&lt;&gt;"",IF(R795&gt;P795,"Traité hors délai","Non"),IF(Q795="Classé sans suite","Non",IF(TODAY()&gt;P795,"OUI","Non"))))</f>
        <v/>
      </c>
      <c r="U795" s="11"/>
    </row>
    <row r="796" customFormat="false" ht="15" hidden="false" customHeight="false" outlineLevel="0" collapsed="false">
      <c r="A796" s="7" t="str">
        <f aca="false">IF(B796="","",YEAR(B796)&amp;"/"&amp;TEXT(ROW()-4,"0000"))</f>
        <v/>
      </c>
      <c r="B796" s="8"/>
      <c r="C796" s="7" t="str">
        <f aca="false">IF(B796="","",INT((B796-DATE(YEAR(B796-WEEKDAY(B796-1)+4),1,3)+WEEKDAY(DATE(YEAR(B796-WEEKDAY(B796-1)+4),1,3))+5)/7))</f>
        <v/>
      </c>
      <c r="D796" s="9" t="str">
        <f aca="false">IF(B796="","",B796-WEEKDAY(B796,2)+1)</f>
        <v/>
      </c>
      <c r="E796" s="10"/>
      <c r="F796" s="8"/>
      <c r="G796" s="11"/>
      <c r="H796" s="10"/>
      <c r="I796" s="11"/>
      <c r="J796" s="10"/>
      <c r="K796" s="10"/>
      <c r="L796" s="10"/>
      <c r="M796" s="11"/>
      <c r="N796" s="8"/>
      <c r="O796" s="7" t="str">
        <f aca="false">IF(L796="","",IFERROR(VLOOKUP(L796,Paramètres!$F$5:$G$8,2,FALSE()),""))</f>
        <v/>
      </c>
      <c r="P796" s="9" t="str">
        <f aca="false">IF(OR(B796="",O796=""),"",IF(N796="",B796,N796)+O796)</f>
        <v/>
      </c>
      <c r="Q796" s="10"/>
      <c r="R796" s="8"/>
      <c r="S796" s="7" t="str">
        <f aca="false">IF(OR(B796="",R796=""),"",R796-B796)</f>
        <v/>
      </c>
      <c r="T796" s="7" t="str">
        <f aca="true">IF(OR(B796="",P796=""),"",IF(R796&lt;&gt;"",IF(R796&gt;P796,"Traité hors délai","Non"),IF(Q796="Classé sans suite","Non",IF(TODAY()&gt;P796,"OUI","Non"))))</f>
        <v/>
      </c>
      <c r="U796" s="11"/>
    </row>
    <row r="797" customFormat="false" ht="15" hidden="false" customHeight="false" outlineLevel="0" collapsed="false">
      <c r="A797" s="7" t="str">
        <f aca="false">IF(B797="","",YEAR(B797)&amp;"/"&amp;TEXT(ROW()-4,"0000"))</f>
        <v/>
      </c>
      <c r="B797" s="8"/>
      <c r="C797" s="7" t="str">
        <f aca="false">IF(B797="","",INT((B797-DATE(YEAR(B797-WEEKDAY(B797-1)+4),1,3)+WEEKDAY(DATE(YEAR(B797-WEEKDAY(B797-1)+4),1,3))+5)/7))</f>
        <v/>
      </c>
      <c r="D797" s="9" t="str">
        <f aca="false">IF(B797="","",B797-WEEKDAY(B797,2)+1)</f>
        <v/>
      </c>
      <c r="E797" s="10"/>
      <c r="F797" s="8"/>
      <c r="G797" s="11"/>
      <c r="H797" s="10"/>
      <c r="I797" s="11"/>
      <c r="J797" s="10"/>
      <c r="K797" s="10"/>
      <c r="L797" s="10"/>
      <c r="M797" s="11"/>
      <c r="N797" s="8"/>
      <c r="O797" s="7" t="str">
        <f aca="false">IF(L797="","",IFERROR(VLOOKUP(L797,Paramètres!$F$5:$G$8,2,FALSE()),""))</f>
        <v/>
      </c>
      <c r="P797" s="9" t="str">
        <f aca="false">IF(OR(B797="",O797=""),"",IF(N797="",B797,N797)+O797)</f>
        <v/>
      </c>
      <c r="Q797" s="10"/>
      <c r="R797" s="8"/>
      <c r="S797" s="7" t="str">
        <f aca="false">IF(OR(B797="",R797=""),"",R797-B797)</f>
        <v/>
      </c>
      <c r="T797" s="7" t="str">
        <f aca="true">IF(OR(B797="",P797=""),"",IF(R797&lt;&gt;"",IF(R797&gt;P797,"Traité hors délai","Non"),IF(Q797="Classé sans suite","Non",IF(TODAY()&gt;P797,"OUI","Non"))))</f>
        <v/>
      </c>
      <c r="U797" s="11"/>
    </row>
    <row r="798" customFormat="false" ht="15" hidden="false" customHeight="false" outlineLevel="0" collapsed="false">
      <c r="A798" s="7" t="str">
        <f aca="false">IF(B798="","",YEAR(B798)&amp;"/"&amp;TEXT(ROW()-4,"0000"))</f>
        <v/>
      </c>
      <c r="B798" s="8"/>
      <c r="C798" s="7" t="str">
        <f aca="false">IF(B798="","",INT((B798-DATE(YEAR(B798-WEEKDAY(B798-1)+4),1,3)+WEEKDAY(DATE(YEAR(B798-WEEKDAY(B798-1)+4),1,3))+5)/7))</f>
        <v/>
      </c>
      <c r="D798" s="9" t="str">
        <f aca="false">IF(B798="","",B798-WEEKDAY(B798,2)+1)</f>
        <v/>
      </c>
      <c r="E798" s="10"/>
      <c r="F798" s="8"/>
      <c r="G798" s="11"/>
      <c r="H798" s="10"/>
      <c r="I798" s="11"/>
      <c r="J798" s="10"/>
      <c r="K798" s="10"/>
      <c r="L798" s="10"/>
      <c r="M798" s="11"/>
      <c r="N798" s="8"/>
      <c r="O798" s="7" t="str">
        <f aca="false">IF(L798="","",IFERROR(VLOOKUP(L798,Paramètres!$F$5:$G$8,2,FALSE()),""))</f>
        <v/>
      </c>
      <c r="P798" s="9" t="str">
        <f aca="false">IF(OR(B798="",O798=""),"",IF(N798="",B798,N798)+O798)</f>
        <v/>
      </c>
      <c r="Q798" s="10"/>
      <c r="R798" s="8"/>
      <c r="S798" s="7" t="str">
        <f aca="false">IF(OR(B798="",R798=""),"",R798-B798)</f>
        <v/>
      </c>
      <c r="T798" s="7" t="str">
        <f aca="true">IF(OR(B798="",P798=""),"",IF(R798&lt;&gt;"",IF(R798&gt;P798,"Traité hors délai","Non"),IF(Q798="Classé sans suite","Non",IF(TODAY()&gt;P798,"OUI","Non"))))</f>
        <v/>
      </c>
      <c r="U798" s="11"/>
    </row>
    <row r="799" customFormat="false" ht="15" hidden="false" customHeight="false" outlineLevel="0" collapsed="false">
      <c r="A799" s="7" t="str">
        <f aca="false">IF(B799="","",YEAR(B799)&amp;"/"&amp;TEXT(ROW()-4,"0000"))</f>
        <v/>
      </c>
      <c r="B799" s="8"/>
      <c r="C799" s="7" t="str">
        <f aca="false">IF(B799="","",INT((B799-DATE(YEAR(B799-WEEKDAY(B799-1)+4),1,3)+WEEKDAY(DATE(YEAR(B799-WEEKDAY(B799-1)+4),1,3))+5)/7))</f>
        <v/>
      </c>
      <c r="D799" s="9" t="str">
        <f aca="false">IF(B799="","",B799-WEEKDAY(B799,2)+1)</f>
        <v/>
      </c>
      <c r="E799" s="10"/>
      <c r="F799" s="8"/>
      <c r="G799" s="11"/>
      <c r="H799" s="10"/>
      <c r="I799" s="11"/>
      <c r="J799" s="10"/>
      <c r="K799" s="10"/>
      <c r="L799" s="10"/>
      <c r="M799" s="11"/>
      <c r="N799" s="8"/>
      <c r="O799" s="7" t="str">
        <f aca="false">IF(L799="","",IFERROR(VLOOKUP(L799,Paramètres!$F$5:$G$8,2,FALSE()),""))</f>
        <v/>
      </c>
      <c r="P799" s="9" t="str">
        <f aca="false">IF(OR(B799="",O799=""),"",IF(N799="",B799,N799)+O799)</f>
        <v/>
      </c>
      <c r="Q799" s="10"/>
      <c r="R799" s="8"/>
      <c r="S799" s="7" t="str">
        <f aca="false">IF(OR(B799="",R799=""),"",R799-B799)</f>
        <v/>
      </c>
      <c r="T799" s="7" t="str">
        <f aca="true">IF(OR(B799="",P799=""),"",IF(R799&lt;&gt;"",IF(R799&gt;P799,"Traité hors délai","Non"),IF(Q799="Classé sans suite","Non",IF(TODAY()&gt;P799,"OUI","Non"))))</f>
        <v/>
      </c>
      <c r="U799" s="11"/>
    </row>
    <row r="800" customFormat="false" ht="15" hidden="false" customHeight="false" outlineLevel="0" collapsed="false">
      <c r="A800" s="7" t="str">
        <f aca="false">IF(B800="","",YEAR(B800)&amp;"/"&amp;TEXT(ROW()-4,"0000"))</f>
        <v/>
      </c>
      <c r="B800" s="8"/>
      <c r="C800" s="7" t="str">
        <f aca="false">IF(B800="","",INT((B800-DATE(YEAR(B800-WEEKDAY(B800-1)+4),1,3)+WEEKDAY(DATE(YEAR(B800-WEEKDAY(B800-1)+4),1,3))+5)/7))</f>
        <v/>
      </c>
      <c r="D800" s="9" t="str">
        <f aca="false">IF(B800="","",B800-WEEKDAY(B800,2)+1)</f>
        <v/>
      </c>
      <c r="E800" s="10"/>
      <c r="F800" s="8"/>
      <c r="G800" s="11"/>
      <c r="H800" s="10"/>
      <c r="I800" s="11"/>
      <c r="J800" s="10"/>
      <c r="K800" s="10"/>
      <c r="L800" s="10"/>
      <c r="M800" s="11"/>
      <c r="N800" s="8"/>
      <c r="O800" s="7" t="str">
        <f aca="false">IF(L800="","",IFERROR(VLOOKUP(L800,Paramètres!$F$5:$G$8,2,FALSE()),""))</f>
        <v/>
      </c>
      <c r="P800" s="9" t="str">
        <f aca="false">IF(OR(B800="",O800=""),"",IF(N800="",B800,N800)+O800)</f>
        <v/>
      </c>
      <c r="Q800" s="10"/>
      <c r="R800" s="8"/>
      <c r="S800" s="7" t="str">
        <f aca="false">IF(OR(B800="",R800=""),"",R800-B800)</f>
        <v/>
      </c>
      <c r="T800" s="7" t="str">
        <f aca="true">IF(OR(B800="",P800=""),"",IF(R800&lt;&gt;"",IF(R800&gt;P800,"Traité hors délai","Non"),IF(Q800="Classé sans suite","Non",IF(TODAY()&gt;P800,"OUI","Non"))))</f>
        <v/>
      </c>
      <c r="U800" s="11"/>
    </row>
    <row r="801" customFormat="false" ht="15" hidden="false" customHeight="false" outlineLevel="0" collapsed="false">
      <c r="A801" s="7" t="str">
        <f aca="false">IF(B801="","",YEAR(B801)&amp;"/"&amp;TEXT(ROW()-4,"0000"))</f>
        <v/>
      </c>
      <c r="B801" s="8"/>
      <c r="C801" s="7" t="str">
        <f aca="false">IF(B801="","",INT((B801-DATE(YEAR(B801-WEEKDAY(B801-1)+4),1,3)+WEEKDAY(DATE(YEAR(B801-WEEKDAY(B801-1)+4),1,3))+5)/7))</f>
        <v/>
      </c>
      <c r="D801" s="9" t="str">
        <f aca="false">IF(B801="","",B801-WEEKDAY(B801,2)+1)</f>
        <v/>
      </c>
      <c r="E801" s="10"/>
      <c r="F801" s="8"/>
      <c r="G801" s="11"/>
      <c r="H801" s="10"/>
      <c r="I801" s="11"/>
      <c r="J801" s="10"/>
      <c r="K801" s="10"/>
      <c r="L801" s="10"/>
      <c r="M801" s="11"/>
      <c r="N801" s="8"/>
      <c r="O801" s="7" t="str">
        <f aca="false">IF(L801="","",IFERROR(VLOOKUP(L801,Paramètres!$F$5:$G$8,2,FALSE()),""))</f>
        <v/>
      </c>
      <c r="P801" s="9" t="str">
        <f aca="false">IF(OR(B801="",O801=""),"",IF(N801="",B801,N801)+O801)</f>
        <v/>
      </c>
      <c r="Q801" s="10"/>
      <c r="R801" s="8"/>
      <c r="S801" s="7" t="str">
        <f aca="false">IF(OR(B801="",R801=""),"",R801-B801)</f>
        <v/>
      </c>
      <c r="T801" s="7" t="str">
        <f aca="true">IF(OR(B801="",P801=""),"",IF(R801&lt;&gt;"",IF(R801&gt;P801,"Traité hors délai","Non"),IF(Q801="Classé sans suite","Non",IF(TODAY()&gt;P801,"OUI","Non"))))</f>
        <v/>
      </c>
      <c r="U801" s="11"/>
    </row>
    <row r="802" customFormat="false" ht="15" hidden="false" customHeight="false" outlineLevel="0" collapsed="false">
      <c r="A802" s="7" t="str">
        <f aca="false">IF(B802="","",YEAR(B802)&amp;"/"&amp;TEXT(ROW()-4,"0000"))</f>
        <v/>
      </c>
      <c r="B802" s="8"/>
      <c r="C802" s="7" t="str">
        <f aca="false">IF(B802="","",INT((B802-DATE(YEAR(B802-WEEKDAY(B802-1)+4),1,3)+WEEKDAY(DATE(YEAR(B802-WEEKDAY(B802-1)+4),1,3))+5)/7))</f>
        <v/>
      </c>
      <c r="D802" s="9" t="str">
        <f aca="false">IF(B802="","",B802-WEEKDAY(B802,2)+1)</f>
        <v/>
      </c>
      <c r="E802" s="10"/>
      <c r="F802" s="8"/>
      <c r="G802" s="11"/>
      <c r="H802" s="10"/>
      <c r="I802" s="11"/>
      <c r="J802" s="10"/>
      <c r="K802" s="10"/>
      <c r="L802" s="10"/>
      <c r="M802" s="11"/>
      <c r="N802" s="8"/>
      <c r="O802" s="7" t="str">
        <f aca="false">IF(L802="","",IFERROR(VLOOKUP(L802,Paramètres!$F$5:$G$8,2,FALSE()),""))</f>
        <v/>
      </c>
      <c r="P802" s="9" t="str">
        <f aca="false">IF(OR(B802="",O802=""),"",IF(N802="",B802,N802)+O802)</f>
        <v/>
      </c>
      <c r="Q802" s="10"/>
      <c r="R802" s="8"/>
      <c r="S802" s="7" t="str">
        <f aca="false">IF(OR(B802="",R802=""),"",R802-B802)</f>
        <v/>
      </c>
      <c r="T802" s="7" t="str">
        <f aca="true">IF(OR(B802="",P802=""),"",IF(R802&lt;&gt;"",IF(R802&gt;P802,"Traité hors délai","Non"),IF(Q802="Classé sans suite","Non",IF(TODAY()&gt;P802,"OUI","Non"))))</f>
        <v/>
      </c>
      <c r="U802" s="11"/>
    </row>
    <row r="803" customFormat="false" ht="15" hidden="false" customHeight="false" outlineLevel="0" collapsed="false">
      <c r="A803" s="7" t="str">
        <f aca="false">IF(B803="","",YEAR(B803)&amp;"/"&amp;TEXT(ROW()-4,"0000"))</f>
        <v/>
      </c>
      <c r="B803" s="8"/>
      <c r="C803" s="7" t="str">
        <f aca="false">IF(B803="","",INT((B803-DATE(YEAR(B803-WEEKDAY(B803-1)+4),1,3)+WEEKDAY(DATE(YEAR(B803-WEEKDAY(B803-1)+4),1,3))+5)/7))</f>
        <v/>
      </c>
      <c r="D803" s="9" t="str">
        <f aca="false">IF(B803="","",B803-WEEKDAY(B803,2)+1)</f>
        <v/>
      </c>
      <c r="E803" s="10"/>
      <c r="F803" s="8"/>
      <c r="G803" s="11"/>
      <c r="H803" s="10"/>
      <c r="I803" s="11"/>
      <c r="J803" s="10"/>
      <c r="K803" s="10"/>
      <c r="L803" s="10"/>
      <c r="M803" s="11"/>
      <c r="N803" s="8"/>
      <c r="O803" s="7" t="str">
        <f aca="false">IF(L803="","",IFERROR(VLOOKUP(L803,Paramètres!$F$5:$G$8,2,FALSE()),""))</f>
        <v/>
      </c>
      <c r="P803" s="9" t="str">
        <f aca="false">IF(OR(B803="",O803=""),"",IF(N803="",B803,N803)+O803)</f>
        <v/>
      </c>
      <c r="Q803" s="10"/>
      <c r="R803" s="8"/>
      <c r="S803" s="7" t="str">
        <f aca="false">IF(OR(B803="",R803=""),"",R803-B803)</f>
        <v/>
      </c>
      <c r="T803" s="7" t="str">
        <f aca="true">IF(OR(B803="",P803=""),"",IF(R803&lt;&gt;"",IF(R803&gt;P803,"Traité hors délai","Non"),IF(Q803="Classé sans suite","Non",IF(TODAY()&gt;P803,"OUI","Non"))))</f>
        <v/>
      </c>
      <c r="U803" s="11"/>
    </row>
    <row r="804" customFormat="false" ht="15" hidden="false" customHeight="false" outlineLevel="0" collapsed="false">
      <c r="A804" s="7" t="str">
        <f aca="false">IF(B804="","",YEAR(B804)&amp;"/"&amp;TEXT(ROW()-4,"0000"))</f>
        <v/>
      </c>
      <c r="B804" s="8"/>
      <c r="C804" s="7" t="str">
        <f aca="false">IF(B804="","",INT((B804-DATE(YEAR(B804-WEEKDAY(B804-1)+4),1,3)+WEEKDAY(DATE(YEAR(B804-WEEKDAY(B804-1)+4),1,3))+5)/7))</f>
        <v/>
      </c>
      <c r="D804" s="9" t="str">
        <f aca="false">IF(B804="","",B804-WEEKDAY(B804,2)+1)</f>
        <v/>
      </c>
      <c r="E804" s="10"/>
      <c r="F804" s="8"/>
      <c r="G804" s="11"/>
      <c r="H804" s="10"/>
      <c r="I804" s="11"/>
      <c r="J804" s="10"/>
      <c r="K804" s="10"/>
      <c r="L804" s="10"/>
      <c r="M804" s="11"/>
      <c r="N804" s="8"/>
      <c r="O804" s="7" t="str">
        <f aca="false">IF(L804="","",IFERROR(VLOOKUP(L804,Paramètres!$F$5:$G$8,2,FALSE()),""))</f>
        <v/>
      </c>
      <c r="P804" s="9" t="str">
        <f aca="false">IF(OR(B804="",O804=""),"",IF(N804="",B804,N804)+O804)</f>
        <v/>
      </c>
      <c r="Q804" s="10"/>
      <c r="R804" s="8"/>
      <c r="S804" s="7" t="str">
        <f aca="false">IF(OR(B804="",R804=""),"",R804-B804)</f>
        <v/>
      </c>
      <c r="T804" s="7" t="str">
        <f aca="true">IF(OR(B804="",P804=""),"",IF(R804&lt;&gt;"",IF(R804&gt;P804,"Traité hors délai","Non"),IF(Q804="Classé sans suite","Non",IF(TODAY()&gt;P804,"OUI","Non"))))</f>
        <v/>
      </c>
      <c r="U804" s="11"/>
    </row>
    <row r="805" customFormat="false" ht="15" hidden="false" customHeight="false" outlineLevel="0" collapsed="false">
      <c r="A805" s="7" t="str">
        <f aca="false">IF(B805="","",YEAR(B805)&amp;"/"&amp;TEXT(ROW()-4,"0000"))</f>
        <v/>
      </c>
      <c r="B805" s="8"/>
      <c r="C805" s="7" t="str">
        <f aca="false">IF(B805="","",INT((B805-DATE(YEAR(B805-WEEKDAY(B805-1)+4),1,3)+WEEKDAY(DATE(YEAR(B805-WEEKDAY(B805-1)+4),1,3))+5)/7))</f>
        <v/>
      </c>
      <c r="D805" s="9" t="str">
        <f aca="false">IF(B805="","",B805-WEEKDAY(B805,2)+1)</f>
        <v/>
      </c>
      <c r="E805" s="10"/>
      <c r="F805" s="8"/>
      <c r="G805" s="11"/>
      <c r="H805" s="10"/>
      <c r="I805" s="11"/>
      <c r="J805" s="10"/>
      <c r="K805" s="10"/>
      <c r="L805" s="10"/>
      <c r="M805" s="11"/>
      <c r="N805" s="8"/>
      <c r="O805" s="7" t="str">
        <f aca="false">IF(L805="","",IFERROR(VLOOKUP(L805,Paramètres!$F$5:$G$8,2,FALSE()),""))</f>
        <v/>
      </c>
      <c r="P805" s="9" t="str">
        <f aca="false">IF(OR(B805="",O805=""),"",IF(N805="",B805,N805)+O805)</f>
        <v/>
      </c>
      <c r="Q805" s="10"/>
      <c r="R805" s="8"/>
      <c r="S805" s="7" t="str">
        <f aca="false">IF(OR(B805="",R805=""),"",R805-B805)</f>
        <v/>
      </c>
      <c r="T805" s="7" t="str">
        <f aca="true">IF(OR(B805="",P805=""),"",IF(R805&lt;&gt;"",IF(R805&gt;P805,"Traité hors délai","Non"),IF(Q805="Classé sans suite","Non",IF(TODAY()&gt;P805,"OUI","Non"))))</f>
        <v/>
      </c>
      <c r="U805" s="11"/>
    </row>
    <row r="806" customFormat="false" ht="15" hidden="false" customHeight="false" outlineLevel="0" collapsed="false">
      <c r="A806" s="7" t="str">
        <f aca="false">IF(B806="","",YEAR(B806)&amp;"/"&amp;TEXT(ROW()-4,"0000"))</f>
        <v/>
      </c>
      <c r="B806" s="8"/>
      <c r="C806" s="7" t="str">
        <f aca="false">IF(B806="","",INT((B806-DATE(YEAR(B806-WEEKDAY(B806-1)+4),1,3)+WEEKDAY(DATE(YEAR(B806-WEEKDAY(B806-1)+4),1,3))+5)/7))</f>
        <v/>
      </c>
      <c r="D806" s="9" t="str">
        <f aca="false">IF(B806="","",B806-WEEKDAY(B806,2)+1)</f>
        <v/>
      </c>
      <c r="E806" s="10"/>
      <c r="F806" s="8"/>
      <c r="G806" s="11"/>
      <c r="H806" s="10"/>
      <c r="I806" s="11"/>
      <c r="J806" s="10"/>
      <c r="K806" s="10"/>
      <c r="L806" s="10"/>
      <c r="M806" s="11"/>
      <c r="N806" s="8"/>
      <c r="O806" s="7" t="str">
        <f aca="false">IF(L806="","",IFERROR(VLOOKUP(L806,Paramètres!$F$5:$G$8,2,FALSE()),""))</f>
        <v/>
      </c>
      <c r="P806" s="9" t="str">
        <f aca="false">IF(OR(B806="",O806=""),"",IF(N806="",B806,N806)+O806)</f>
        <v/>
      </c>
      <c r="Q806" s="10"/>
      <c r="R806" s="8"/>
      <c r="S806" s="7" t="str">
        <f aca="false">IF(OR(B806="",R806=""),"",R806-B806)</f>
        <v/>
      </c>
      <c r="T806" s="7" t="str">
        <f aca="true">IF(OR(B806="",P806=""),"",IF(R806&lt;&gt;"",IF(R806&gt;P806,"Traité hors délai","Non"),IF(Q806="Classé sans suite","Non",IF(TODAY()&gt;P806,"OUI","Non"))))</f>
        <v/>
      </c>
      <c r="U806" s="11"/>
    </row>
    <row r="807" customFormat="false" ht="15" hidden="false" customHeight="false" outlineLevel="0" collapsed="false">
      <c r="A807" s="7" t="str">
        <f aca="false">IF(B807="","",YEAR(B807)&amp;"/"&amp;TEXT(ROW()-4,"0000"))</f>
        <v/>
      </c>
      <c r="B807" s="8"/>
      <c r="C807" s="7" t="str">
        <f aca="false">IF(B807="","",INT((B807-DATE(YEAR(B807-WEEKDAY(B807-1)+4),1,3)+WEEKDAY(DATE(YEAR(B807-WEEKDAY(B807-1)+4),1,3))+5)/7))</f>
        <v/>
      </c>
      <c r="D807" s="9" t="str">
        <f aca="false">IF(B807="","",B807-WEEKDAY(B807,2)+1)</f>
        <v/>
      </c>
      <c r="E807" s="10"/>
      <c r="F807" s="8"/>
      <c r="G807" s="11"/>
      <c r="H807" s="10"/>
      <c r="I807" s="11"/>
      <c r="J807" s="10"/>
      <c r="K807" s="10"/>
      <c r="L807" s="10"/>
      <c r="M807" s="11"/>
      <c r="N807" s="8"/>
      <c r="O807" s="7" t="str">
        <f aca="false">IF(L807="","",IFERROR(VLOOKUP(L807,Paramètres!$F$5:$G$8,2,FALSE()),""))</f>
        <v/>
      </c>
      <c r="P807" s="9" t="str">
        <f aca="false">IF(OR(B807="",O807=""),"",IF(N807="",B807,N807)+O807)</f>
        <v/>
      </c>
      <c r="Q807" s="10"/>
      <c r="R807" s="8"/>
      <c r="S807" s="7" t="str">
        <f aca="false">IF(OR(B807="",R807=""),"",R807-B807)</f>
        <v/>
      </c>
      <c r="T807" s="7" t="str">
        <f aca="true">IF(OR(B807="",P807=""),"",IF(R807&lt;&gt;"",IF(R807&gt;P807,"Traité hors délai","Non"),IF(Q807="Classé sans suite","Non",IF(TODAY()&gt;P807,"OUI","Non"))))</f>
        <v/>
      </c>
      <c r="U807" s="11"/>
    </row>
    <row r="808" customFormat="false" ht="15" hidden="false" customHeight="false" outlineLevel="0" collapsed="false">
      <c r="A808" s="7" t="str">
        <f aca="false">IF(B808="","",YEAR(B808)&amp;"/"&amp;TEXT(ROW()-4,"0000"))</f>
        <v/>
      </c>
      <c r="B808" s="8"/>
      <c r="C808" s="7" t="str">
        <f aca="false">IF(B808="","",INT((B808-DATE(YEAR(B808-WEEKDAY(B808-1)+4),1,3)+WEEKDAY(DATE(YEAR(B808-WEEKDAY(B808-1)+4),1,3))+5)/7))</f>
        <v/>
      </c>
      <c r="D808" s="9" t="str">
        <f aca="false">IF(B808="","",B808-WEEKDAY(B808,2)+1)</f>
        <v/>
      </c>
      <c r="E808" s="10"/>
      <c r="F808" s="8"/>
      <c r="G808" s="11"/>
      <c r="H808" s="10"/>
      <c r="I808" s="11"/>
      <c r="J808" s="10"/>
      <c r="K808" s="10"/>
      <c r="L808" s="10"/>
      <c r="M808" s="11"/>
      <c r="N808" s="8"/>
      <c r="O808" s="7" t="str">
        <f aca="false">IF(L808="","",IFERROR(VLOOKUP(L808,Paramètres!$F$5:$G$8,2,FALSE()),""))</f>
        <v/>
      </c>
      <c r="P808" s="9" t="str">
        <f aca="false">IF(OR(B808="",O808=""),"",IF(N808="",B808,N808)+O808)</f>
        <v/>
      </c>
      <c r="Q808" s="10"/>
      <c r="R808" s="8"/>
      <c r="S808" s="7" t="str">
        <f aca="false">IF(OR(B808="",R808=""),"",R808-B808)</f>
        <v/>
      </c>
      <c r="T808" s="7" t="str">
        <f aca="true">IF(OR(B808="",P808=""),"",IF(R808&lt;&gt;"",IF(R808&gt;P808,"Traité hors délai","Non"),IF(Q808="Classé sans suite","Non",IF(TODAY()&gt;P808,"OUI","Non"))))</f>
        <v/>
      </c>
      <c r="U808" s="11"/>
    </row>
    <row r="809" customFormat="false" ht="15" hidden="false" customHeight="false" outlineLevel="0" collapsed="false">
      <c r="A809" s="7" t="str">
        <f aca="false">IF(B809="","",YEAR(B809)&amp;"/"&amp;TEXT(ROW()-4,"0000"))</f>
        <v/>
      </c>
      <c r="B809" s="8"/>
      <c r="C809" s="7" t="str">
        <f aca="false">IF(B809="","",INT((B809-DATE(YEAR(B809-WEEKDAY(B809-1)+4),1,3)+WEEKDAY(DATE(YEAR(B809-WEEKDAY(B809-1)+4),1,3))+5)/7))</f>
        <v/>
      </c>
      <c r="D809" s="9" t="str">
        <f aca="false">IF(B809="","",B809-WEEKDAY(B809,2)+1)</f>
        <v/>
      </c>
      <c r="E809" s="10"/>
      <c r="F809" s="8"/>
      <c r="G809" s="11"/>
      <c r="H809" s="10"/>
      <c r="I809" s="11"/>
      <c r="J809" s="10"/>
      <c r="K809" s="10"/>
      <c r="L809" s="10"/>
      <c r="M809" s="11"/>
      <c r="N809" s="8"/>
      <c r="O809" s="7" t="str">
        <f aca="false">IF(L809="","",IFERROR(VLOOKUP(L809,Paramètres!$F$5:$G$8,2,FALSE()),""))</f>
        <v/>
      </c>
      <c r="P809" s="9" t="str">
        <f aca="false">IF(OR(B809="",O809=""),"",IF(N809="",B809,N809)+O809)</f>
        <v/>
      </c>
      <c r="Q809" s="10"/>
      <c r="R809" s="8"/>
      <c r="S809" s="7" t="str">
        <f aca="false">IF(OR(B809="",R809=""),"",R809-B809)</f>
        <v/>
      </c>
      <c r="T809" s="7" t="str">
        <f aca="true">IF(OR(B809="",P809=""),"",IF(R809&lt;&gt;"",IF(R809&gt;P809,"Traité hors délai","Non"),IF(Q809="Classé sans suite","Non",IF(TODAY()&gt;P809,"OUI","Non"))))</f>
        <v/>
      </c>
      <c r="U809" s="11"/>
    </row>
    <row r="810" customFormat="false" ht="15" hidden="false" customHeight="false" outlineLevel="0" collapsed="false">
      <c r="A810" s="7" t="str">
        <f aca="false">IF(B810="","",YEAR(B810)&amp;"/"&amp;TEXT(ROW()-4,"0000"))</f>
        <v/>
      </c>
      <c r="B810" s="8"/>
      <c r="C810" s="7" t="str">
        <f aca="false">IF(B810="","",INT((B810-DATE(YEAR(B810-WEEKDAY(B810-1)+4),1,3)+WEEKDAY(DATE(YEAR(B810-WEEKDAY(B810-1)+4),1,3))+5)/7))</f>
        <v/>
      </c>
      <c r="D810" s="9" t="str">
        <f aca="false">IF(B810="","",B810-WEEKDAY(B810,2)+1)</f>
        <v/>
      </c>
      <c r="E810" s="10"/>
      <c r="F810" s="8"/>
      <c r="G810" s="11"/>
      <c r="H810" s="10"/>
      <c r="I810" s="11"/>
      <c r="J810" s="10"/>
      <c r="K810" s="10"/>
      <c r="L810" s="10"/>
      <c r="M810" s="11"/>
      <c r="N810" s="8"/>
      <c r="O810" s="7" t="str">
        <f aca="false">IF(L810="","",IFERROR(VLOOKUP(L810,Paramètres!$F$5:$G$8,2,FALSE()),""))</f>
        <v/>
      </c>
      <c r="P810" s="9" t="str">
        <f aca="false">IF(OR(B810="",O810=""),"",IF(N810="",B810,N810)+O810)</f>
        <v/>
      </c>
      <c r="Q810" s="10"/>
      <c r="R810" s="8"/>
      <c r="S810" s="7" t="str">
        <f aca="false">IF(OR(B810="",R810=""),"",R810-B810)</f>
        <v/>
      </c>
      <c r="T810" s="7" t="str">
        <f aca="true">IF(OR(B810="",P810=""),"",IF(R810&lt;&gt;"",IF(R810&gt;P810,"Traité hors délai","Non"),IF(Q810="Classé sans suite","Non",IF(TODAY()&gt;P810,"OUI","Non"))))</f>
        <v/>
      </c>
      <c r="U810" s="11"/>
    </row>
    <row r="811" customFormat="false" ht="15" hidden="false" customHeight="false" outlineLevel="0" collapsed="false">
      <c r="A811" s="7" t="str">
        <f aca="false">IF(B811="","",YEAR(B811)&amp;"/"&amp;TEXT(ROW()-4,"0000"))</f>
        <v/>
      </c>
      <c r="B811" s="8"/>
      <c r="C811" s="7" t="str">
        <f aca="false">IF(B811="","",INT((B811-DATE(YEAR(B811-WEEKDAY(B811-1)+4),1,3)+WEEKDAY(DATE(YEAR(B811-WEEKDAY(B811-1)+4),1,3))+5)/7))</f>
        <v/>
      </c>
      <c r="D811" s="9" t="str">
        <f aca="false">IF(B811="","",B811-WEEKDAY(B811,2)+1)</f>
        <v/>
      </c>
      <c r="E811" s="10"/>
      <c r="F811" s="8"/>
      <c r="G811" s="11"/>
      <c r="H811" s="10"/>
      <c r="I811" s="11"/>
      <c r="J811" s="10"/>
      <c r="K811" s="10"/>
      <c r="L811" s="10"/>
      <c r="M811" s="11"/>
      <c r="N811" s="8"/>
      <c r="O811" s="7" t="str">
        <f aca="false">IF(L811="","",IFERROR(VLOOKUP(L811,Paramètres!$F$5:$G$8,2,FALSE()),""))</f>
        <v/>
      </c>
      <c r="P811" s="9" t="str">
        <f aca="false">IF(OR(B811="",O811=""),"",IF(N811="",B811,N811)+O811)</f>
        <v/>
      </c>
      <c r="Q811" s="10"/>
      <c r="R811" s="8"/>
      <c r="S811" s="7" t="str">
        <f aca="false">IF(OR(B811="",R811=""),"",R811-B811)</f>
        <v/>
      </c>
      <c r="T811" s="7" t="str">
        <f aca="true">IF(OR(B811="",P811=""),"",IF(R811&lt;&gt;"",IF(R811&gt;P811,"Traité hors délai","Non"),IF(Q811="Classé sans suite","Non",IF(TODAY()&gt;P811,"OUI","Non"))))</f>
        <v/>
      </c>
      <c r="U811" s="11"/>
    </row>
    <row r="812" customFormat="false" ht="15" hidden="false" customHeight="false" outlineLevel="0" collapsed="false">
      <c r="A812" s="7" t="str">
        <f aca="false">IF(B812="","",YEAR(B812)&amp;"/"&amp;TEXT(ROW()-4,"0000"))</f>
        <v/>
      </c>
      <c r="B812" s="8"/>
      <c r="C812" s="7" t="str">
        <f aca="false">IF(B812="","",INT((B812-DATE(YEAR(B812-WEEKDAY(B812-1)+4),1,3)+WEEKDAY(DATE(YEAR(B812-WEEKDAY(B812-1)+4),1,3))+5)/7))</f>
        <v/>
      </c>
      <c r="D812" s="9" t="str">
        <f aca="false">IF(B812="","",B812-WEEKDAY(B812,2)+1)</f>
        <v/>
      </c>
      <c r="E812" s="10"/>
      <c r="F812" s="8"/>
      <c r="G812" s="11"/>
      <c r="H812" s="10"/>
      <c r="I812" s="11"/>
      <c r="J812" s="10"/>
      <c r="K812" s="10"/>
      <c r="L812" s="10"/>
      <c r="M812" s="11"/>
      <c r="N812" s="8"/>
      <c r="O812" s="7" t="str">
        <f aca="false">IF(L812="","",IFERROR(VLOOKUP(L812,Paramètres!$F$5:$G$8,2,FALSE()),""))</f>
        <v/>
      </c>
      <c r="P812" s="9" t="str">
        <f aca="false">IF(OR(B812="",O812=""),"",IF(N812="",B812,N812)+O812)</f>
        <v/>
      </c>
      <c r="Q812" s="10"/>
      <c r="R812" s="8"/>
      <c r="S812" s="7" t="str">
        <f aca="false">IF(OR(B812="",R812=""),"",R812-B812)</f>
        <v/>
      </c>
      <c r="T812" s="7" t="str">
        <f aca="true">IF(OR(B812="",P812=""),"",IF(R812&lt;&gt;"",IF(R812&gt;P812,"Traité hors délai","Non"),IF(Q812="Classé sans suite","Non",IF(TODAY()&gt;P812,"OUI","Non"))))</f>
        <v/>
      </c>
      <c r="U812" s="11"/>
    </row>
    <row r="813" customFormat="false" ht="15" hidden="false" customHeight="false" outlineLevel="0" collapsed="false">
      <c r="A813" s="7" t="str">
        <f aca="false">IF(B813="","",YEAR(B813)&amp;"/"&amp;TEXT(ROW()-4,"0000"))</f>
        <v/>
      </c>
      <c r="B813" s="8"/>
      <c r="C813" s="7" t="str">
        <f aca="false">IF(B813="","",INT((B813-DATE(YEAR(B813-WEEKDAY(B813-1)+4),1,3)+WEEKDAY(DATE(YEAR(B813-WEEKDAY(B813-1)+4),1,3))+5)/7))</f>
        <v/>
      </c>
      <c r="D813" s="9" t="str">
        <f aca="false">IF(B813="","",B813-WEEKDAY(B813,2)+1)</f>
        <v/>
      </c>
      <c r="E813" s="10"/>
      <c r="F813" s="8"/>
      <c r="G813" s="11"/>
      <c r="H813" s="10"/>
      <c r="I813" s="11"/>
      <c r="J813" s="10"/>
      <c r="K813" s="10"/>
      <c r="L813" s="10"/>
      <c r="M813" s="11"/>
      <c r="N813" s="8"/>
      <c r="O813" s="7" t="str">
        <f aca="false">IF(L813="","",IFERROR(VLOOKUP(L813,Paramètres!$F$5:$G$8,2,FALSE()),""))</f>
        <v/>
      </c>
      <c r="P813" s="9" t="str">
        <f aca="false">IF(OR(B813="",O813=""),"",IF(N813="",B813,N813)+O813)</f>
        <v/>
      </c>
      <c r="Q813" s="10"/>
      <c r="R813" s="8"/>
      <c r="S813" s="7" t="str">
        <f aca="false">IF(OR(B813="",R813=""),"",R813-B813)</f>
        <v/>
      </c>
      <c r="T813" s="7" t="str">
        <f aca="true">IF(OR(B813="",P813=""),"",IF(R813&lt;&gt;"",IF(R813&gt;P813,"Traité hors délai","Non"),IF(Q813="Classé sans suite","Non",IF(TODAY()&gt;P813,"OUI","Non"))))</f>
        <v/>
      </c>
      <c r="U813" s="11"/>
    </row>
    <row r="814" customFormat="false" ht="15" hidden="false" customHeight="false" outlineLevel="0" collapsed="false">
      <c r="A814" s="7" t="str">
        <f aca="false">IF(B814="","",YEAR(B814)&amp;"/"&amp;TEXT(ROW()-4,"0000"))</f>
        <v/>
      </c>
      <c r="B814" s="8"/>
      <c r="C814" s="7" t="str">
        <f aca="false">IF(B814="","",INT((B814-DATE(YEAR(B814-WEEKDAY(B814-1)+4),1,3)+WEEKDAY(DATE(YEAR(B814-WEEKDAY(B814-1)+4),1,3))+5)/7))</f>
        <v/>
      </c>
      <c r="D814" s="9" t="str">
        <f aca="false">IF(B814="","",B814-WEEKDAY(B814,2)+1)</f>
        <v/>
      </c>
      <c r="E814" s="10"/>
      <c r="F814" s="8"/>
      <c r="G814" s="11"/>
      <c r="H814" s="10"/>
      <c r="I814" s="11"/>
      <c r="J814" s="10"/>
      <c r="K814" s="10"/>
      <c r="L814" s="10"/>
      <c r="M814" s="11"/>
      <c r="N814" s="8"/>
      <c r="O814" s="7" t="str">
        <f aca="false">IF(L814="","",IFERROR(VLOOKUP(L814,Paramètres!$F$5:$G$8,2,FALSE()),""))</f>
        <v/>
      </c>
      <c r="P814" s="9" t="str">
        <f aca="false">IF(OR(B814="",O814=""),"",IF(N814="",B814,N814)+O814)</f>
        <v/>
      </c>
      <c r="Q814" s="10"/>
      <c r="R814" s="8"/>
      <c r="S814" s="7" t="str">
        <f aca="false">IF(OR(B814="",R814=""),"",R814-B814)</f>
        <v/>
      </c>
      <c r="T814" s="7" t="str">
        <f aca="true">IF(OR(B814="",P814=""),"",IF(R814&lt;&gt;"",IF(R814&gt;P814,"Traité hors délai","Non"),IF(Q814="Classé sans suite","Non",IF(TODAY()&gt;P814,"OUI","Non"))))</f>
        <v/>
      </c>
      <c r="U814" s="11"/>
    </row>
    <row r="815" customFormat="false" ht="15" hidden="false" customHeight="false" outlineLevel="0" collapsed="false">
      <c r="A815" s="7" t="str">
        <f aca="false">IF(B815="","",YEAR(B815)&amp;"/"&amp;TEXT(ROW()-4,"0000"))</f>
        <v/>
      </c>
      <c r="B815" s="8"/>
      <c r="C815" s="7" t="str">
        <f aca="false">IF(B815="","",INT((B815-DATE(YEAR(B815-WEEKDAY(B815-1)+4),1,3)+WEEKDAY(DATE(YEAR(B815-WEEKDAY(B815-1)+4),1,3))+5)/7))</f>
        <v/>
      </c>
      <c r="D815" s="9" t="str">
        <f aca="false">IF(B815="","",B815-WEEKDAY(B815,2)+1)</f>
        <v/>
      </c>
      <c r="E815" s="10"/>
      <c r="F815" s="8"/>
      <c r="G815" s="11"/>
      <c r="H815" s="10"/>
      <c r="I815" s="11"/>
      <c r="J815" s="10"/>
      <c r="K815" s="10"/>
      <c r="L815" s="10"/>
      <c r="M815" s="11"/>
      <c r="N815" s="8"/>
      <c r="O815" s="7" t="str">
        <f aca="false">IF(L815="","",IFERROR(VLOOKUP(L815,Paramètres!$F$5:$G$8,2,FALSE()),""))</f>
        <v/>
      </c>
      <c r="P815" s="9" t="str">
        <f aca="false">IF(OR(B815="",O815=""),"",IF(N815="",B815,N815)+O815)</f>
        <v/>
      </c>
      <c r="Q815" s="10"/>
      <c r="R815" s="8"/>
      <c r="S815" s="7" t="str">
        <f aca="false">IF(OR(B815="",R815=""),"",R815-B815)</f>
        <v/>
      </c>
      <c r="T815" s="7" t="str">
        <f aca="true">IF(OR(B815="",P815=""),"",IF(R815&lt;&gt;"",IF(R815&gt;P815,"Traité hors délai","Non"),IF(Q815="Classé sans suite","Non",IF(TODAY()&gt;P815,"OUI","Non"))))</f>
        <v/>
      </c>
      <c r="U815" s="11"/>
    </row>
    <row r="816" customFormat="false" ht="15" hidden="false" customHeight="false" outlineLevel="0" collapsed="false">
      <c r="A816" s="7" t="str">
        <f aca="false">IF(B816="","",YEAR(B816)&amp;"/"&amp;TEXT(ROW()-4,"0000"))</f>
        <v/>
      </c>
      <c r="B816" s="8"/>
      <c r="C816" s="7" t="str">
        <f aca="false">IF(B816="","",INT((B816-DATE(YEAR(B816-WEEKDAY(B816-1)+4),1,3)+WEEKDAY(DATE(YEAR(B816-WEEKDAY(B816-1)+4),1,3))+5)/7))</f>
        <v/>
      </c>
      <c r="D816" s="9" t="str">
        <f aca="false">IF(B816="","",B816-WEEKDAY(B816,2)+1)</f>
        <v/>
      </c>
      <c r="E816" s="10"/>
      <c r="F816" s="8"/>
      <c r="G816" s="11"/>
      <c r="H816" s="10"/>
      <c r="I816" s="11"/>
      <c r="J816" s="10"/>
      <c r="K816" s="10"/>
      <c r="L816" s="10"/>
      <c r="M816" s="11"/>
      <c r="N816" s="8"/>
      <c r="O816" s="7" t="str">
        <f aca="false">IF(L816="","",IFERROR(VLOOKUP(L816,Paramètres!$F$5:$G$8,2,FALSE()),""))</f>
        <v/>
      </c>
      <c r="P816" s="9" t="str">
        <f aca="false">IF(OR(B816="",O816=""),"",IF(N816="",B816,N816)+O816)</f>
        <v/>
      </c>
      <c r="Q816" s="10"/>
      <c r="R816" s="8"/>
      <c r="S816" s="7" t="str">
        <f aca="false">IF(OR(B816="",R816=""),"",R816-B816)</f>
        <v/>
      </c>
      <c r="T816" s="7" t="str">
        <f aca="true">IF(OR(B816="",P816=""),"",IF(R816&lt;&gt;"",IF(R816&gt;P816,"Traité hors délai","Non"),IF(Q816="Classé sans suite","Non",IF(TODAY()&gt;P816,"OUI","Non"))))</f>
        <v/>
      </c>
      <c r="U816" s="11"/>
    </row>
    <row r="817" customFormat="false" ht="15" hidden="false" customHeight="false" outlineLevel="0" collapsed="false">
      <c r="A817" s="7" t="str">
        <f aca="false">IF(B817="","",YEAR(B817)&amp;"/"&amp;TEXT(ROW()-4,"0000"))</f>
        <v/>
      </c>
      <c r="B817" s="8"/>
      <c r="C817" s="7" t="str">
        <f aca="false">IF(B817="","",INT((B817-DATE(YEAR(B817-WEEKDAY(B817-1)+4),1,3)+WEEKDAY(DATE(YEAR(B817-WEEKDAY(B817-1)+4),1,3))+5)/7))</f>
        <v/>
      </c>
      <c r="D817" s="9" t="str">
        <f aca="false">IF(B817="","",B817-WEEKDAY(B817,2)+1)</f>
        <v/>
      </c>
      <c r="E817" s="10"/>
      <c r="F817" s="8"/>
      <c r="G817" s="11"/>
      <c r="H817" s="10"/>
      <c r="I817" s="11"/>
      <c r="J817" s="10"/>
      <c r="K817" s="10"/>
      <c r="L817" s="10"/>
      <c r="M817" s="11"/>
      <c r="N817" s="8"/>
      <c r="O817" s="7" t="str">
        <f aca="false">IF(L817="","",IFERROR(VLOOKUP(L817,Paramètres!$F$5:$G$8,2,FALSE()),""))</f>
        <v/>
      </c>
      <c r="P817" s="9" t="str">
        <f aca="false">IF(OR(B817="",O817=""),"",IF(N817="",B817,N817)+O817)</f>
        <v/>
      </c>
      <c r="Q817" s="10"/>
      <c r="R817" s="8"/>
      <c r="S817" s="7" t="str">
        <f aca="false">IF(OR(B817="",R817=""),"",R817-B817)</f>
        <v/>
      </c>
      <c r="T817" s="7" t="str">
        <f aca="true">IF(OR(B817="",P817=""),"",IF(R817&lt;&gt;"",IF(R817&gt;P817,"Traité hors délai","Non"),IF(Q817="Classé sans suite","Non",IF(TODAY()&gt;P817,"OUI","Non"))))</f>
        <v/>
      </c>
      <c r="U817" s="11"/>
    </row>
    <row r="818" customFormat="false" ht="15" hidden="false" customHeight="false" outlineLevel="0" collapsed="false">
      <c r="A818" s="7" t="str">
        <f aca="false">IF(B818="","",YEAR(B818)&amp;"/"&amp;TEXT(ROW()-4,"0000"))</f>
        <v/>
      </c>
      <c r="B818" s="8"/>
      <c r="C818" s="7" t="str">
        <f aca="false">IF(B818="","",INT((B818-DATE(YEAR(B818-WEEKDAY(B818-1)+4),1,3)+WEEKDAY(DATE(YEAR(B818-WEEKDAY(B818-1)+4),1,3))+5)/7))</f>
        <v/>
      </c>
      <c r="D818" s="9" t="str">
        <f aca="false">IF(B818="","",B818-WEEKDAY(B818,2)+1)</f>
        <v/>
      </c>
      <c r="E818" s="10"/>
      <c r="F818" s="8"/>
      <c r="G818" s="11"/>
      <c r="H818" s="10"/>
      <c r="I818" s="11"/>
      <c r="J818" s="10"/>
      <c r="K818" s="10"/>
      <c r="L818" s="10"/>
      <c r="M818" s="11"/>
      <c r="N818" s="8"/>
      <c r="O818" s="7" t="str">
        <f aca="false">IF(L818="","",IFERROR(VLOOKUP(L818,Paramètres!$F$5:$G$8,2,FALSE()),""))</f>
        <v/>
      </c>
      <c r="P818" s="9" t="str">
        <f aca="false">IF(OR(B818="",O818=""),"",IF(N818="",B818,N818)+O818)</f>
        <v/>
      </c>
      <c r="Q818" s="10"/>
      <c r="R818" s="8"/>
      <c r="S818" s="7" t="str">
        <f aca="false">IF(OR(B818="",R818=""),"",R818-B818)</f>
        <v/>
      </c>
      <c r="T818" s="7" t="str">
        <f aca="true">IF(OR(B818="",P818=""),"",IF(R818&lt;&gt;"",IF(R818&gt;P818,"Traité hors délai","Non"),IF(Q818="Classé sans suite","Non",IF(TODAY()&gt;P818,"OUI","Non"))))</f>
        <v/>
      </c>
      <c r="U818" s="11"/>
    </row>
    <row r="819" customFormat="false" ht="15" hidden="false" customHeight="false" outlineLevel="0" collapsed="false">
      <c r="A819" s="7" t="str">
        <f aca="false">IF(B819="","",YEAR(B819)&amp;"/"&amp;TEXT(ROW()-4,"0000"))</f>
        <v/>
      </c>
      <c r="B819" s="8"/>
      <c r="C819" s="7" t="str">
        <f aca="false">IF(B819="","",INT((B819-DATE(YEAR(B819-WEEKDAY(B819-1)+4),1,3)+WEEKDAY(DATE(YEAR(B819-WEEKDAY(B819-1)+4),1,3))+5)/7))</f>
        <v/>
      </c>
      <c r="D819" s="9" t="str">
        <f aca="false">IF(B819="","",B819-WEEKDAY(B819,2)+1)</f>
        <v/>
      </c>
      <c r="E819" s="10"/>
      <c r="F819" s="8"/>
      <c r="G819" s="11"/>
      <c r="H819" s="10"/>
      <c r="I819" s="11"/>
      <c r="J819" s="10"/>
      <c r="K819" s="10"/>
      <c r="L819" s="10"/>
      <c r="M819" s="11"/>
      <c r="N819" s="8"/>
      <c r="O819" s="7" t="str">
        <f aca="false">IF(L819="","",IFERROR(VLOOKUP(L819,Paramètres!$F$5:$G$8,2,FALSE()),""))</f>
        <v/>
      </c>
      <c r="P819" s="9" t="str">
        <f aca="false">IF(OR(B819="",O819=""),"",IF(N819="",B819,N819)+O819)</f>
        <v/>
      </c>
      <c r="Q819" s="10"/>
      <c r="R819" s="8"/>
      <c r="S819" s="7" t="str">
        <f aca="false">IF(OR(B819="",R819=""),"",R819-B819)</f>
        <v/>
      </c>
      <c r="T819" s="7" t="str">
        <f aca="true">IF(OR(B819="",P819=""),"",IF(R819&lt;&gt;"",IF(R819&gt;P819,"Traité hors délai","Non"),IF(Q819="Classé sans suite","Non",IF(TODAY()&gt;P819,"OUI","Non"))))</f>
        <v/>
      </c>
      <c r="U819" s="11"/>
    </row>
    <row r="820" customFormat="false" ht="15" hidden="false" customHeight="false" outlineLevel="0" collapsed="false">
      <c r="A820" s="7" t="str">
        <f aca="false">IF(B820="","",YEAR(B820)&amp;"/"&amp;TEXT(ROW()-4,"0000"))</f>
        <v/>
      </c>
      <c r="B820" s="8"/>
      <c r="C820" s="7" t="str">
        <f aca="false">IF(B820="","",INT((B820-DATE(YEAR(B820-WEEKDAY(B820-1)+4),1,3)+WEEKDAY(DATE(YEAR(B820-WEEKDAY(B820-1)+4),1,3))+5)/7))</f>
        <v/>
      </c>
      <c r="D820" s="9" t="str">
        <f aca="false">IF(B820="","",B820-WEEKDAY(B820,2)+1)</f>
        <v/>
      </c>
      <c r="E820" s="10"/>
      <c r="F820" s="8"/>
      <c r="G820" s="11"/>
      <c r="H820" s="10"/>
      <c r="I820" s="11"/>
      <c r="J820" s="10"/>
      <c r="K820" s="10"/>
      <c r="L820" s="10"/>
      <c r="M820" s="11"/>
      <c r="N820" s="8"/>
      <c r="O820" s="7" t="str">
        <f aca="false">IF(L820="","",IFERROR(VLOOKUP(L820,Paramètres!$F$5:$G$8,2,FALSE()),""))</f>
        <v/>
      </c>
      <c r="P820" s="9" t="str">
        <f aca="false">IF(OR(B820="",O820=""),"",IF(N820="",B820,N820)+O820)</f>
        <v/>
      </c>
      <c r="Q820" s="10"/>
      <c r="R820" s="8"/>
      <c r="S820" s="7" t="str">
        <f aca="false">IF(OR(B820="",R820=""),"",R820-B820)</f>
        <v/>
      </c>
      <c r="T820" s="7" t="str">
        <f aca="true">IF(OR(B820="",P820=""),"",IF(R820&lt;&gt;"",IF(R820&gt;P820,"Traité hors délai","Non"),IF(Q820="Classé sans suite","Non",IF(TODAY()&gt;P820,"OUI","Non"))))</f>
        <v/>
      </c>
      <c r="U820" s="11"/>
    </row>
    <row r="821" customFormat="false" ht="15" hidden="false" customHeight="false" outlineLevel="0" collapsed="false">
      <c r="A821" s="7" t="str">
        <f aca="false">IF(B821="","",YEAR(B821)&amp;"/"&amp;TEXT(ROW()-4,"0000"))</f>
        <v/>
      </c>
      <c r="B821" s="8"/>
      <c r="C821" s="7" t="str">
        <f aca="false">IF(B821="","",INT((B821-DATE(YEAR(B821-WEEKDAY(B821-1)+4),1,3)+WEEKDAY(DATE(YEAR(B821-WEEKDAY(B821-1)+4),1,3))+5)/7))</f>
        <v/>
      </c>
      <c r="D821" s="9" t="str">
        <f aca="false">IF(B821="","",B821-WEEKDAY(B821,2)+1)</f>
        <v/>
      </c>
      <c r="E821" s="10"/>
      <c r="F821" s="8"/>
      <c r="G821" s="11"/>
      <c r="H821" s="10"/>
      <c r="I821" s="11"/>
      <c r="J821" s="10"/>
      <c r="K821" s="10"/>
      <c r="L821" s="10"/>
      <c r="M821" s="11"/>
      <c r="N821" s="8"/>
      <c r="O821" s="7" t="str">
        <f aca="false">IF(L821="","",IFERROR(VLOOKUP(L821,Paramètres!$F$5:$G$8,2,FALSE()),""))</f>
        <v/>
      </c>
      <c r="P821" s="9" t="str">
        <f aca="false">IF(OR(B821="",O821=""),"",IF(N821="",B821,N821)+O821)</f>
        <v/>
      </c>
      <c r="Q821" s="10"/>
      <c r="R821" s="8"/>
      <c r="S821" s="7" t="str">
        <f aca="false">IF(OR(B821="",R821=""),"",R821-B821)</f>
        <v/>
      </c>
      <c r="T821" s="7" t="str">
        <f aca="true">IF(OR(B821="",P821=""),"",IF(R821&lt;&gt;"",IF(R821&gt;P821,"Traité hors délai","Non"),IF(Q821="Classé sans suite","Non",IF(TODAY()&gt;P821,"OUI","Non"))))</f>
        <v/>
      </c>
      <c r="U821" s="11"/>
    </row>
    <row r="822" customFormat="false" ht="15" hidden="false" customHeight="false" outlineLevel="0" collapsed="false">
      <c r="A822" s="7" t="str">
        <f aca="false">IF(B822="","",YEAR(B822)&amp;"/"&amp;TEXT(ROW()-4,"0000"))</f>
        <v/>
      </c>
      <c r="B822" s="8"/>
      <c r="C822" s="7" t="str">
        <f aca="false">IF(B822="","",INT((B822-DATE(YEAR(B822-WEEKDAY(B822-1)+4),1,3)+WEEKDAY(DATE(YEAR(B822-WEEKDAY(B822-1)+4),1,3))+5)/7))</f>
        <v/>
      </c>
      <c r="D822" s="9" t="str">
        <f aca="false">IF(B822="","",B822-WEEKDAY(B822,2)+1)</f>
        <v/>
      </c>
      <c r="E822" s="10"/>
      <c r="F822" s="8"/>
      <c r="G822" s="11"/>
      <c r="H822" s="10"/>
      <c r="I822" s="11"/>
      <c r="J822" s="10"/>
      <c r="K822" s="10"/>
      <c r="L822" s="10"/>
      <c r="M822" s="11"/>
      <c r="N822" s="8"/>
      <c r="O822" s="7" t="str">
        <f aca="false">IF(L822="","",IFERROR(VLOOKUP(L822,Paramètres!$F$5:$G$8,2,FALSE()),""))</f>
        <v/>
      </c>
      <c r="P822" s="9" t="str">
        <f aca="false">IF(OR(B822="",O822=""),"",IF(N822="",B822,N822)+O822)</f>
        <v/>
      </c>
      <c r="Q822" s="10"/>
      <c r="R822" s="8"/>
      <c r="S822" s="7" t="str">
        <f aca="false">IF(OR(B822="",R822=""),"",R822-B822)</f>
        <v/>
      </c>
      <c r="T822" s="7" t="str">
        <f aca="true">IF(OR(B822="",P822=""),"",IF(R822&lt;&gt;"",IF(R822&gt;P822,"Traité hors délai","Non"),IF(Q822="Classé sans suite","Non",IF(TODAY()&gt;P822,"OUI","Non"))))</f>
        <v/>
      </c>
      <c r="U822" s="11"/>
    </row>
    <row r="823" customFormat="false" ht="15" hidden="false" customHeight="false" outlineLevel="0" collapsed="false">
      <c r="A823" s="7" t="str">
        <f aca="false">IF(B823="","",YEAR(B823)&amp;"/"&amp;TEXT(ROW()-4,"0000"))</f>
        <v/>
      </c>
      <c r="B823" s="8"/>
      <c r="C823" s="7" t="str">
        <f aca="false">IF(B823="","",INT((B823-DATE(YEAR(B823-WEEKDAY(B823-1)+4),1,3)+WEEKDAY(DATE(YEAR(B823-WEEKDAY(B823-1)+4),1,3))+5)/7))</f>
        <v/>
      </c>
      <c r="D823" s="9" t="str">
        <f aca="false">IF(B823="","",B823-WEEKDAY(B823,2)+1)</f>
        <v/>
      </c>
      <c r="E823" s="10"/>
      <c r="F823" s="8"/>
      <c r="G823" s="11"/>
      <c r="H823" s="10"/>
      <c r="I823" s="11"/>
      <c r="J823" s="10"/>
      <c r="K823" s="10"/>
      <c r="L823" s="10"/>
      <c r="M823" s="11"/>
      <c r="N823" s="8"/>
      <c r="O823" s="7" t="str">
        <f aca="false">IF(L823="","",IFERROR(VLOOKUP(L823,Paramètres!$F$5:$G$8,2,FALSE()),""))</f>
        <v/>
      </c>
      <c r="P823" s="9" t="str">
        <f aca="false">IF(OR(B823="",O823=""),"",IF(N823="",B823,N823)+O823)</f>
        <v/>
      </c>
      <c r="Q823" s="10"/>
      <c r="R823" s="8"/>
      <c r="S823" s="7" t="str">
        <f aca="false">IF(OR(B823="",R823=""),"",R823-B823)</f>
        <v/>
      </c>
      <c r="T823" s="7" t="str">
        <f aca="true">IF(OR(B823="",P823=""),"",IF(R823&lt;&gt;"",IF(R823&gt;P823,"Traité hors délai","Non"),IF(Q823="Classé sans suite","Non",IF(TODAY()&gt;P823,"OUI","Non"))))</f>
        <v/>
      </c>
      <c r="U823" s="11"/>
    </row>
    <row r="824" customFormat="false" ht="15" hidden="false" customHeight="false" outlineLevel="0" collapsed="false">
      <c r="A824" s="7" t="str">
        <f aca="false">IF(B824="","",YEAR(B824)&amp;"/"&amp;TEXT(ROW()-4,"0000"))</f>
        <v/>
      </c>
      <c r="B824" s="8"/>
      <c r="C824" s="7" t="str">
        <f aca="false">IF(B824="","",INT((B824-DATE(YEAR(B824-WEEKDAY(B824-1)+4),1,3)+WEEKDAY(DATE(YEAR(B824-WEEKDAY(B824-1)+4),1,3))+5)/7))</f>
        <v/>
      </c>
      <c r="D824" s="9" t="str">
        <f aca="false">IF(B824="","",B824-WEEKDAY(B824,2)+1)</f>
        <v/>
      </c>
      <c r="E824" s="10"/>
      <c r="F824" s="8"/>
      <c r="G824" s="11"/>
      <c r="H824" s="10"/>
      <c r="I824" s="11"/>
      <c r="J824" s="10"/>
      <c r="K824" s="10"/>
      <c r="L824" s="10"/>
      <c r="M824" s="11"/>
      <c r="N824" s="8"/>
      <c r="O824" s="7" t="str">
        <f aca="false">IF(L824="","",IFERROR(VLOOKUP(L824,Paramètres!$F$5:$G$8,2,FALSE()),""))</f>
        <v/>
      </c>
      <c r="P824" s="9" t="str">
        <f aca="false">IF(OR(B824="",O824=""),"",IF(N824="",B824,N824)+O824)</f>
        <v/>
      </c>
      <c r="Q824" s="10"/>
      <c r="R824" s="8"/>
      <c r="S824" s="7" t="str">
        <f aca="false">IF(OR(B824="",R824=""),"",R824-B824)</f>
        <v/>
      </c>
      <c r="T824" s="7" t="str">
        <f aca="true">IF(OR(B824="",P824=""),"",IF(R824&lt;&gt;"",IF(R824&gt;P824,"Traité hors délai","Non"),IF(Q824="Classé sans suite","Non",IF(TODAY()&gt;P824,"OUI","Non"))))</f>
        <v/>
      </c>
      <c r="U824" s="11"/>
    </row>
    <row r="825" customFormat="false" ht="15" hidden="false" customHeight="false" outlineLevel="0" collapsed="false">
      <c r="A825" s="7" t="str">
        <f aca="false">IF(B825="","",YEAR(B825)&amp;"/"&amp;TEXT(ROW()-4,"0000"))</f>
        <v/>
      </c>
      <c r="B825" s="8"/>
      <c r="C825" s="7" t="str">
        <f aca="false">IF(B825="","",INT((B825-DATE(YEAR(B825-WEEKDAY(B825-1)+4),1,3)+WEEKDAY(DATE(YEAR(B825-WEEKDAY(B825-1)+4),1,3))+5)/7))</f>
        <v/>
      </c>
      <c r="D825" s="9" t="str">
        <f aca="false">IF(B825="","",B825-WEEKDAY(B825,2)+1)</f>
        <v/>
      </c>
      <c r="E825" s="10"/>
      <c r="F825" s="8"/>
      <c r="G825" s="11"/>
      <c r="H825" s="10"/>
      <c r="I825" s="11"/>
      <c r="J825" s="10"/>
      <c r="K825" s="10"/>
      <c r="L825" s="10"/>
      <c r="M825" s="11"/>
      <c r="N825" s="8"/>
      <c r="O825" s="7" t="str">
        <f aca="false">IF(L825="","",IFERROR(VLOOKUP(L825,Paramètres!$F$5:$G$8,2,FALSE()),""))</f>
        <v/>
      </c>
      <c r="P825" s="9" t="str">
        <f aca="false">IF(OR(B825="",O825=""),"",IF(N825="",B825,N825)+O825)</f>
        <v/>
      </c>
      <c r="Q825" s="10"/>
      <c r="R825" s="8"/>
      <c r="S825" s="7" t="str">
        <f aca="false">IF(OR(B825="",R825=""),"",R825-B825)</f>
        <v/>
      </c>
      <c r="T825" s="7" t="str">
        <f aca="true">IF(OR(B825="",P825=""),"",IF(R825&lt;&gt;"",IF(R825&gt;P825,"Traité hors délai","Non"),IF(Q825="Classé sans suite","Non",IF(TODAY()&gt;P825,"OUI","Non"))))</f>
        <v/>
      </c>
      <c r="U825" s="11"/>
    </row>
    <row r="826" customFormat="false" ht="15" hidden="false" customHeight="false" outlineLevel="0" collapsed="false">
      <c r="A826" s="7" t="str">
        <f aca="false">IF(B826="","",YEAR(B826)&amp;"/"&amp;TEXT(ROW()-4,"0000"))</f>
        <v/>
      </c>
      <c r="B826" s="8"/>
      <c r="C826" s="7" t="str">
        <f aca="false">IF(B826="","",INT((B826-DATE(YEAR(B826-WEEKDAY(B826-1)+4),1,3)+WEEKDAY(DATE(YEAR(B826-WEEKDAY(B826-1)+4),1,3))+5)/7))</f>
        <v/>
      </c>
      <c r="D826" s="9" t="str">
        <f aca="false">IF(B826="","",B826-WEEKDAY(B826,2)+1)</f>
        <v/>
      </c>
      <c r="E826" s="10"/>
      <c r="F826" s="8"/>
      <c r="G826" s="11"/>
      <c r="H826" s="10"/>
      <c r="I826" s="11"/>
      <c r="J826" s="10"/>
      <c r="K826" s="10"/>
      <c r="L826" s="10"/>
      <c r="M826" s="11"/>
      <c r="N826" s="8"/>
      <c r="O826" s="7" t="str">
        <f aca="false">IF(L826="","",IFERROR(VLOOKUP(L826,Paramètres!$F$5:$G$8,2,FALSE()),""))</f>
        <v/>
      </c>
      <c r="P826" s="9" t="str">
        <f aca="false">IF(OR(B826="",O826=""),"",IF(N826="",B826,N826)+O826)</f>
        <v/>
      </c>
      <c r="Q826" s="10"/>
      <c r="R826" s="8"/>
      <c r="S826" s="7" t="str">
        <f aca="false">IF(OR(B826="",R826=""),"",R826-B826)</f>
        <v/>
      </c>
      <c r="T826" s="7" t="str">
        <f aca="true">IF(OR(B826="",P826=""),"",IF(R826&lt;&gt;"",IF(R826&gt;P826,"Traité hors délai","Non"),IF(Q826="Classé sans suite","Non",IF(TODAY()&gt;P826,"OUI","Non"))))</f>
        <v/>
      </c>
      <c r="U826" s="11"/>
    </row>
    <row r="827" customFormat="false" ht="15" hidden="false" customHeight="false" outlineLevel="0" collapsed="false">
      <c r="A827" s="7" t="str">
        <f aca="false">IF(B827="","",YEAR(B827)&amp;"/"&amp;TEXT(ROW()-4,"0000"))</f>
        <v/>
      </c>
      <c r="B827" s="8"/>
      <c r="C827" s="7" t="str">
        <f aca="false">IF(B827="","",INT((B827-DATE(YEAR(B827-WEEKDAY(B827-1)+4),1,3)+WEEKDAY(DATE(YEAR(B827-WEEKDAY(B827-1)+4),1,3))+5)/7))</f>
        <v/>
      </c>
      <c r="D827" s="9" t="str">
        <f aca="false">IF(B827="","",B827-WEEKDAY(B827,2)+1)</f>
        <v/>
      </c>
      <c r="E827" s="10"/>
      <c r="F827" s="8"/>
      <c r="G827" s="11"/>
      <c r="H827" s="10"/>
      <c r="I827" s="11"/>
      <c r="J827" s="10"/>
      <c r="K827" s="10"/>
      <c r="L827" s="10"/>
      <c r="M827" s="11"/>
      <c r="N827" s="8"/>
      <c r="O827" s="7" t="str">
        <f aca="false">IF(L827="","",IFERROR(VLOOKUP(L827,Paramètres!$F$5:$G$8,2,FALSE()),""))</f>
        <v/>
      </c>
      <c r="P827" s="9" t="str">
        <f aca="false">IF(OR(B827="",O827=""),"",IF(N827="",B827,N827)+O827)</f>
        <v/>
      </c>
      <c r="Q827" s="10"/>
      <c r="R827" s="8"/>
      <c r="S827" s="7" t="str">
        <f aca="false">IF(OR(B827="",R827=""),"",R827-B827)</f>
        <v/>
      </c>
      <c r="T827" s="7" t="str">
        <f aca="true">IF(OR(B827="",P827=""),"",IF(R827&lt;&gt;"",IF(R827&gt;P827,"Traité hors délai","Non"),IF(Q827="Classé sans suite","Non",IF(TODAY()&gt;P827,"OUI","Non"))))</f>
        <v/>
      </c>
      <c r="U827" s="11"/>
    </row>
    <row r="828" customFormat="false" ht="15" hidden="false" customHeight="false" outlineLevel="0" collapsed="false">
      <c r="A828" s="7" t="str">
        <f aca="false">IF(B828="","",YEAR(B828)&amp;"/"&amp;TEXT(ROW()-4,"0000"))</f>
        <v/>
      </c>
      <c r="B828" s="8"/>
      <c r="C828" s="7" t="str">
        <f aca="false">IF(B828="","",INT((B828-DATE(YEAR(B828-WEEKDAY(B828-1)+4),1,3)+WEEKDAY(DATE(YEAR(B828-WEEKDAY(B828-1)+4),1,3))+5)/7))</f>
        <v/>
      </c>
      <c r="D828" s="9" t="str">
        <f aca="false">IF(B828="","",B828-WEEKDAY(B828,2)+1)</f>
        <v/>
      </c>
      <c r="E828" s="10"/>
      <c r="F828" s="8"/>
      <c r="G828" s="11"/>
      <c r="H828" s="10"/>
      <c r="I828" s="11"/>
      <c r="J828" s="10"/>
      <c r="K828" s="10"/>
      <c r="L828" s="10"/>
      <c r="M828" s="11"/>
      <c r="N828" s="8"/>
      <c r="O828" s="7" t="str">
        <f aca="false">IF(L828="","",IFERROR(VLOOKUP(L828,Paramètres!$F$5:$G$8,2,FALSE()),""))</f>
        <v/>
      </c>
      <c r="P828" s="9" t="str">
        <f aca="false">IF(OR(B828="",O828=""),"",IF(N828="",B828,N828)+O828)</f>
        <v/>
      </c>
      <c r="Q828" s="10"/>
      <c r="R828" s="8"/>
      <c r="S828" s="7" t="str">
        <f aca="false">IF(OR(B828="",R828=""),"",R828-B828)</f>
        <v/>
      </c>
      <c r="T828" s="7" t="str">
        <f aca="true">IF(OR(B828="",P828=""),"",IF(R828&lt;&gt;"",IF(R828&gt;P828,"Traité hors délai","Non"),IF(Q828="Classé sans suite","Non",IF(TODAY()&gt;P828,"OUI","Non"))))</f>
        <v/>
      </c>
      <c r="U828" s="11"/>
    </row>
    <row r="829" customFormat="false" ht="15" hidden="false" customHeight="false" outlineLevel="0" collapsed="false">
      <c r="A829" s="7" t="str">
        <f aca="false">IF(B829="","",YEAR(B829)&amp;"/"&amp;TEXT(ROW()-4,"0000"))</f>
        <v/>
      </c>
      <c r="B829" s="8"/>
      <c r="C829" s="7" t="str">
        <f aca="false">IF(B829="","",INT((B829-DATE(YEAR(B829-WEEKDAY(B829-1)+4),1,3)+WEEKDAY(DATE(YEAR(B829-WEEKDAY(B829-1)+4),1,3))+5)/7))</f>
        <v/>
      </c>
      <c r="D829" s="9" t="str">
        <f aca="false">IF(B829="","",B829-WEEKDAY(B829,2)+1)</f>
        <v/>
      </c>
      <c r="E829" s="10"/>
      <c r="F829" s="8"/>
      <c r="G829" s="11"/>
      <c r="H829" s="10"/>
      <c r="I829" s="11"/>
      <c r="J829" s="10"/>
      <c r="K829" s="10"/>
      <c r="L829" s="10"/>
      <c r="M829" s="11"/>
      <c r="N829" s="8"/>
      <c r="O829" s="7" t="str">
        <f aca="false">IF(L829="","",IFERROR(VLOOKUP(L829,Paramètres!$F$5:$G$8,2,FALSE()),""))</f>
        <v/>
      </c>
      <c r="P829" s="9" t="str">
        <f aca="false">IF(OR(B829="",O829=""),"",IF(N829="",B829,N829)+O829)</f>
        <v/>
      </c>
      <c r="Q829" s="10"/>
      <c r="R829" s="8"/>
      <c r="S829" s="7" t="str">
        <f aca="false">IF(OR(B829="",R829=""),"",R829-B829)</f>
        <v/>
      </c>
      <c r="T829" s="7" t="str">
        <f aca="true">IF(OR(B829="",P829=""),"",IF(R829&lt;&gt;"",IF(R829&gt;P829,"Traité hors délai","Non"),IF(Q829="Classé sans suite","Non",IF(TODAY()&gt;P829,"OUI","Non"))))</f>
        <v/>
      </c>
      <c r="U829" s="11"/>
    </row>
    <row r="830" customFormat="false" ht="15" hidden="false" customHeight="false" outlineLevel="0" collapsed="false">
      <c r="A830" s="7" t="str">
        <f aca="false">IF(B830="","",YEAR(B830)&amp;"/"&amp;TEXT(ROW()-4,"0000"))</f>
        <v/>
      </c>
      <c r="B830" s="8"/>
      <c r="C830" s="7" t="str">
        <f aca="false">IF(B830="","",INT((B830-DATE(YEAR(B830-WEEKDAY(B830-1)+4),1,3)+WEEKDAY(DATE(YEAR(B830-WEEKDAY(B830-1)+4),1,3))+5)/7))</f>
        <v/>
      </c>
      <c r="D830" s="9" t="str">
        <f aca="false">IF(B830="","",B830-WEEKDAY(B830,2)+1)</f>
        <v/>
      </c>
      <c r="E830" s="10"/>
      <c r="F830" s="8"/>
      <c r="G830" s="11"/>
      <c r="H830" s="10"/>
      <c r="I830" s="11"/>
      <c r="J830" s="10"/>
      <c r="K830" s="10"/>
      <c r="L830" s="10"/>
      <c r="M830" s="11"/>
      <c r="N830" s="8"/>
      <c r="O830" s="7" t="str">
        <f aca="false">IF(L830="","",IFERROR(VLOOKUP(L830,Paramètres!$F$5:$G$8,2,FALSE()),""))</f>
        <v/>
      </c>
      <c r="P830" s="9" t="str">
        <f aca="false">IF(OR(B830="",O830=""),"",IF(N830="",B830,N830)+O830)</f>
        <v/>
      </c>
      <c r="Q830" s="10"/>
      <c r="R830" s="8"/>
      <c r="S830" s="7" t="str">
        <f aca="false">IF(OR(B830="",R830=""),"",R830-B830)</f>
        <v/>
      </c>
      <c r="T830" s="7" t="str">
        <f aca="true">IF(OR(B830="",P830=""),"",IF(R830&lt;&gt;"",IF(R830&gt;P830,"Traité hors délai","Non"),IF(Q830="Classé sans suite","Non",IF(TODAY()&gt;P830,"OUI","Non"))))</f>
        <v/>
      </c>
      <c r="U830" s="11"/>
    </row>
    <row r="831" customFormat="false" ht="15" hidden="false" customHeight="false" outlineLevel="0" collapsed="false">
      <c r="A831" s="7" t="str">
        <f aca="false">IF(B831="","",YEAR(B831)&amp;"/"&amp;TEXT(ROW()-4,"0000"))</f>
        <v/>
      </c>
      <c r="B831" s="8"/>
      <c r="C831" s="7" t="str">
        <f aca="false">IF(B831="","",INT((B831-DATE(YEAR(B831-WEEKDAY(B831-1)+4),1,3)+WEEKDAY(DATE(YEAR(B831-WEEKDAY(B831-1)+4),1,3))+5)/7))</f>
        <v/>
      </c>
      <c r="D831" s="9" t="str">
        <f aca="false">IF(B831="","",B831-WEEKDAY(B831,2)+1)</f>
        <v/>
      </c>
      <c r="E831" s="10"/>
      <c r="F831" s="8"/>
      <c r="G831" s="11"/>
      <c r="H831" s="10"/>
      <c r="I831" s="11"/>
      <c r="J831" s="10"/>
      <c r="K831" s="10"/>
      <c r="L831" s="10"/>
      <c r="M831" s="11"/>
      <c r="N831" s="8"/>
      <c r="O831" s="7" t="str">
        <f aca="false">IF(L831="","",IFERROR(VLOOKUP(L831,Paramètres!$F$5:$G$8,2,FALSE()),""))</f>
        <v/>
      </c>
      <c r="P831" s="9" t="str">
        <f aca="false">IF(OR(B831="",O831=""),"",IF(N831="",B831,N831)+O831)</f>
        <v/>
      </c>
      <c r="Q831" s="10"/>
      <c r="R831" s="8"/>
      <c r="S831" s="7" t="str">
        <f aca="false">IF(OR(B831="",R831=""),"",R831-B831)</f>
        <v/>
      </c>
      <c r="T831" s="7" t="str">
        <f aca="true">IF(OR(B831="",P831=""),"",IF(R831&lt;&gt;"",IF(R831&gt;P831,"Traité hors délai","Non"),IF(Q831="Classé sans suite","Non",IF(TODAY()&gt;P831,"OUI","Non"))))</f>
        <v/>
      </c>
      <c r="U831" s="11"/>
    </row>
    <row r="832" customFormat="false" ht="15" hidden="false" customHeight="false" outlineLevel="0" collapsed="false">
      <c r="A832" s="7" t="str">
        <f aca="false">IF(B832="","",YEAR(B832)&amp;"/"&amp;TEXT(ROW()-4,"0000"))</f>
        <v/>
      </c>
      <c r="B832" s="8"/>
      <c r="C832" s="7" t="str">
        <f aca="false">IF(B832="","",INT((B832-DATE(YEAR(B832-WEEKDAY(B832-1)+4),1,3)+WEEKDAY(DATE(YEAR(B832-WEEKDAY(B832-1)+4),1,3))+5)/7))</f>
        <v/>
      </c>
      <c r="D832" s="9" t="str">
        <f aca="false">IF(B832="","",B832-WEEKDAY(B832,2)+1)</f>
        <v/>
      </c>
      <c r="E832" s="10"/>
      <c r="F832" s="8"/>
      <c r="G832" s="11"/>
      <c r="H832" s="10"/>
      <c r="I832" s="11"/>
      <c r="J832" s="10"/>
      <c r="K832" s="10"/>
      <c r="L832" s="10"/>
      <c r="M832" s="11"/>
      <c r="N832" s="8"/>
      <c r="O832" s="7" t="str">
        <f aca="false">IF(L832="","",IFERROR(VLOOKUP(L832,Paramètres!$F$5:$G$8,2,FALSE()),""))</f>
        <v/>
      </c>
      <c r="P832" s="9" t="str">
        <f aca="false">IF(OR(B832="",O832=""),"",IF(N832="",B832,N832)+O832)</f>
        <v/>
      </c>
      <c r="Q832" s="10"/>
      <c r="R832" s="8"/>
      <c r="S832" s="7" t="str">
        <f aca="false">IF(OR(B832="",R832=""),"",R832-B832)</f>
        <v/>
      </c>
      <c r="T832" s="7" t="str">
        <f aca="true">IF(OR(B832="",P832=""),"",IF(R832&lt;&gt;"",IF(R832&gt;P832,"Traité hors délai","Non"),IF(Q832="Classé sans suite","Non",IF(TODAY()&gt;P832,"OUI","Non"))))</f>
        <v/>
      </c>
      <c r="U832" s="11"/>
    </row>
    <row r="833" customFormat="false" ht="15" hidden="false" customHeight="false" outlineLevel="0" collapsed="false">
      <c r="A833" s="7" t="str">
        <f aca="false">IF(B833="","",YEAR(B833)&amp;"/"&amp;TEXT(ROW()-4,"0000"))</f>
        <v/>
      </c>
      <c r="B833" s="8"/>
      <c r="C833" s="7" t="str">
        <f aca="false">IF(B833="","",INT((B833-DATE(YEAR(B833-WEEKDAY(B833-1)+4),1,3)+WEEKDAY(DATE(YEAR(B833-WEEKDAY(B833-1)+4),1,3))+5)/7))</f>
        <v/>
      </c>
      <c r="D833" s="9" t="str">
        <f aca="false">IF(B833="","",B833-WEEKDAY(B833,2)+1)</f>
        <v/>
      </c>
      <c r="E833" s="10"/>
      <c r="F833" s="8"/>
      <c r="G833" s="11"/>
      <c r="H833" s="10"/>
      <c r="I833" s="11"/>
      <c r="J833" s="10"/>
      <c r="K833" s="10"/>
      <c r="L833" s="10"/>
      <c r="M833" s="11"/>
      <c r="N833" s="8"/>
      <c r="O833" s="7" t="str">
        <f aca="false">IF(L833="","",IFERROR(VLOOKUP(L833,Paramètres!$F$5:$G$8,2,FALSE()),""))</f>
        <v/>
      </c>
      <c r="P833" s="9" t="str">
        <f aca="false">IF(OR(B833="",O833=""),"",IF(N833="",B833,N833)+O833)</f>
        <v/>
      </c>
      <c r="Q833" s="10"/>
      <c r="R833" s="8"/>
      <c r="S833" s="7" t="str">
        <f aca="false">IF(OR(B833="",R833=""),"",R833-B833)</f>
        <v/>
      </c>
      <c r="T833" s="7" t="str">
        <f aca="true">IF(OR(B833="",P833=""),"",IF(R833&lt;&gt;"",IF(R833&gt;P833,"Traité hors délai","Non"),IF(Q833="Classé sans suite","Non",IF(TODAY()&gt;P833,"OUI","Non"))))</f>
        <v/>
      </c>
      <c r="U833" s="11"/>
    </row>
    <row r="834" customFormat="false" ht="15" hidden="false" customHeight="false" outlineLevel="0" collapsed="false">
      <c r="A834" s="7" t="str">
        <f aca="false">IF(B834="","",YEAR(B834)&amp;"/"&amp;TEXT(ROW()-4,"0000"))</f>
        <v/>
      </c>
      <c r="B834" s="8"/>
      <c r="C834" s="7" t="str">
        <f aca="false">IF(B834="","",INT((B834-DATE(YEAR(B834-WEEKDAY(B834-1)+4),1,3)+WEEKDAY(DATE(YEAR(B834-WEEKDAY(B834-1)+4),1,3))+5)/7))</f>
        <v/>
      </c>
      <c r="D834" s="9" t="str">
        <f aca="false">IF(B834="","",B834-WEEKDAY(B834,2)+1)</f>
        <v/>
      </c>
      <c r="E834" s="10"/>
      <c r="F834" s="8"/>
      <c r="G834" s="11"/>
      <c r="H834" s="10"/>
      <c r="I834" s="11"/>
      <c r="J834" s="10"/>
      <c r="K834" s="10"/>
      <c r="L834" s="10"/>
      <c r="M834" s="11"/>
      <c r="N834" s="8"/>
      <c r="O834" s="7" t="str">
        <f aca="false">IF(L834="","",IFERROR(VLOOKUP(L834,Paramètres!$F$5:$G$8,2,FALSE()),""))</f>
        <v/>
      </c>
      <c r="P834" s="9" t="str">
        <f aca="false">IF(OR(B834="",O834=""),"",IF(N834="",B834,N834)+O834)</f>
        <v/>
      </c>
      <c r="Q834" s="10"/>
      <c r="R834" s="8"/>
      <c r="S834" s="7" t="str">
        <f aca="false">IF(OR(B834="",R834=""),"",R834-B834)</f>
        <v/>
      </c>
      <c r="T834" s="7" t="str">
        <f aca="true">IF(OR(B834="",P834=""),"",IF(R834&lt;&gt;"",IF(R834&gt;P834,"Traité hors délai","Non"),IF(Q834="Classé sans suite","Non",IF(TODAY()&gt;P834,"OUI","Non"))))</f>
        <v/>
      </c>
      <c r="U834" s="11"/>
    </row>
    <row r="835" customFormat="false" ht="15" hidden="false" customHeight="false" outlineLevel="0" collapsed="false">
      <c r="A835" s="7" t="str">
        <f aca="false">IF(B835="","",YEAR(B835)&amp;"/"&amp;TEXT(ROW()-4,"0000"))</f>
        <v/>
      </c>
      <c r="B835" s="8"/>
      <c r="C835" s="7" t="str">
        <f aca="false">IF(B835="","",INT((B835-DATE(YEAR(B835-WEEKDAY(B835-1)+4),1,3)+WEEKDAY(DATE(YEAR(B835-WEEKDAY(B835-1)+4),1,3))+5)/7))</f>
        <v/>
      </c>
      <c r="D835" s="9" t="str">
        <f aca="false">IF(B835="","",B835-WEEKDAY(B835,2)+1)</f>
        <v/>
      </c>
      <c r="E835" s="10"/>
      <c r="F835" s="8"/>
      <c r="G835" s="11"/>
      <c r="H835" s="10"/>
      <c r="I835" s="11"/>
      <c r="J835" s="10"/>
      <c r="K835" s="10"/>
      <c r="L835" s="10"/>
      <c r="M835" s="11"/>
      <c r="N835" s="8"/>
      <c r="O835" s="7" t="str">
        <f aca="false">IF(L835="","",IFERROR(VLOOKUP(L835,Paramètres!$F$5:$G$8,2,FALSE()),""))</f>
        <v/>
      </c>
      <c r="P835" s="9" t="str">
        <f aca="false">IF(OR(B835="",O835=""),"",IF(N835="",B835,N835)+O835)</f>
        <v/>
      </c>
      <c r="Q835" s="10"/>
      <c r="R835" s="8"/>
      <c r="S835" s="7" t="str">
        <f aca="false">IF(OR(B835="",R835=""),"",R835-B835)</f>
        <v/>
      </c>
      <c r="T835" s="7" t="str">
        <f aca="true">IF(OR(B835="",P835=""),"",IF(R835&lt;&gt;"",IF(R835&gt;P835,"Traité hors délai","Non"),IF(Q835="Classé sans suite","Non",IF(TODAY()&gt;P835,"OUI","Non"))))</f>
        <v/>
      </c>
      <c r="U835" s="11"/>
    </row>
    <row r="836" customFormat="false" ht="15" hidden="false" customHeight="false" outlineLevel="0" collapsed="false">
      <c r="A836" s="7" t="str">
        <f aca="false">IF(B836="","",YEAR(B836)&amp;"/"&amp;TEXT(ROW()-4,"0000"))</f>
        <v/>
      </c>
      <c r="B836" s="8"/>
      <c r="C836" s="7" t="str">
        <f aca="false">IF(B836="","",INT((B836-DATE(YEAR(B836-WEEKDAY(B836-1)+4),1,3)+WEEKDAY(DATE(YEAR(B836-WEEKDAY(B836-1)+4),1,3))+5)/7))</f>
        <v/>
      </c>
      <c r="D836" s="9" t="str">
        <f aca="false">IF(B836="","",B836-WEEKDAY(B836,2)+1)</f>
        <v/>
      </c>
      <c r="E836" s="10"/>
      <c r="F836" s="8"/>
      <c r="G836" s="11"/>
      <c r="H836" s="10"/>
      <c r="I836" s="11"/>
      <c r="J836" s="10"/>
      <c r="K836" s="10"/>
      <c r="L836" s="10"/>
      <c r="M836" s="11"/>
      <c r="N836" s="8"/>
      <c r="O836" s="7" t="str">
        <f aca="false">IF(L836="","",IFERROR(VLOOKUP(L836,Paramètres!$F$5:$G$8,2,FALSE()),""))</f>
        <v/>
      </c>
      <c r="P836" s="9" t="str">
        <f aca="false">IF(OR(B836="",O836=""),"",IF(N836="",B836,N836)+O836)</f>
        <v/>
      </c>
      <c r="Q836" s="10"/>
      <c r="R836" s="8"/>
      <c r="S836" s="7" t="str">
        <f aca="false">IF(OR(B836="",R836=""),"",R836-B836)</f>
        <v/>
      </c>
      <c r="T836" s="7" t="str">
        <f aca="true">IF(OR(B836="",P836=""),"",IF(R836&lt;&gt;"",IF(R836&gt;P836,"Traité hors délai","Non"),IF(Q836="Classé sans suite","Non",IF(TODAY()&gt;P836,"OUI","Non"))))</f>
        <v/>
      </c>
      <c r="U836" s="11"/>
    </row>
    <row r="837" customFormat="false" ht="15" hidden="false" customHeight="false" outlineLevel="0" collapsed="false">
      <c r="A837" s="7" t="str">
        <f aca="false">IF(B837="","",YEAR(B837)&amp;"/"&amp;TEXT(ROW()-4,"0000"))</f>
        <v/>
      </c>
      <c r="B837" s="8"/>
      <c r="C837" s="7" t="str">
        <f aca="false">IF(B837="","",INT((B837-DATE(YEAR(B837-WEEKDAY(B837-1)+4),1,3)+WEEKDAY(DATE(YEAR(B837-WEEKDAY(B837-1)+4),1,3))+5)/7))</f>
        <v/>
      </c>
      <c r="D837" s="9" t="str">
        <f aca="false">IF(B837="","",B837-WEEKDAY(B837,2)+1)</f>
        <v/>
      </c>
      <c r="E837" s="10"/>
      <c r="F837" s="8"/>
      <c r="G837" s="11"/>
      <c r="H837" s="10"/>
      <c r="I837" s="11"/>
      <c r="J837" s="10"/>
      <c r="K837" s="10"/>
      <c r="L837" s="10"/>
      <c r="M837" s="11"/>
      <c r="N837" s="8"/>
      <c r="O837" s="7" t="str">
        <f aca="false">IF(L837="","",IFERROR(VLOOKUP(L837,Paramètres!$F$5:$G$8,2,FALSE()),""))</f>
        <v/>
      </c>
      <c r="P837" s="9" t="str">
        <f aca="false">IF(OR(B837="",O837=""),"",IF(N837="",B837,N837)+O837)</f>
        <v/>
      </c>
      <c r="Q837" s="10"/>
      <c r="R837" s="8"/>
      <c r="S837" s="7" t="str">
        <f aca="false">IF(OR(B837="",R837=""),"",R837-B837)</f>
        <v/>
      </c>
      <c r="T837" s="7" t="str">
        <f aca="true">IF(OR(B837="",P837=""),"",IF(R837&lt;&gt;"",IF(R837&gt;P837,"Traité hors délai","Non"),IF(Q837="Classé sans suite","Non",IF(TODAY()&gt;P837,"OUI","Non"))))</f>
        <v/>
      </c>
      <c r="U837" s="11"/>
    </row>
    <row r="838" customFormat="false" ht="15" hidden="false" customHeight="false" outlineLevel="0" collapsed="false">
      <c r="A838" s="7" t="str">
        <f aca="false">IF(B838="","",YEAR(B838)&amp;"/"&amp;TEXT(ROW()-4,"0000"))</f>
        <v/>
      </c>
      <c r="B838" s="8"/>
      <c r="C838" s="7" t="str">
        <f aca="false">IF(B838="","",INT((B838-DATE(YEAR(B838-WEEKDAY(B838-1)+4),1,3)+WEEKDAY(DATE(YEAR(B838-WEEKDAY(B838-1)+4),1,3))+5)/7))</f>
        <v/>
      </c>
      <c r="D838" s="9" t="str">
        <f aca="false">IF(B838="","",B838-WEEKDAY(B838,2)+1)</f>
        <v/>
      </c>
      <c r="E838" s="10"/>
      <c r="F838" s="8"/>
      <c r="G838" s="11"/>
      <c r="H838" s="10"/>
      <c r="I838" s="11"/>
      <c r="J838" s="10"/>
      <c r="K838" s="10"/>
      <c r="L838" s="10"/>
      <c r="M838" s="11"/>
      <c r="N838" s="8"/>
      <c r="O838" s="7" t="str">
        <f aca="false">IF(L838="","",IFERROR(VLOOKUP(L838,Paramètres!$F$5:$G$8,2,FALSE()),""))</f>
        <v/>
      </c>
      <c r="P838" s="9" t="str">
        <f aca="false">IF(OR(B838="",O838=""),"",IF(N838="",B838,N838)+O838)</f>
        <v/>
      </c>
      <c r="Q838" s="10"/>
      <c r="R838" s="8"/>
      <c r="S838" s="7" t="str">
        <f aca="false">IF(OR(B838="",R838=""),"",R838-B838)</f>
        <v/>
      </c>
      <c r="T838" s="7" t="str">
        <f aca="true">IF(OR(B838="",P838=""),"",IF(R838&lt;&gt;"",IF(R838&gt;P838,"Traité hors délai","Non"),IF(Q838="Classé sans suite","Non",IF(TODAY()&gt;P838,"OUI","Non"))))</f>
        <v/>
      </c>
      <c r="U838" s="11"/>
    </row>
    <row r="839" customFormat="false" ht="15" hidden="false" customHeight="false" outlineLevel="0" collapsed="false">
      <c r="A839" s="7" t="str">
        <f aca="false">IF(B839="","",YEAR(B839)&amp;"/"&amp;TEXT(ROW()-4,"0000"))</f>
        <v/>
      </c>
      <c r="B839" s="8"/>
      <c r="C839" s="7" t="str">
        <f aca="false">IF(B839="","",INT((B839-DATE(YEAR(B839-WEEKDAY(B839-1)+4),1,3)+WEEKDAY(DATE(YEAR(B839-WEEKDAY(B839-1)+4),1,3))+5)/7))</f>
        <v/>
      </c>
      <c r="D839" s="9" t="str">
        <f aca="false">IF(B839="","",B839-WEEKDAY(B839,2)+1)</f>
        <v/>
      </c>
      <c r="E839" s="10"/>
      <c r="F839" s="8"/>
      <c r="G839" s="11"/>
      <c r="H839" s="10"/>
      <c r="I839" s="11"/>
      <c r="J839" s="10"/>
      <c r="K839" s="10"/>
      <c r="L839" s="10"/>
      <c r="M839" s="11"/>
      <c r="N839" s="8"/>
      <c r="O839" s="7" t="str">
        <f aca="false">IF(L839="","",IFERROR(VLOOKUP(L839,Paramètres!$F$5:$G$8,2,FALSE()),""))</f>
        <v/>
      </c>
      <c r="P839" s="9" t="str">
        <f aca="false">IF(OR(B839="",O839=""),"",IF(N839="",B839,N839)+O839)</f>
        <v/>
      </c>
      <c r="Q839" s="10"/>
      <c r="R839" s="8"/>
      <c r="S839" s="7" t="str">
        <f aca="false">IF(OR(B839="",R839=""),"",R839-B839)</f>
        <v/>
      </c>
      <c r="T839" s="7" t="str">
        <f aca="true">IF(OR(B839="",P839=""),"",IF(R839&lt;&gt;"",IF(R839&gt;P839,"Traité hors délai","Non"),IF(Q839="Classé sans suite","Non",IF(TODAY()&gt;P839,"OUI","Non"))))</f>
        <v/>
      </c>
      <c r="U839" s="11"/>
    </row>
    <row r="840" customFormat="false" ht="15" hidden="false" customHeight="false" outlineLevel="0" collapsed="false">
      <c r="A840" s="7" t="str">
        <f aca="false">IF(B840="","",YEAR(B840)&amp;"/"&amp;TEXT(ROW()-4,"0000"))</f>
        <v/>
      </c>
      <c r="B840" s="8"/>
      <c r="C840" s="7" t="str">
        <f aca="false">IF(B840="","",INT((B840-DATE(YEAR(B840-WEEKDAY(B840-1)+4),1,3)+WEEKDAY(DATE(YEAR(B840-WEEKDAY(B840-1)+4),1,3))+5)/7))</f>
        <v/>
      </c>
      <c r="D840" s="9" t="str">
        <f aca="false">IF(B840="","",B840-WEEKDAY(B840,2)+1)</f>
        <v/>
      </c>
      <c r="E840" s="10"/>
      <c r="F840" s="8"/>
      <c r="G840" s="11"/>
      <c r="H840" s="10"/>
      <c r="I840" s="11"/>
      <c r="J840" s="10"/>
      <c r="K840" s="10"/>
      <c r="L840" s="10"/>
      <c r="M840" s="11"/>
      <c r="N840" s="8"/>
      <c r="O840" s="7" t="str">
        <f aca="false">IF(L840="","",IFERROR(VLOOKUP(L840,Paramètres!$F$5:$G$8,2,FALSE()),""))</f>
        <v/>
      </c>
      <c r="P840" s="9" t="str">
        <f aca="false">IF(OR(B840="",O840=""),"",IF(N840="",B840,N840)+O840)</f>
        <v/>
      </c>
      <c r="Q840" s="10"/>
      <c r="R840" s="8"/>
      <c r="S840" s="7" t="str">
        <f aca="false">IF(OR(B840="",R840=""),"",R840-B840)</f>
        <v/>
      </c>
      <c r="T840" s="7" t="str">
        <f aca="true">IF(OR(B840="",P840=""),"",IF(R840&lt;&gt;"",IF(R840&gt;P840,"Traité hors délai","Non"),IF(Q840="Classé sans suite","Non",IF(TODAY()&gt;P840,"OUI","Non"))))</f>
        <v/>
      </c>
      <c r="U840" s="11"/>
    </row>
    <row r="841" customFormat="false" ht="15" hidden="false" customHeight="false" outlineLevel="0" collapsed="false">
      <c r="A841" s="7" t="str">
        <f aca="false">IF(B841="","",YEAR(B841)&amp;"/"&amp;TEXT(ROW()-4,"0000"))</f>
        <v/>
      </c>
      <c r="B841" s="8"/>
      <c r="C841" s="7" t="str">
        <f aca="false">IF(B841="","",INT((B841-DATE(YEAR(B841-WEEKDAY(B841-1)+4),1,3)+WEEKDAY(DATE(YEAR(B841-WEEKDAY(B841-1)+4),1,3))+5)/7))</f>
        <v/>
      </c>
      <c r="D841" s="9" t="str">
        <f aca="false">IF(B841="","",B841-WEEKDAY(B841,2)+1)</f>
        <v/>
      </c>
      <c r="E841" s="10"/>
      <c r="F841" s="8"/>
      <c r="G841" s="11"/>
      <c r="H841" s="10"/>
      <c r="I841" s="11"/>
      <c r="J841" s="10"/>
      <c r="K841" s="10"/>
      <c r="L841" s="10"/>
      <c r="M841" s="11"/>
      <c r="N841" s="8"/>
      <c r="O841" s="7" t="str">
        <f aca="false">IF(L841="","",IFERROR(VLOOKUP(L841,Paramètres!$F$5:$G$8,2,FALSE()),""))</f>
        <v/>
      </c>
      <c r="P841" s="9" t="str">
        <f aca="false">IF(OR(B841="",O841=""),"",IF(N841="",B841,N841)+O841)</f>
        <v/>
      </c>
      <c r="Q841" s="10"/>
      <c r="R841" s="8"/>
      <c r="S841" s="7" t="str">
        <f aca="false">IF(OR(B841="",R841=""),"",R841-B841)</f>
        <v/>
      </c>
      <c r="T841" s="7" t="str">
        <f aca="true">IF(OR(B841="",P841=""),"",IF(R841&lt;&gt;"",IF(R841&gt;P841,"Traité hors délai","Non"),IF(Q841="Classé sans suite","Non",IF(TODAY()&gt;P841,"OUI","Non"))))</f>
        <v/>
      </c>
      <c r="U841" s="11"/>
    </row>
    <row r="842" customFormat="false" ht="15" hidden="false" customHeight="false" outlineLevel="0" collapsed="false">
      <c r="A842" s="7" t="str">
        <f aca="false">IF(B842="","",YEAR(B842)&amp;"/"&amp;TEXT(ROW()-4,"0000"))</f>
        <v/>
      </c>
      <c r="B842" s="8"/>
      <c r="C842" s="7" t="str">
        <f aca="false">IF(B842="","",INT((B842-DATE(YEAR(B842-WEEKDAY(B842-1)+4),1,3)+WEEKDAY(DATE(YEAR(B842-WEEKDAY(B842-1)+4),1,3))+5)/7))</f>
        <v/>
      </c>
      <c r="D842" s="9" t="str">
        <f aca="false">IF(B842="","",B842-WEEKDAY(B842,2)+1)</f>
        <v/>
      </c>
      <c r="E842" s="10"/>
      <c r="F842" s="8"/>
      <c r="G842" s="11"/>
      <c r="H842" s="10"/>
      <c r="I842" s="11"/>
      <c r="J842" s="10"/>
      <c r="K842" s="10"/>
      <c r="L842" s="10"/>
      <c r="M842" s="11"/>
      <c r="N842" s="8"/>
      <c r="O842" s="7" t="str">
        <f aca="false">IF(L842="","",IFERROR(VLOOKUP(L842,Paramètres!$F$5:$G$8,2,FALSE()),""))</f>
        <v/>
      </c>
      <c r="P842" s="9" t="str">
        <f aca="false">IF(OR(B842="",O842=""),"",IF(N842="",B842,N842)+O842)</f>
        <v/>
      </c>
      <c r="Q842" s="10"/>
      <c r="R842" s="8"/>
      <c r="S842" s="7" t="str">
        <f aca="false">IF(OR(B842="",R842=""),"",R842-B842)</f>
        <v/>
      </c>
      <c r="T842" s="7" t="str">
        <f aca="true">IF(OR(B842="",P842=""),"",IF(R842&lt;&gt;"",IF(R842&gt;P842,"Traité hors délai","Non"),IF(Q842="Classé sans suite","Non",IF(TODAY()&gt;P842,"OUI","Non"))))</f>
        <v/>
      </c>
      <c r="U842" s="11"/>
    </row>
    <row r="843" customFormat="false" ht="15" hidden="false" customHeight="false" outlineLevel="0" collapsed="false">
      <c r="A843" s="7" t="str">
        <f aca="false">IF(B843="","",YEAR(B843)&amp;"/"&amp;TEXT(ROW()-4,"0000"))</f>
        <v/>
      </c>
      <c r="B843" s="8"/>
      <c r="C843" s="7" t="str">
        <f aca="false">IF(B843="","",INT((B843-DATE(YEAR(B843-WEEKDAY(B843-1)+4),1,3)+WEEKDAY(DATE(YEAR(B843-WEEKDAY(B843-1)+4),1,3))+5)/7))</f>
        <v/>
      </c>
      <c r="D843" s="9" t="str">
        <f aca="false">IF(B843="","",B843-WEEKDAY(B843,2)+1)</f>
        <v/>
      </c>
      <c r="E843" s="10"/>
      <c r="F843" s="8"/>
      <c r="G843" s="11"/>
      <c r="H843" s="10"/>
      <c r="I843" s="11"/>
      <c r="J843" s="10"/>
      <c r="K843" s="10"/>
      <c r="L843" s="10"/>
      <c r="M843" s="11"/>
      <c r="N843" s="8"/>
      <c r="O843" s="7" t="str">
        <f aca="false">IF(L843="","",IFERROR(VLOOKUP(L843,Paramètres!$F$5:$G$8,2,FALSE()),""))</f>
        <v/>
      </c>
      <c r="P843" s="9" t="str">
        <f aca="false">IF(OR(B843="",O843=""),"",IF(N843="",B843,N843)+O843)</f>
        <v/>
      </c>
      <c r="Q843" s="10"/>
      <c r="R843" s="8"/>
      <c r="S843" s="7" t="str">
        <f aca="false">IF(OR(B843="",R843=""),"",R843-B843)</f>
        <v/>
      </c>
      <c r="T843" s="7" t="str">
        <f aca="true">IF(OR(B843="",P843=""),"",IF(R843&lt;&gt;"",IF(R843&gt;P843,"Traité hors délai","Non"),IF(Q843="Classé sans suite","Non",IF(TODAY()&gt;P843,"OUI","Non"))))</f>
        <v/>
      </c>
      <c r="U843" s="11"/>
    </row>
    <row r="844" customFormat="false" ht="15" hidden="false" customHeight="false" outlineLevel="0" collapsed="false">
      <c r="A844" s="7" t="str">
        <f aca="false">IF(B844="","",YEAR(B844)&amp;"/"&amp;TEXT(ROW()-4,"0000"))</f>
        <v/>
      </c>
      <c r="B844" s="8"/>
      <c r="C844" s="7" t="str">
        <f aca="false">IF(B844="","",INT((B844-DATE(YEAR(B844-WEEKDAY(B844-1)+4),1,3)+WEEKDAY(DATE(YEAR(B844-WEEKDAY(B844-1)+4),1,3))+5)/7))</f>
        <v/>
      </c>
      <c r="D844" s="9" t="str">
        <f aca="false">IF(B844="","",B844-WEEKDAY(B844,2)+1)</f>
        <v/>
      </c>
      <c r="E844" s="10"/>
      <c r="F844" s="8"/>
      <c r="G844" s="11"/>
      <c r="H844" s="10"/>
      <c r="I844" s="11"/>
      <c r="J844" s="10"/>
      <c r="K844" s="10"/>
      <c r="L844" s="10"/>
      <c r="M844" s="11"/>
      <c r="N844" s="8"/>
      <c r="O844" s="7" t="str">
        <f aca="false">IF(L844="","",IFERROR(VLOOKUP(L844,Paramètres!$F$5:$G$8,2,FALSE()),""))</f>
        <v/>
      </c>
      <c r="P844" s="9" t="str">
        <f aca="false">IF(OR(B844="",O844=""),"",IF(N844="",B844,N844)+O844)</f>
        <v/>
      </c>
      <c r="Q844" s="10"/>
      <c r="R844" s="8"/>
      <c r="S844" s="7" t="str">
        <f aca="false">IF(OR(B844="",R844=""),"",R844-B844)</f>
        <v/>
      </c>
      <c r="T844" s="7" t="str">
        <f aca="true">IF(OR(B844="",P844=""),"",IF(R844&lt;&gt;"",IF(R844&gt;P844,"Traité hors délai","Non"),IF(Q844="Classé sans suite","Non",IF(TODAY()&gt;P844,"OUI","Non"))))</f>
        <v/>
      </c>
      <c r="U844" s="11"/>
    </row>
    <row r="845" customFormat="false" ht="15" hidden="false" customHeight="false" outlineLevel="0" collapsed="false">
      <c r="A845" s="7" t="str">
        <f aca="false">IF(B845="","",YEAR(B845)&amp;"/"&amp;TEXT(ROW()-4,"0000"))</f>
        <v/>
      </c>
      <c r="B845" s="8"/>
      <c r="C845" s="7" t="str">
        <f aca="false">IF(B845="","",INT((B845-DATE(YEAR(B845-WEEKDAY(B845-1)+4),1,3)+WEEKDAY(DATE(YEAR(B845-WEEKDAY(B845-1)+4),1,3))+5)/7))</f>
        <v/>
      </c>
      <c r="D845" s="9" t="str">
        <f aca="false">IF(B845="","",B845-WEEKDAY(B845,2)+1)</f>
        <v/>
      </c>
      <c r="E845" s="10"/>
      <c r="F845" s="8"/>
      <c r="G845" s="11"/>
      <c r="H845" s="10"/>
      <c r="I845" s="11"/>
      <c r="J845" s="10"/>
      <c r="K845" s="10"/>
      <c r="L845" s="10"/>
      <c r="M845" s="11"/>
      <c r="N845" s="8"/>
      <c r="O845" s="7" t="str">
        <f aca="false">IF(L845="","",IFERROR(VLOOKUP(L845,Paramètres!$F$5:$G$8,2,FALSE()),""))</f>
        <v/>
      </c>
      <c r="P845" s="9" t="str">
        <f aca="false">IF(OR(B845="",O845=""),"",IF(N845="",B845,N845)+O845)</f>
        <v/>
      </c>
      <c r="Q845" s="10"/>
      <c r="R845" s="8"/>
      <c r="S845" s="7" t="str">
        <f aca="false">IF(OR(B845="",R845=""),"",R845-B845)</f>
        <v/>
      </c>
      <c r="T845" s="7" t="str">
        <f aca="true">IF(OR(B845="",P845=""),"",IF(R845&lt;&gt;"",IF(R845&gt;P845,"Traité hors délai","Non"),IF(Q845="Classé sans suite","Non",IF(TODAY()&gt;P845,"OUI","Non"))))</f>
        <v/>
      </c>
      <c r="U845" s="11"/>
    </row>
    <row r="846" customFormat="false" ht="15" hidden="false" customHeight="false" outlineLevel="0" collapsed="false">
      <c r="A846" s="7" t="str">
        <f aca="false">IF(B846="","",YEAR(B846)&amp;"/"&amp;TEXT(ROW()-4,"0000"))</f>
        <v/>
      </c>
      <c r="B846" s="8"/>
      <c r="C846" s="7" t="str">
        <f aca="false">IF(B846="","",INT((B846-DATE(YEAR(B846-WEEKDAY(B846-1)+4),1,3)+WEEKDAY(DATE(YEAR(B846-WEEKDAY(B846-1)+4),1,3))+5)/7))</f>
        <v/>
      </c>
      <c r="D846" s="9" t="str">
        <f aca="false">IF(B846="","",B846-WEEKDAY(B846,2)+1)</f>
        <v/>
      </c>
      <c r="E846" s="10"/>
      <c r="F846" s="8"/>
      <c r="G846" s="11"/>
      <c r="H846" s="10"/>
      <c r="I846" s="11"/>
      <c r="J846" s="10"/>
      <c r="K846" s="10"/>
      <c r="L846" s="10"/>
      <c r="M846" s="11"/>
      <c r="N846" s="8"/>
      <c r="O846" s="7" t="str">
        <f aca="false">IF(L846="","",IFERROR(VLOOKUP(L846,Paramètres!$F$5:$G$8,2,FALSE()),""))</f>
        <v/>
      </c>
      <c r="P846" s="9" t="str">
        <f aca="false">IF(OR(B846="",O846=""),"",IF(N846="",B846,N846)+O846)</f>
        <v/>
      </c>
      <c r="Q846" s="10"/>
      <c r="R846" s="8"/>
      <c r="S846" s="7" t="str">
        <f aca="false">IF(OR(B846="",R846=""),"",R846-B846)</f>
        <v/>
      </c>
      <c r="T846" s="7" t="str">
        <f aca="true">IF(OR(B846="",P846=""),"",IF(R846&lt;&gt;"",IF(R846&gt;P846,"Traité hors délai","Non"),IF(Q846="Classé sans suite","Non",IF(TODAY()&gt;P846,"OUI","Non"))))</f>
        <v/>
      </c>
      <c r="U846" s="11"/>
    </row>
    <row r="847" customFormat="false" ht="15" hidden="false" customHeight="false" outlineLevel="0" collapsed="false">
      <c r="A847" s="7" t="str">
        <f aca="false">IF(B847="","",YEAR(B847)&amp;"/"&amp;TEXT(ROW()-4,"0000"))</f>
        <v/>
      </c>
      <c r="B847" s="8"/>
      <c r="C847" s="7" t="str">
        <f aca="false">IF(B847="","",INT((B847-DATE(YEAR(B847-WEEKDAY(B847-1)+4),1,3)+WEEKDAY(DATE(YEAR(B847-WEEKDAY(B847-1)+4),1,3))+5)/7))</f>
        <v/>
      </c>
      <c r="D847" s="9" t="str">
        <f aca="false">IF(B847="","",B847-WEEKDAY(B847,2)+1)</f>
        <v/>
      </c>
      <c r="E847" s="10"/>
      <c r="F847" s="8"/>
      <c r="G847" s="11"/>
      <c r="H847" s="10"/>
      <c r="I847" s="11"/>
      <c r="J847" s="10"/>
      <c r="K847" s="10"/>
      <c r="L847" s="10"/>
      <c r="M847" s="11"/>
      <c r="N847" s="8"/>
      <c r="O847" s="7" t="str">
        <f aca="false">IF(L847="","",IFERROR(VLOOKUP(L847,Paramètres!$F$5:$G$8,2,FALSE()),""))</f>
        <v/>
      </c>
      <c r="P847" s="9" t="str">
        <f aca="false">IF(OR(B847="",O847=""),"",IF(N847="",B847,N847)+O847)</f>
        <v/>
      </c>
      <c r="Q847" s="10"/>
      <c r="R847" s="8"/>
      <c r="S847" s="7" t="str">
        <f aca="false">IF(OR(B847="",R847=""),"",R847-B847)</f>
        <v/>
      </c>
      <c r="T847" s="7" t="str">
        <f aca="true">IF(OR(B847="",P847=""),"",IF(R847&lt;&gt;"",IF(R847&gt;P847,"Traité hors délai","Non"),IF(Q847="Classé sans suite","Non",IF(TODAY()&gt;P847,"OUI","Non"))))</f>
        <v/>
      </c>
      <c r="U847" s="11"/>
    </row>
    <row r="848" customFormat="false" ht="15" hidden="false" customHeight="false" outlineLevel="0" collapsed="false">
      <c r="A848" s="7" t="str">
        <f aca="false">IF(B848="","",YEAR(B848)&amp;"/"&amp;TEXT(ROW()-4,"0000"))</f>
        <v/>
      </c>
      <c r="B848" s="8"/>
      <c r="C848" s="7" t="str">
        <f aca="false">IF(B848="","",INT((B848-DATE(YEAR(B848-WEEKDAY(B848-1)+4),1,3)+WEEKDAY(DATE(YEAR(B848-WEEKDAY(B848-1)+4),1,3))+5)/7))</f>
        <v/>
      </c>
      <c r="D848" s="9" t="str">
        <f aca="false">IF(B848="","",B848-WEEKDAY(B848,2)+1)</f>
        <v/>
      </c>
      <c r="E848" s="10"/>
      <c r="F848" s="8"/>
      <c r="G848" s="11"/>
      <c r="H848" s="10"/>
      <c r="I848" s="11"/>
      <c r="J848" s="10"/>
      <c r="K848" s="10"/>
      <c r="L848" s="10"/>
      <c r="M848" s="11"/>
      <c r="N848" s="8"/>
      <c r="O848" s="7" t="str">
        <f aca="false">IF(L848="","",IFERROR(VLOOKUP(L848,Paramètres!$F$5:$G$8,2,FALSE()),""))</f>
        <v/>
      </c>
      <c r="P848" s="9" t="str">
        <f aca="false">IF(OR(B848="",O848=""),"",IF(N848="",B848,N848)+O848)</f>
        <v/>
      </c>
      <c r="Q848" s="10"/>
      <c r="R848" s="8"/>
      <c r="S848" s="7" t="str">
        <f aca="false">IF(OR(B848="",R848=""),"",R848-B848)</f>
        <v/>
      </c>
      <c r="T848" s="7" t="str">
        <f aca="true">IF(OR(B848="",P848=""),"",IF(R848&lt;&gt;"",IF(R848&gt;P848,"Traité hors délai","Non"),IF(Q848="Classé sans suite","Non",IF(TODAY()&gt;P848,"OUI","Non"))))</f>
        <v/>
      </c>
      <c r="U848" s="11"/>
    </row>
    <row r="849" customFormat="false" ht="15" hidden="false" customHeight="false" outlineLevel="0" collapsed="false">
      <c r="A849" s="7" t="str">
        <f aca="false">IF(B849="","",YEAR(B849)&amp;"/"&amp;TEXT(ROW()-4,"0000"))</f>
        <v/>
      </c>
      <c r="B849" s="8"/>
      <c r="C849" s="7" t="str">
        <f aca="false">IF(B849="","",INT((B849-DATE(YEAR(B849-WEEKDAY(B849-1)+4),1,3)+WEEKDAY(DATE(YEAR(B849-WEEKDAY(B849-1)+4),1,3))+5)/7))</f>
        <v/>
      </c>
      <c r="D849" s="9" t="str">
        <f aca="false">IF(B849="","",B849-WEEKDAY(B849,2)+1)</f>
        <v/>
      </c>
      <c r="E849" s="10"/>
      <c r="F849" s="8"/>
      <c r="G849" s="11"/>
      <c r="H849" s="10"/>
      <c r="I849" s="11"/>
      <c r="J849" s="10"/>
      <c r="K849" s="10"/>
      <c r="L849" s="10"/>
      <c r="M849" s="11"/>
      <c r="N849" s="8"/>
      <c r="O849" s="7" t="str">
        <f aca="false">IF(L849="","",IFERROR(VLOOKUP(L849,Paramètres!$F$5:$G$8,2,FALSE()),""))</f>
        <v/>
      </c>
      <c r="P849" s="9" t="str">
        <f aca="false">IF(OR(B849="",O849=""),"",IF(N849="",B849,N849)+O849)</f>
        <v/>
      </c>
      <c r="Q849" s="10"/>
      <c r="R849" s="8"/>
      <c r="S849" s="7" t="str">
        <f aca="false">IF(OR(B849="",R849=""),"",R849-B849)</f>
        <v/>
      </c>
      <c r="T849" s="7" t="str">
        <f aca="true">IF(OR(B849="",P849=""),"",IF(R849&lt;&gt;"",IF(R849&gt;P849,"Traité hors délai","Non"),IF(Q849="Classé sans suite","Non",IF(TODAY()&gt;P849,"OUI","Non"))))</f>
        <v/>
      </c>
      <c r="U849" s="11"/>
    </row>
    <row r="850" customFormat="false" ht="15" hidden="false" customHeight="false" outlineLevel="0" collapsed="false">
      <c r="A850" s="7" t="str">
        <f aca="false">IF(B850="","",YEAR(B850)&amp;"/"&amp;TEXT(ROW()-4,"0000"))</f>
        <v/>
      </c>
      <c r="B850" s="8"/>
      <c r="C850" s="7" t="str">
        <f aca="false">IF(B850="","",INT((B850-DATE(YEAR(B850-WEEKDAY(B850-1)+4),1,3)+WEEKDAY(DATE(YEAR(B850-WEEKDAY(B850-1)+4),1,3))+5)/7))</f>
        <v/>
      </c>
      <c r="D850" s="9" t="str">
        <f aca="false">IF(B850="","",B850-WEEKDAY(B850,2)+1)</f>
        <v/>
      </c>
      <c r="E850" s="10"/>
      <c r="F850" s="8"/>
      <c r="G850" s="11"/>
      <c r="H850" s="10"/>
      <c r="I850" s="11"/>
      <c r="J850" s="10"/>
      <c r="K850" s="10"/>
      <c r="L850" s="10"/>
      <c r="M850" s="11"/>
      <c r="N850" s="8"/>
      <c r="O850" s="7" t="str">
        <f aca="false">IF(L850="","",IFERROR(VLOOKUP(L850,Paramètres!$F$5:$G$8,2,FALSE()),""))</f>
        <v/>
      </c>
      <c r="P850" s="9" t="str">
        <f aca="false">IF(OR(B850="",O850=""),"",IF(N850="",B850,N850)+O850)</f>
        <v/>
      </c>
      <c r="Q850" s="10"/>
      <c r="R850" s="8"/>
      <c r="S850" s="7" t="str">
        <f aca="false">IF(OR(B850="",R850=""),"",R850-B850)</f>
        <v/>
      </c>
      <c r="T850" s="7" t="str">
        <f aca="true">IF(OR(B850="",P850=""),"",IF(R850&lt;&gt;"",IF(R850&gt;P850,"Traité hors délai","Non"),IF(Q850="Classé sans suite","Non",IF(TODAY()&gt;P850,"OUI","Non"))))</f>
        <v/>
      </c>
      <c r="U850" s="11"/>
    </row>
    <row r="851" customFormat="false" ht="15" hidden="false" customHeight="false" outlineLevel="0" collapsed="false">
      <c r="A851" s="7" t="str">
        <f aca="false">IF(B851="","",YEAR(B851)&amp;"/"&amp;TEXT(ROW()-4,"0000"))</f>
        <v/>
      </c>
      <c r="B851" s="8"/>
      <c r="C851" s="7" t="str">
        <f aca="false">IF(B851="","",INT((B851-DATE(YEAR(B851-WEEKDAY(B851-1)+4),1,3)+WEEKDAY(DATE(YEAR(B851-WEEKDAY(B851-1)+4),1,3))+5)/7))</f>
        <v/>
      </c>
      <c r="D851" s="9" t="str">
        <f aca="false">IF(B851="","",B851-WEEKDAY(B851,2)+1)</f>
        <v/>
      </c>
      <c r="E851" s="10"/>
      <c r="F851" s="8"/>
      <c r="G851" s="11"/>
      <c r="H851" s="10"/>
      <c r="I851" s="11"/>
      <c r="J851" s="10"/>
      <c r="K851" s="10"/>
      <c r="L851" s="10"/>
      <c r="M851" s="11"/>
      <c r="N851" s="8"/>
      <c r="O851" s="7" t="str">
        <f aca="false">IF(L851="","",IFERROR(VLOOKUP(L851,Paramètres!$F$5:$G$8,2,FALSE()),""))</f>
        <v/>
      </c>
      <c r="P851" s="9" t="str">
        <f aca="false">IF(OR(B851="",O851=""),"",IF(N851="",B851,N851)+O851)</f>
        <v/>
      </c>
      <c r="Q851" s="10"/>
      <c r="R851" s="8"/>
      <c r="S851" s="7" t="str">
        <f aca="false">IF(OR(B851="",R851=""),"",R851-B851)</f>
        <v/>
      </c>
      <c r="T851" s="7" t="str">
        <f aca="true">IF(OR(B851="",P851=""),"",IF(R851&lt;&gt;"",IF(R851&gt;P851,"Traité hors délai","Non"),IF(Q851="Classé sans suite","Non",IF(TODAY()&gt;P851,"OUI","Non"))))</f>
        <v/>
      </c>
      <c r="U851" s="11"/>
    </row>
    <row r="852" customFormat="false" ht="15" hidden="false" customHeight="false" outlineLevel="0" collapsed="false">
      <c r="A852" s="7" t="str">
        <f aca="false">IF(B852="","",YEAR(B852)&amp;"/"&amp;TEXT(ROW()-4,"0000"))</f>
        <v/>
      </c>
      <c r="B852" s="8"/>
      <c r="C852" s="7" t="str">
        <f aca="false">IF(B852="","",INT((B852-DATE(YEAR(B852-WEEKDAY(B852-1)+4),1,3)+WEEKDAY(DATE(YEAR(B852-WEEKDAY(B852-1)+4),1,3))+5)/7))</f>
        <v/>
      </c>
      <c r="D852" s="9" t="str">
        <f aca="false">IF(B852="","",B852-WEEKDAY(B852,2)+1)</f>
        <v/>
      </c>
      <c r="E852" s="10"/>
      <c r="F852" s="8"/>
      <c r="G852" s="11"/>
      <c r="H852" s="10"/>
      <c r="I852" s="11"/>
      <c r="J852" s="10"/>
      <c r="K852" s="10"/>
      <c r="L852" s="10"/>
      <c r="M852" s="11"/>
      <c r="N852" s="8"/>
      <c r="O852" s="7" t="str">
        <f aca="false">IF(L852="","",IFERROR(VLOOKUP(L852,Paramètres!$F$5:$G$8,2,FALSE()),""))</f>
        <v/>
      </c>
      <c r="P852" s="9" t="str">
        <f aca="false">IF(OR(B852="",O852=""),"",IF(N852="",B852,N852)+O852)</f>
        <v/>
      </c>
      <c r="Q852" s="10"/>
      <c r="R852" s="8"/>
      <c r="S852" s="7" t="str">
        <f aca="false">IF(OR(B852="",R852=""),"",R852-B852)</f>
        <v/>
      </c>
      <c r="T852" s="7" t="str">
        <f aca="true">IF(OR(B852="",P852=""),"",IF(R852&lt;&gt;"",IF(R852&gt;P852,"Traité hors délai","Non"),IF(Q852="Classé sans suite","Non",IF(TODAY()&gt;P852,"OUI","Non"))))</f>
        <v/>
      </c>
      <c r="U852" s="11"/>
    </row>
    <row r="853" customFormat="false" ht="15" hidden="false" customHeight="false" outlineLevel="0" collapsed="false">
      <c r="A853" s="7" t="str">
        <f aca="false">IF(B853="","",YEAR(B853)&amp;"/"&amp;TEXT(ROW()-4,"0000"))</f>
        <v/>
      </c>
      <c r="B853" s="8"/>
      <c r="C853" s="7" t="str">
        <f aca="false">IF(B853="","",INT((B853-DATE(YEAR(B853-WEEKDAY(B853-1)+4),1,3)+WEEKDAY(DATE(YEAR(B853-WEEKDAY(B853-1)+4),1,3))+5)/7))</f>
        <v/>
      </c>
      <c r="D853" s="9" t="str">
        <f aca="false">IF(B853="","",B853-WEEKDAY(B853,2)+1)</f>
        <v/>
      </c>
      <c r="E853" s="10"/>
      <c r="F853" s="8"/>
      <c r="G853" s="11"/>
      <c r="H853" s="10"/>
      <c r="I853" s="11"/>
      <c r="J853" s="10"/>
      <c r="K853" s="10"/>
      <c r="L853" s="10"/>
      <c r="M853" s="11"/>
      <c r="N853" s="8"/>
      <c r="O853" s="7" t="str">
        <f aca="false">IF(L853="","",IFERROR(VLOOKUP(L853,Paramètres!$F$5:$G$8,2,FALSE()),""))</f>
        <v/>
      </c>
      <c r="P853" s="9" t="str">
        <f aca="false">IF(OR(B853="",O853=""),"",IF(N853="",B853,N853)+O853)</f>
        <v/>
      </c>
      <c r="Q853" s="10"/>
      <c r="R853" s="8"/>
      <c r="S853" s="7" t="str">
        <f aca="false">IF(OR(B853="",R853=""),"",R853-B853)</f>
        <v/>
      </c>
      <c r="T853" s="7" t="str">
        <f aca="true">IF(OR(B853="",P853=""),"",IF(R853&lt;&gt;"",IF(R853&gt;P853,"Traité hors délai","Non"),IF(Q853="Classé sans suite","Non",IF(TODAY()&gt;P853,"OUI","Non"))))</f>
        <v/>
      </c>
      <c r="U853" s="11"/>
    </row>
    <row r="854" customFormat="false" ht="15" hidden="false" customHeight="false" outlineLevel="0" collapsed="false">
      <c r="A854" s="7" t="str">
        <f aca="false">IF(B854="","",YEAR(B854)&amp;"/"&amp;TEXT(ROW()-4,"0000"))</f>
        <v/>
      </c>
      <c r="B854" s="8"/>
      <c r="C854" s="7" t="str">
        <f aca="false">IF(B854="","",INT((B854-DATE(YEAR(B854-WEEKDAY(B854-1)+4),1,3)+WEEKDAY(DATE(YEAR(B854-WEEKDAY(B854-1)+4),1,3))+5)/7))</f>
        <v/>
      </c>
      <c r="D854" s="9" t="str">
        <f aca="false">IF(B854="","",B854-WEEKDAY(B854,2)+1)</f>
        <v/>
      </c>
      <c r="E854" s="10"/>
      <c r="F854" s="8"/>
      <c r="G854" s="11"/>
      <c r="H854" s="10"/>
      <c r="I854" s="11"/>
      <c r="J854" s="10"/>
      <c r="K854" s="10"/>
      <c r="L854" s="10"/>
      <c r="M854" s="11"/>
      <c r="N854" s="8"/>
      <c r="O854" s="7" t="str">
        <f aca="false">IF(L854="","",IFERROR(VLOOKUP(L854,Paramètres!$F$5:$G$8,2,FALSE()),""))</f>
        <v/>
      </c>
      <c r="P854" s="9" t="str">
        <f aca="false">IF(OR(B854="",O854=""),"",IF(N854="",B854,N854)+O854)</f>
        <v/>
      </c>
      <c r="Q854" s="10"/>
      <c r="R854" s="8"/>
      <c r="S854" s="7" t="str">
        <f aca="false">IF(OR(B854="",R854=""),"",R854-B854)</f>
        <v/>
      </c>
      <c r="T854" s="7" t="str">
        <f aca="true">IF(OR(B854="",P854=""),"",IF(R854&lt;&gt;"",IF(R854&gt;P854,"Traité hors délai","Non"),IF(Q854="Classé sans suite","Non",IF(TODAY()&gt;P854,"OUI","Non"))))</f>
        <v/>
      </c>
      <c r="U854" s="11"/>
    </row>
    <row r="855" customFormat="false" ht="15" hidden="false" customHeight="false" outlineLevel="0" collapsed="false">
      <c r="A855" s="7" t="str">
        <f aca="false">IF(B855="","",YEAR(B855)&amp;"/"&amp;TEXT(ROW()-4,"0000"))</f>
        <v/>
      </c>
      <c r="B855" s="8"/>
      <c r="C855" s="7" t="str">
        <f aca="false">IF(B855="","",INT((B855-DATE(YEAR(B855-WEEKDAY(B855-1)+4),1,3)+WEEKDAY(DATE(YEAR(B855-WEEKDAY(B855-1)+4),1,3))+5)/7))</f>
        <v/>
      </c>
      <c r="D855" s="9" t="str">
        <f aca="false">IF(B855="","",B855-WEEKDAY(B855,2)+1)</f>
        <v/>
      </c>
      <c r="E855" s="10"/>
      <c r="F855" s="8"/>
      <c r="G855" s="11"/>
      <c r="H855" s="10"/>
      <c r="I855" s="11"/>
      <c r="J855" s="10"/>
      <c r="K855" s="10"/>
      <c r="L855" s="10"/>
      <c r="M855" s="11"/>
      <c r="N855" s="8"/>
      <c r="O855" s="7" t="str">
        <f aca="false">IF(L855="","",IFERROR(VLOOKUP(L855,Paramètres!$F$5:$G$8,2,FALSE()),""))</f>
        <v/>
      </c>
      <c r="P855" s="9" t="str">
        <f aca="false">IF(OR(B855="",O855=""),"",IF(N855="",B855,N855)+O855)</f>
        <v/>
      </c>
      <c r="Q855" s="10"/>
      <c r="R855" s="8"/>
      <c r="S855" s="7" t="str">
        <f aca="false">IF(OR(B855="",R855=""),"",R855-B855)</f>
        <v/>
      </c>
      <c r="T855" s="7" t="str">
        <f aca="true">IF(OR(B855="",P855=""),"",IF(R855&lt;&gt;"",IF(R855&gt;P855,"Traité hors délai","Non"),IF(Q855="Classé sans suite","Non",IF(TODAY()&gt;P855,"OUI","Non"))))</f>
        <v/>
      </c>
      <c r="U855" s="11"/>
    </row>
    <row r="856" customFormat="false" ht="15" hidden="false" customHeight="false" outlineLevel="0" collapsed="false">
      <c r="A856" s="7" t="str">
        <f aca="false">IF(B856="","",YEAR(B856)&amp;"/"&amp;TEXT(ROW()-4,"0000"))</f>
        <v/>
      </c>
      <c r="B856" s="8"/>
      <c r="C856" s="7" t="str">
        <f aca="false">IF(B856="","",INT((B856-DATE(YEAR(B856-WEEKDAY(B856-1)+4),1,3)+WEEKDAY(DATE(YEAR(B856-WEEKDAY(B856-1)+4),1,3))+5)/7))</f>
        <v/>
      </c>
      <c r="D856" s="9" t="str">
        <f aca="false">IF(B856="","",B856-WEEKDAY(B856,2)+1)</f>
        <v/>
      </c>
      <c r="E856" s="10"/>
      <c r="F856" s="8"/>
      <c r="G856" s="11"/>
      <c r="H856" s="10"/>
      <c r="I856" s="11"/>
      <c r="J856" s="10"/>
      <c r="K856" s="10"/>
      <c r="L856" s="10"/>
      <c r="M856" s="11"/>
      <c r="N856" s="8"/>
      <c r="O856" s="7" t="str">
        <f aca="false">IF(L856="","",IFERROR(VLOOKUP(L856,Paramètres!$F$5:$G$8,2,FALSE()),""))</f>
        <v/>
      </c>
      <c r="P856" s="9" t="str">
        <f aca="false">IF(OR(B856="",O856=""),"",IF(N856="",B856,N856)+O856)</f>
        <v/>
      </c>
      <c r="Q856" s="10"/>
      <c r="R856" s="8"/>
      <c r="S856" s="7" t="str">
        <f aca="false">IF(OR(B856="",R856=""),"",R856-B856)</f>
        <v/>
      </c>
      <c r="T856" s="7" t="str">
        <f aca="true">IF(OR(B856="",P856=""),"",IF(R856&lt;&gt;"",IF(R856&gt;P856,"Traité hors délai","Non"),IF(Q856="Classé sans suite","Non",IF(TODAY()&gt;P856,"OUI","Non"))))</f>
        <v/>
      </c>
      <c r="U856" s="11"/>
    </row>
    <row r="857" customFormat="false" ht="15" hidden="false" customHeight="false" outlineLevel="0" collapsed="false">
      <c r="A857" s="7" t="str">
        <f aca="false">IF(B857="","",YEAR(B857)&amp;"/"&amp;TEXT(ROW()-4,"0000"))</f>
        <v/>
      </c>
      <c r="B857" s="8"/>
      <c r="C857" s="7" t="str">
        <f aca="false">IF(B857="","",INT((B857-DATE(YEAR(B857-WEEKDAY(B857-1)+4),1,3)+WEEKDAY(DATE(YEAR(B857-WEEKDAY(B857-1)+4),1,3))+5)/7))</f>
        <v/>
      </c>
      <c r="D857" s="9" t="str">
        <f aca="false">IF(B857="","",B857-WEEKDAY(B857,2)+1)</f>
        <v/>
      </c>
      <c r="E857" s="10"/>
      <c r="F857" s="8"/>
      <c r="G857" s="11"/>
      <c r="H857" s="10"/>
      <c r="I857" s="11"/>
      <c r="J857" s="10"/>
      <c r="K857" s="10"/>
      <c r="L857" s="10"/>
      <c r="M857" s="11"/>
      <c r="N857" s="8"/>
      <c r="O857" s="7" t="str">
        <f aca="false">IF(L857="","",IFERROR(VLOOKUP(L857,Paramètres!$F$5:$G$8,2,FALSE()),""))</f>
        <v/>
      </c>
      <c r="P857" s="9" t="str">
        <f aca="false">IF(OR(B857="",O857=""),"",IF(N857="",B857,N857)+O857)</f>
        <v/>
      </c>
      <c r="Q857" s="10"/>
      <c r="R857" s="8"/>
      <c r="S857" s="7" t="str">
        <f aca="false">IF(OR(B857="",R857=""),"",R857-B857)</f>
        <v/>
      </c>
      <c r="T857" s="7" t="str">
        <f aca="true">IF(OR(B857="",P857=""),"",IF(R857&lt;&gt;"",IF(R857&gt;P857,"Traité hors délai","Non"),IF(Q857="Classé sans suite","Non",IF(TODAY()&gt;P857,"OUI","Non"))))</f>
        <v/>
      </c>
      <c r="U857" s="11"/>
    </row>
    <row r="858" customFormat="false" ht="15" hidden="false" customHeight="false" outlineLevel="0" collapsed="false">
      <c r="A858" s="7" t="str">
        <f aca="false">IF(B858="","",YEAR(B858)&amp;"/"&amp;TEXT(ROW()-4,"0000"))</f>
        <v/>
      </c>
      <c r="B858" s="8"/>
      <c r="C858" s="7" t="str">
        <f aca="false">IF(B858="","",INT((B858-DATE(YEAR(B858-WEEKDAY(B858-1)+4),1,3)+WEEKDAY(DATE(YEAR(B858-WEEKDAY(B858-1)+4),1,3))+5)/7))</f>
        <v/>
      </c>
      <c r="D858" s="9" t="str">
        <f aca="false">IF(B858="","",B858-WEEKDAY(B858,2)+1)</f>
        <v/>
      </c>
      <c r="E858" s="10"/>
      <c r="F858" s="8"/>
      <c r="G858" s="11"/>
      <c r="H858" s="10"/>
      <c r="I858" s="11"/>
      <c r="J858" s="10"/>
      <c r="K858" s="10"/>
      <c r="L858" s="10"/>
      <c r="M858" s="11"/>
      <c r="N858" s="8"/>
      <c r="O858" s="7" t="str">
        <f aca="false">IF(L858="","",IFERROR(VLOOKUP(L858,Paramètres!$F$5:$G$8,2,FALSE()),""))</f>
        <v/>
      </c>
      <c r="P858" s="9" t="str">
        <f aca="false">IF(OR(B858="",O858=""),"",IF(N858="",B858,N858)+O858)</f>
        <v/>
      </c>
      <c r="Q858" s="10"/>
      <c r="R858" s="8"/>
      <c r="S858" s="7" t="str">
        <f aca="false">IF(OR(B858="",R858=""),"",R858-B858)</f>
        <v/>
      </c>
      <c r="T858" s="7" t="str">
        <f aca="true">IF(OR(B858="",P858=""),"",IF(R858&lt;&gt;"",IF(R858&gt;P858,"Traité hors délai","Non"),IF(Q858="Classé sans suite","Non",IF(TODAY()&gt;P858,"OUI","Non"))))</f>
        <v/>
      </c>
      <c r="U858" s="11"/>
    </row>
    <row r="859" customFormat="false" ht="15" hidden="false" customHeight="false" outlineLevel="0" collapsed="false">
      <c r="A859" s="7" t="str">
        <f aca="false">IF(B859="","",YEAR(B859)&amp;"/"&amp;TEXT(ROW()-4,"0000"))</f>
        <v/>
      </c>
      <c r="B859" s="8"/>
      <c r="C859" s="7" t="str">
        <f aca="false">IF(B859="","",INT((B859-DATE(YEAR(B859-WEEKDAY(B859-1)+4),1,3)+WEEKDAY(DATE(YEAR(B859-WEEKDAY(B859-1)+4),1,3))+5)/7))</f>
        <v/>
      </c>
      <c r="D859" s="9" t="str">
        <f aca="false">IF(B859="","",B859-WEEKDAY(B859,2)+1)</f>
        <v/>
      </c>
      <c r="E859" s="10"/>
      <c r="F859" s="8"/>
      <c r="G859" s="11"/>
      <c r="H859" s="10"/>
      <c r="I859" s="11"/>
      <c r="J859" s="10"/>
      <c r="K859" s="10"/>
      <c r="L859" s="10"/>
      <c r="M859" s="11"/>
      <c r="N859" s="8"/>
      <c r="O859" s="7" t="str">
        <f aca="false">IF(L859="","",IFERROR(VLOOKUP(L859,Paramètres!$F$5:$G$8,2,FALSE()),""))</f>
        <v/>
      </c>
      <c r="P859" s="9" t="str">
        <f aca="false">IF(OR(B859="",O859=""),"",IF(N859="",B859,N859)+O859)</f>
        <v/>
      </c>
      <c r="Q859" s="10"/>
      <c r="R859" s="8"/>
      <c r="S859" s="7" t="str">
        <f aca="false">IF(OR(B859="",R859=""),"",R859-B859)</f>
        <v/>
      </c>
      <c r="T859" s="7" t="str">
        <f aca="true">IF(OR(B859="",P859=""),"",IF(R859&lt;&gt;"",IF(R859&gt;P859,"Traité hors délai","Non"),IF(Q859="Classé sans suite","Non",IF(TODAY()&gt;P859,"OUI","Non"))))</f>
        <v/>
      </c>
      <c r="U859" s="11"/>
    </row>
    <row r="860" customFormat="false" ht="15" hidden="false" customHeight="false" outlineLevel="0" collapsed="false">
      <c r="A860" s="7" t="str">
        <f aca="false">IF(B860="","",YEAR(B860)&amp;"/"&amp;TEXT(ROW()-4,"0000"))</f>
        <v/>
      </c>
      <c r="B860" s="8"/>
      <c r="C860" s="7" t="str">
        <f aca="false">IF(B860="","",INT((B860-DATE(YEAR(B860-WEEKDAY(B860-1)+4),1,3)+WEEKDAY(DATE(YEAR(B860-WEEKDAY(B860-1)+4),1,3))+5)/7))</f>
        <v/>
      </c>
      <c r="D860" s="9" t="str">
        <f aca="false">IF(B860="","",B860-WEEKDAY(B860,2)+1)</f>
        <v/>
      </c>
      <c r="E860" s="10"/>
      <c r="F860" s="8"/>
      <c r="G860" s="11"/>
      <c r="H860" s="10"/>
      <c r="I860" s="11"/>
      <c r="J860" s="10"/>
      <c r="K860" s="10"/>
      <c r="L860" s="10"/>
      <c r="M860" s="11"/>
      <c r="N860" s="8"/>
      <c r="O860" s="7" t="str">
        <f aca="false">IF(L860="","",IFERROR(VLOOKUP(L860,Paramètres!$F$5:$G$8,2,FALSE()),""))</f>
        <v/>
      </c>
      <c r="P860" s="9" t="str">
        <f aca="false">IF(OR(B860="",O860=""),"",IF(N860="",B860,N860)+O860)</f>
        <v/>
      </c>
      <c r="Q860" s="10"/>
      <c r="R860" s="8"/>
      <c r="S860" s="7" t="str">
        <f aca="false">IF(OR(B860="",R860=""),"",R860-B860)</f>
        <v/>
      </c>
      <c r="T860" s="7" t="str">
        <f aca="true">IF(OR(B860="",P860=""),"",IF(R860&lt;&gt;"",IF(R860&gt;P860,"Traité hors délai","Non"),IF(Q860="Classé sans suite","Non",IF(TODAY()&gt;P860,"OUI","Non"))))</f>
        <v/>
      </c>
      <c r="U860" s="11"/>
    </row>
    <row r="861" customFormat="false" ht="15" hidden="false" customHeight="false" outlineLevel="0" collapsed="false">
      <c r="A861" s="7" t="str">
        <f aca="false">IF(B861="","",YEAR(B861)&amp;"/"&amp;TEXT(ROW()-4,"0000"))</f>
        <v/>
      </c>
      <c r="B861" s="8"/>
      <c r="C861" s="7" t="str">
        <f aca="false">IF(B861="","",INT((B861-DATE(YEAR(B861-WEEKDAY(B861-1)+4),1,3)+WEEKDAY(DATE(YEAR(B861-WEEKDAY(B861-1)+4),1,3))+5)/7))</f>
        <v/>
      </c>
      <c r="D861" s="9" t="str">
        <f aca="false">IF(B861="","",B861-WEEKDAY(B861,2)+1)</f>
        <v/>
      </c>
      <c r="E861" s="10"/>
      <c r="F861" s="8"/>
      <c r="G861" s="11"/>
      <c r="H861" s="10"/>
      <c r="I861" s="11"/>
      <c r="J861" s="10"/>
      <c r="K861" s="10"/>
      <c r="L861" s="10"/>
      <c r="M861" s="11"/>
      <c r="N861" s="8"/>
      <c r="O861" s="7" t="str">
        <f aca="false">IF(L861="","",IFERROR(VLOOKUP(L861,Paramètres!$F$5:$G$8,2,FALSE()),""))</f>
        <v/>
      </c>
      <c r="P861" s="9" t="str">
        <f aca="false">IF(OR(B861="",O861=""),"",IF(N861="",B861,N861)+O861)</f>
        <v/>
      </c>
      <c r="Q861" s="10"/>
      <c r="R861" s="8"/>
      <c r="S861" s="7" t="str">
        <f aca="false">IF(OR(B861="",R861=""),"",R861-B861)</f>
        <v/>
      </c>
      <c r="T861" s="7" t="str">
        <f aca="true">IF(OR(B861="",P861=""),"",IF(R861&lt;&gt;"",IF(R861&gt;P861,"Traité hors délai","Non"),IF(Q861="Classé sans suite","Non",IF(TODAY()&gt;P861,"OUI","Non"))))</f>
        <v/>
      </c>
      <c r="U861" s="11"/>
    </row>
    <row r="862" customFormat="false" ht="15" hidden="false" customHeight="false" outlineLevel="0" collapsed="false">
      <c r="A862" s="7" t="str">
        <f aca="false">IF(B862="","",YEAR(B862)&amp;"/"&amp;TEXT(ROW()-4,"0000"))</f>
        <v/>
      </c>
      <c r="B862" s="8"/>
      <c r="C862" s="7" t="str">
        <f aca="false">IF(B862="","",INT((B862-DATE(YEAR(B862-WEEKDAY(B862-1)+4),1,3)+WEEKDAY(DATE(YEAR(B862-WEEKDAY(B862-1)+4),1,3))+5)/7))</f>
        <v/>
      </c>
      <c r="D862" s="9" t="str">
        <f aca="false">IF(B862="","",B862-WEEKDAY(B862,2)+1)</f>
        <v/>
      </c>
      <c r="E862" s="10"/>
      <c r="F862" s="8"/>
      <c r="G862" s="11"/>
      <c r="H862" s="10"/>
      <c r="I862" s="11"/>
      <c r="J862" s="10"/>
      <c r="K862" s="10"/>
      <c r="L862" s="10"/>
      <c r="M862" s="11"/>
      <c r="N862" s="8"/>
      <c r="O862" s="7" t="str">
        <f aca="false">IF(L862="","",IFERROR(VLOOKUP(L862,Paramètres!$F$5:$G$8,2,FALSE()),""))</f>
        <v/>
      </c>
      <c r="P862" s="9" t="str">
        <f aca="false">IF(OR(B862="",O862=""),"",IF(N862="",B862,N862)+O862)</f>
        <v/>
      </c>
      <c r="Q862" s="10"/>
      <c r="R862" s="8"/>
      <c r="S862" s="7" t="str">
        <f aca="false">IF(OR(B862="",R862=""),"",R862-B862)</f>
        <v/>
      </c>
      <c r="T862" s="7" t="str">
        <f aca="true">IF(OR(B862="",P862=""),"",IF(R862&lt;&gt;"",IF(R862&gt;P862,"Traité hors délai","Non"),IF(Q862="Classé sans suite","Non",IF(TODAY()&gt;P862,"OUI","Non"))))</f>
        <v/>
      </c>
      <c r="U862" s="11"/>
    </row>
    <row r="863" customFormat="false" ht="15" hidden="false" customHeight="false" outlineLevel="0" collapsed="false">
      <c r="A863" s="7" t="str">
        <f aca="false">IF(B863="","",YEAR(B863)&amp;"/"&amp;TEXT(ROW()-4,"0000"))</f>
        <v/>
      </c>
      <c r="B863" s="8"/>
      <c r="C863" s="7" t="str">
        <f aca="false">IF(B863="","",INT((B863-DATE(YEAR(B863-WEEKDAY(B863-1)+4),1,3)+WEEKDAY(DATE(YEAR(B863-WEEKDAY(B863-1)+4),1,3))+5)/7))</f>
        <v/>
      </c>
      <c r="D863" s="9" t="str">
        <f aca="false">IF(B863="","",B863-WEEKDAY(B863,2)+1)</f>
        <v/>
      </c>
      <c r="E863" s="10"/>
      <c r="F863" s="8"/>
      <c r="G863" s="11"/>
      <c r="H863" s="10"/>
      <c r="I863" s="11"/>
      <c r="J863" s="10"/>
      <c r="K863" s="10"/>
      <c r="L863" s="10"/>
      <c r="M863" s="11"/>
      <c r="N863" s="8"/>
      <c r="O863" s="7" t="str">
        <f aca="false">IF(L863="","",IFERROR(VLOOKUP(L863,Paramètres!$F$5:$G$8,2,FALSE()),""))</f>
        <v/>
      </c>
      <c r="P863" s="9" t="str">
        <f aca="false">IF(OR(B863="",O863=""),"",IF(N863="",B863,N863)+O863)</f>
        <v/>
      </c>
      <c r="Q863" s="10"/>
      <c r="R863" s="8"/>
      <c r="S863" s="7" t="str">
        <f aca="false">IF(OR(B863="",R863=""),"",R863-B863)</f>
        <v/>
      </c>
      <c r="T863" s="7" t="str">
        <f aca="true">IF(OR(B863="",P863=""),"",IF(R863&lt;&gt;"",IF(R863&gt;P863,"Traité hors délai","Non"),IF(Q863="Classé sans suite","Non",IF(TODAY()&gt;P863,"OUI","Non"))))</f>
        <v/>
      </c>
      <c r="U863" s="11"/>
    </row>
    <row r="864" customFormat="false" ht="15" hidden="false" customHeight="false" outlineLevel="0" collapsed="false">
      <c r="A864" s="7" t="str">
        <f aca="false">IF(B864="","",YEAR(B864)&amp;"/"&amp;TEXT(ROW()-4,"0000"))</f>
        <v/>
      </c>
      <c r="B864" s="8"/>
      <c r="C864" s="7" t="str">
        <f aca="false">IF(B864="","",INT((B864-DATE(YEAR(B864-WEEKDAY(B864-1)+4),1,3)+WEEKDAY(DATE(YEAR(B864-WEEKDAY(B864-1)+4),1,3))+5)/7))</f>
        <v/>
      </c>
      <c r="D864" s="9" t="str">
        <f aca="false">IF(B864="","",B864-WEEKDAY(B864,2)+1)</f>
        <v/>
      </c>
      <c r="E864" s="10"/>
      <c r="F864" s="8"/>
      <c r="G864" s="11"/>
      <c r="H864" s="10"/>
      <c r="I864" s="11"/>
      <c r="J864" s="10"/>
      <c r="K864" s="10"/>
      <c r="L864" s="10"/>
      <c r="M864" s="11"/>
      <c r="N864" s="8"/>
      <c r="O864" s="7" t="str">
        <f aca="false">IF(L864="","",IFERROR(VLOOKUP(L864,Paramètres!$F$5:$G$8,2,FALSE()),""))</f>
        <v/>
      </c>
      <c r="P864" s="9" t="str">
        <f aca="false">IF(OR(B864="",O864=""),"",IF(N864="",B864,N864)+O864)</f>
        <v/>
      </c>
      <c r="Q864" s="10"/>
      <c r="R864" s="8"/>
      <c r="S864" s="7" t="str">
        <f aca="false">IF(OR(B864="",R864=""),"",R864-B864)</f>
        <v/>
      </c>
      <c r="T864" s="7" t="str">
        <f aca="true">IF(OR(B864="",P864=""),"",IF(R864&lt;&gt;"",IF(R864&gt;P864,"Traité hors délai","Non"),IF(Q864="Classé sans suite","Non",IF(TODAY()&gt;P864,"OUI","Non"))))</f>
        <v/>
      </c>
      <c r="U864" s="11"/>
    </row>
    <row r="865" customFormat="false" ht="15" hidden="false" customHeight="false" outlineLevel="0" collapsed="false">
      <c r="A865" s="7" t="str">
        <f aca="false">IF(B865="","",YEAR(B865)&amp;"/"&amp;TEXT(ROW()-4,"0000"))</f>
        <v/>
      </c>
      <c r="B865" s="8"/>
      <c r="C865" s="7" t="str">
        <f aca="false">IF(B865="","",INT((B865-DATE(YEAR(B865-WEEKDAY(B865-1)+4),1,3)+WEEKDAY(DATE(YEAR(B865-WEEKDAY(B865-1)+4),1,3))+5)/7))</f>
        <v/>
      </c>
      <c r="D865" s="9" t="str">
        <f aca="false">IF(B865="","",B865-WEEKDAY(B865,2)+1)</f>
        <v/>
      </c>
      <c r="E865" s="10"/>
      <c r="F865" s="8"/>
      <c r="G865" s="11"/>
      <c r="H865" s="10"/>
      <c r="I865" s="11"/>
      <c r="J865" s="10"/>
      <c r="K865" s="10"/>
      <c r="L865" s="10"/>
      <c r="M865" s="11"/>
      <c r="N865" s="8"/>
      <c r="O865" s="7" t="str">
        <f aca="false">IF(L865="","",IFERROR(VLOOKUP(L865,Paramètres!$F$5:$G$8,2,FALSE()),""))</f>
        <v/>
      </c>
      <c r="P865" s="9" t="str">
        <f aca="false">IF(OR(B865="",O865=""),"",IF(N865="",B865,N865)+O865)</f>
        <v/>
      </c>
      <c r="Q865" s="10"/>
      <c r="R865" s="8"/>
      <c r="S865" s="7" t="str">
        <f aca="false">IF(OR(B865="",R865=""),"",R865-B865)</f>
        <v/>
      </c>
      <c r="T865" s="7" t="str">
        <f aca="true">IF(OR(B865="",P865=""),"",IF(R865&lt;&gt;"",IF(R865&gt;P865,"Traité hors délai","Non"),IF(Q865="Classé sans suite","Non",IF(TODAY()&gt;P865,"OUI","Non"))))</f>
        <v/>
      </c>
      <c r="U865" s="11"/>
    </row>
    <row r="866" customFormat="false" ht="15" hidden="false" customHeight="false" outlineLevel="0" collapsed="false">
      <c r="A866" s="7" t="str">
        <f aca="false">IF(B866="","",YEAR(B866)&amp;"/"&amp;TEXT(ROW()-4,"0000"))</f>
        <v/>
      </c>
      <c r="B866" s="8"/>
      <c r="C866" s="7" t="str">
        <f aca="false">IF(B866="","",INT((B866-DATE(YEAR(B866-WEEKDAY(B866-1)+4),1,3)+WEEKDAY(DATE(YEAR(B866-WEEKDAY(B866-1)+4),1,3))+5)/7))</f>
        <v/>
      </c>
      <c r="D866" s="9" t="str">
        <f aca="false">IF(B866="","",B866-WEEKDAY(B866,2)+1)</f>
        <v/>
      </c>
      <c r="E866" s="10"/>
      <c r="F866" s="8"/>
      <c r="G866" s="11"/>
      <c r="H866" s="10"/>
      <c r="I866" s="11"/>
      <c r="J866" s="10"/>
      <c r="K866" s="10"/>
      <c r="L866" s="10"/>
      <c r="M866" s="11"/>
      <c r="N866" s="8"/>
      <c r="O866" s="7" t="str">
        <f aca="false">IF(L866="","",IFERROR(VLOOKUP(L866,Paramètres!$F$5:$G$8,2,FALSE()),""))</f>
        <v/>
      </c>
      <c r="P866" s="9" t="str">
        <f aca="false">IF(OR(B866="",O866=""),"",IF(N866="",B866,N866)+O866)</f>
        <v/>
      </c>
      <c r="Q866" s="10"/>
      <c r="R866" s="8"/>
      <c r="S866" s="7" t="str">
        <f aca="false">IF(OR(B866="",R866=""),"",R866-B866)</f>
        <v/>
      </c>
      <c r="T866" s="7" t="str">
        <f aca="true">IF(OR(B866="",P866=""),"",IF(R866&lt;&gt;"",IF(R866&gt;P866,"Traité hors délai","Non"),IF(Q866="Classé sans suite","Non",IF(TODAY()&gt;P866,"OUI","Non"))))</f>
        <v/>
      </c>
      <c r="U866" s="11"/>
    </row>
    <row r="867" customFormat="false" ht="15" hidden="false" customHeight="false" outlineLevel="0" collapsed="false">
      <c r="A867" s="7" t="str">
        <f aca="false">IF(B867="","",YEAR(B867)&amp;"/"&amp;TEXT(ROW()-4,"0000"))</f>
        <v/>
      </c>
      <c r="B867" s="8"/>
      <c r="C867" s="7" t="str">
        <f aca="false">IF(B867="","",INT((B867-DATE(YEAR(B867-WEEKDAY(B867-1)+4),1,3)+WEEKDAY(DATE(YEAR(B867-WEEKDAY(B867-1)+4),1,3))+5)/7))</f>
        <v/>
      </c>
      <c r="D867" s="9" t="str">
        <f aca="false">IF(B867="","",B867-WEEKDAY(B867,2)+1)</f>
        <v/>
      </c>
      <c r="E867" s="10"/>
      <c r="F867" s="8"/>
      <c r="G867" s="11"/>
      <c r="H867" s="10"/>
      <c r="I867" s="11"/>
      <c r="J867" s="10"/>
      <c r="K867" s="10"/>
      <c r="L867" s="10"/>
      <c r="M867" s="11"/>
      <c r="N867" s="8"/>
      <c r="O867" s="7" t="str">
        <f aca="false">IF(L867="","",IFERROR(VLOOKUP(L867,Paramètres!$F$5:$G$8,2,FALSE()),""))</f>
        <v/>
      </c>
      <c r="P867" s="9" t="str">
        <f aca="false">IF(OR(B867="",O867=""),"",IF(N867="",B867,N867)+O867)</f>
        <v/>
      </c>
      <c r="Q867" s="10"/>
      <c r="R867" s="8"/>
      <c r="S867" s="7" t="str">
        <f aca="false">IF(OR(B867="",R867=""),"",R867-B867)</f>
        <v/>
      </c>
      <c r="T867" s="7" t="str">
        <f aca="true">IF(OR(B867="",P867=""),"",IF(R867&lt;&gt;"",IF(R867&gt;P867,"Traité hors délai","Non"),IF(Q867="Classé sans suite","Non",IF(TODAY()&gt;P867,"OUI","Non"))))</f>
        <v/>
      </c>
      <c r="U867" s="11"/>
    </row>
    <row r="868" customFormat="false" ht="15" hidden="false" customHeight="false" outlineLevel="0" collapsed="false">
      <c r="A868" s="7" t="str">
        <f aca="false">IF(B868="","",YEAR(B868)&amp;"/"&amp;TEXT(ROW()-4,"0000"))</f>
        <v/>
      </c>
      <c r="B868" s="8"/>
      <c r="C868" s="7" t="str">
        <f aca="false">IF(B868="","",INT((B868-DATE(YEAR(B868-WEEKDAY(B868-1)+4),1,3)+WEEKDAY(DATE(YEAR(B868-WEEKDAY(B868-1)+4),1,3))+5)/7))</f>
        <v/>
      </c>
      <c r="D868" s="9" t="str">
        <f aca="false">IF(B868="","",B868-WEEKDAY(B868,2)+1)</f>
        <v/>
      </c>
      <c r="E868" s="10"/>
      <c r="F868" s="8"/>
      <c r="G868" s="11"/>
      <c r="H868" s="10"/>
      <c r="I868" s="11"/>
      <c r="J868" s="10"/>
      <c r="K868" s="10"/>
      <c r="L868" s="10"/>
      <c r="M868" s="11"/>
      <c r="N868" s="8"/>
      <c r="O868" s="7" t="str">
        <f aca="false">IF(L868="","",IFERROR(VLOOKUP(L868,Paramètres!$F$5:$G$8,2,FALSE()),""))</f>
        <v/>
      </c>
      <c r="P868" s="9" t="str">
        <f aca="false">IF(OR(B868="",O868=""),"",IF(N868="",B868,N868)+O868)</f>
        <v/>
      </c>
      <c r="Q868" s="10"/>
      <c r="R868" s="8"/>
      <c r="S868" s="7" t="str">
        <f aca="false">IF(OR(B868="",R868=""),"",R868-B868)</f>
        <v/>
      </c>
      <c r="T868" s="7" t="str">
        <f aca="true">IF(OR(B868="",P868=""),"",IF(R868&lt;&gt;"",IF(R868&gt;P868,"Traité hors délai","Non"),IF(Q868="Classé sans suite","Non",IF(TODAY()&gt;P868,"OUI","Non"))))</f>
        <v/>
      </c>
      <c r="U868" s="11"/>
    </row>
    <row r="869" customFormat="false" ht="15" hidden="false" customHeight="false" outlineLevel="0" collapsed="false">
      <c r="A869" s="7" t="str">
        <f aca="false">IF(B869="","",YEAR(B869)&amp;"/"&amp;TEXT(ROW()-4,"0000"))</f>
        <v/>
      </c>
      <c r="B869" s="8"/>
      <c r="C869" s="7" t="str">
        <f aca="false">IF(B869="","",INT((B869-DATE(YEAR(B869-WEEKDAY(B869-1)+4),1,3)+WEEKDAY(DATE(YEAR(B869-WEEKDAY(B869-1)+4),1,3))+5)/7))</f>
        <v/>
      </c>
      <c r="D869" s="9" t="str">
        <f aca="false">IF(B869="","",B869-WEEKDAY(B869,2)+1)</f>
        <v/>
      </c>
      <c r="E869" s="10"/>
      <c r="F869" s="8"/>
      <c r="G869" s="11"/>
      <c r="H869" s="10"/>
      <c r="I869" s="11"/>
      <c r="J869" s="10"/>
      <c r="K869" s="10"/>
      <c r="L869" s="10"/>
      <c r="M869" s="11"/>
      <c r="N869" s="8"/>
      <c r="O869" s="7" t="str">
        <f aca="false">IF(L869="","",IFERROR(VLOOKUP(L869,Paramètres!$F$5:$G$8,2,FALSE()),""))</f>
        <v/>
      </c>
      <c r="P869" s="9" t="str">
        <f aca="false">IF(OR(B869="",O869=""),"",IF(N869="",B869,N869)+O869)</f>
        <v/>
      </c>
      <c r="Q869" s="10"/>
      <c r="R869" s="8"/>
      <c r="S869" s="7" t="str">
        <f aca="false">IF(OR(B869="",R869=""),"",R869-B869)</f>
        <v/>
      </c>
      <c r="T869" s="7" t="str">
        <f aca="true">IF(OR(B869="",P869=""),"",IF(R869&lt;&gt;"",IF(R869&gt;P869,"Traité hors délai","Non"),IF(Q869="Classé sans suite","Non",IF(TODAY()&gt;P869,"OUI","Non"))))</f>
        <v/>
      </c>
      <c r="U869" s="11"/>
    </row>
    <row r="870" customFormat="false" ht="15" hidden="false" customHeight="false" outlineLevel="0" collapsed="false">
      <c r="A870" s="7" t="str">
        <f aca="false">IF(B870="","",YEAR(B870)&amp;"/"&amp;TEXT(ROW()-4,"0000"))</f>
        <v/>
      </c>
      <c r="B870" s="8"/>
      <c r="C870" s="7" t="str">
        <f aca="false">IF(B870="","",INT((B870-DATE(YEAR(B870-WEEKDAY(B870-1)+4),1,3)+WEEKDAY(DATE(YEAR(B870-WEEKDAY(B870-1)+4),1,3))+5)/7))</f>
        <v/>
      </c>
      <c r="D870" s="9" t="str">
        <f aca="false">IF(B870="","",B870-WEEKDAY(B870,2)+1)</f>
        <v/>
      </c>
      <c r="E870" s="10"/>
      <c r="F870" s="8"/>
      <c r="G870" s="11"/>
      <c r="H870" s="10"/>
      <c r="I870" s="11"/>
      <c r="J870" s="10"/>
      <c r="K870" s="10"/>
      <c r="L870" s="10"/>
      <c r="M870" s="11"/>
      <c r="N870" s="8"/>
      <c r="O870" s="7" t="str">
        <f aca="false">IF(L870="","",IFERROR(VLOOKUP(L870,Paramètres!$F$5:$G$8,2,FALSE()),""))</f>
        <v/>
      </c>
      <c r="P870" s="9" t="str">
        <f aca="false">IF(OR(B870="",O870=""),"",IF(N870="",B870,N870)+O870)</f>
        <v/>
      </c>
      <c r="Q870" s="10"/>
      <c r="R870" s="8"/>
      <c r="S870" s="7" t="str">
        <f aca="false">IF(OR(B870="",R870=""),"",R870-B870)</f>
        <v/>
      </c>
      <c r="T870" s="7" t="str">
        <f aca="true">IF(OR(B870="",P870=""),"",IF(R870&lt;&gt;"",IF(R870&gt;P870,"Traité hors délai","Non"),IF(Q870="Classé sans suite","Non",IF(TODAY()&gt;P870,"OUI","Non"))))</f>
        <v/>
      </c>
      <c r="U870" s="11"/>
    </row>
    <row r="871" customFormat="false" ht="15" hidden="false" customHeight="false" outlineLevel="0" collapsed="false">
      <c r="A871" s="7" t="str">
        <f aca="false">IF(B871="","",YEAR(B871)&amp;"/"&amp;TEXT(ROW()-4,"0000"))</f>
        <v/>
      </c>
      <c r="B871" s="8"/>
      <c r="C871" s="7" t="str">
        <f aca="false">IF(B871="","",INT((B871-DATE(YEAR(B871-WEEKDAY(B871-1)+4),1,3)+WEEKDAY(DATE(YEAR(B871-WEEKDAY(B871-1)+4),1,3))+5)/7))</f>
        <v/>
      </c>
      <c r="D871" s="9" t="str">
        <f aca="false">IF(B871="","",B871-WEEKDAY(B871,2)+1)</f>
        <v/>
      </c>
      <c r="E871" s="10"/>
      <c r="F871" s="8"/>
      <c r="G871" s="11"/>
      <c r="H871" s="10"/>
      <c r="I871" s="11"/>
      <c r="J871" s="10"/>
      <c r="K871" s="10"/>
      <c r="L871" s="10"/>
      <c r="M871" s="11"/>
      <c r="N871" s="8"/>
      <c r="O871" s="7" t="str">
        <f aca="false">IF(L871="","",IFERROR(VLOOKUP(L871,Paramètres!$F$5:$G$8,2,FALSE()),""))</f>
        <v/>
      </c>
      <c r="P871" s="9" t="str">
        <f aca="false">IF(OR(B871="",O871=""),"",IF(N871="",B871,N871)+O871)</f>
        <v/>
      </c>
      <c r="Q871" s="10"/>
      <c r="R871" s="8"/>
      <c r="S871" s="7" t="str">
        <f aca="false">IF(OR(B871="",R871=""),"",R871-B871)</f>
        <v/>
      </c>
      <c r="T871" s="7" t="str">
        <f aca="true">IF(OR(B871="",P871=""),"",IF(R871&lt;&gt;"",IF(R871&gt;P871,"Traité hors délai","Non"),IF(Q871="Classé sans suite","Non",IF(TODAY()&gt;P871,"OUI","Non"))))</f>
        <v/>
      </c>
      <c r="U871" s="11"/>
    </row>
    <row r="872" customFormat="false" ht="15" hidden="false" customHeight="false" outlineLevel="0" collapsed="false">
      <c r="A872" s="7" t="str">
        <f aca="false">IF(B872="","",YEAR(B872)&amp;"/"&amp;TEXT(ROW()-4,"0000"))</f>
        <v/>
      </c>
      <c r="B872" s="8"/>
      <c r="C872" s="7" t="str">
        <f aca="false">IF(B872="","",INT((B872-DATE(YEAR(B872-WEEKDAY(B872-1)+4),1,3)+WEEKDAY(DATE(YEAR(B872-WEEKDAY(B872-1)+4),1,3))+5)/7))</f>
        <v/>
      </c>
      <c r="D872" s="9" t="str">
        <f aca="false">IF(B872="","",B872-WEEKDAY(B872,2)+1)</f>
        <v/>
      </c>
      <c r="E872" s="10"/>
      <c r="F872" s="8"/>
      <c r="G872" s="11"/>
      <c r="H872" s="10"/>
      <c r="I872" s="11"/>
      <c r="J872" s="10"/>
      <c r="K872" s="10"/>
      <c r="L872" s="10"/>
      <c r="M872" s="11"/>
      <c r="N872" s="8"/>
      <c r="O872" s="7" t="str">
        <f aca="false">IF(L872="","",IFERROR(VLOOKUP(L872,Paramètres!$F$5:$G$8,2,FALSE()),""))</f>
        <v/>
      </c>
      <c r="P872" s="9" t="str">
        <f aca="false">IF(OR(B872="",O872=""),"",IF(N872="",B872,N872)+O872)</f>
        <v/>
      </c>
      <c r="Q872" s="10"/>
      <c r="R872" s="8"/>
      <c r="S872" s="7" t="str">
        <f aca="false">IF(OR(B872="",R872=""),"",R872-B872)</f>
        <v/>
      </c>
      <c r="T872" s="7" t="str">
        <f aca="true">IF(OR(B872="",P872=""),"",IF(R872&lt;&gt;"",IF(R872&gt;P872,"Traité hors délai","Non"),IF(Q872="Classé sans suite","Non",IF(TODAY()&gt;P872,"OUI","Non"))))</f>
        <v/>
      </c>
      <c r="U872" s="11"/>
    </row>
    <row r="873" customFormat="false" ht="15" hidden="false" customHeight="false" outlineLevel="0" collapsed="false">
      <c r="A873" s="7" t="str">
        <f aca="false">IF(B873="","",YEAR(B873)&amp;"/"&amp;TEXT(ROW()-4,"0000"))</f>
        <v/>
      </c>
      <c r="B873" s="8"/>
      <c r="C873" s="7" t="str">
        <f aca="false">IF(B873="","",INT((B873-DATE(YEAR(B873-WEEKDAY(B873-1)+4),1,3)+WEEKDAY(DATE(YEAR(B873-WEEKDAY(B873-1)+4),1,3))+5)/7))</f>
        <v/>
      </c>
      <c r="D873" s="9" t="str">
        <f aca="false">IF(B873="","",B873-WEEKDAY(B873,2)+1)</f>
        <v/>
      </c>
      <c r="E873" s="10"/>
      <c r="F873" s="8"/>
      <c r="G873" s="11"/>
      <c r="H873" s="10"/>
      <c r="I873" s="11"/>
      <c r="J873" s="10"/>
      <c r="K873" s="10"/>
      <c r="L873" s="10"/>
      <c r="M873" s="11"/>
      <c r="N873" s="8"/>
      <c r="O873" s="7" t="str">
        <f aca="false">IF(L873="","",IFERROR(VLOOKUP(L873,Paramètres!$F$5:$G$8,2,FALSE()),""))</f>
        <v/>
      </c>
      <c r="P873" s="9" t="str">
        <f aca="false">IF(OR(B873="",O873=""),"",IF(N873="",B873,N873)+O873)</f>
        <v/>
      </c>
      <c r="Q873" s="10"/>
      <c r="R873" s="8"/>
      <c r="S873" s="7" t="str">
        <f aca="false">IF(OR(B873="",R873=""),"",R873-B873)</f>
        <v/>
      </c>
      <c r="T873" s="7" t="str">
        <f aca="true">IF(OR(B873="",P873=""),"",IF(R873&lt;&gt;"",IF(R873&gt;P873,"Traité hors délai","Non"),IF(Q873="Classé sans suite","Non",IF(TODAY()&gt;P873,"OUI","Non"))))</f>
        <v/>
      </c>
      <c r="U873" s="11"/>
    </row>
    <row r="874" customFormat="false" ht="15" hidden="false" customHeight="false" outlineLevel="0" collapsed="false">
      <c r="A874" s="7" t="str">
        <f aca="false">IF(B874="","",YEAR(B874)&amp;"/"&amp;TEXT(ROW()-4,"0000"))</f>
        <v/>
      </c>
      <c r="B874" s="8"/>
      <c r="C874" s="7" t="str">
        <f aca="false">IF(B874="","",INT((B874-DATE(YEAR(B874-WEEKDAY(B874-1)+4),1,3)+WEEKDAY(DATE(YEAR(B874-WEEKDAY(B874-1)+4),1,3))+5)/7))</f>
        <v/>
      </c>
      <c r="D874" s="9" t="str">
        <f aca="false">IF(B874="","",B874-WEEKDAY(B874,2)+1)</f>
        <v/>
      </c>
      <c r="E874" s="10"/>
      <c r="F874" s="8"/>
      <c r="G874" s="11"/>
      <c r="H874" s="10"/>
      <c r="I874" s="11"/>
      <c r="J874" s="10"/>
      <c r="K874" s="10"/>
      <c r="L874" s="10"/>
      <c r="M874" s="11"/>
      <c r="N874" s="8"/>
      <c r="O874" s="7" t="str">
        <f aca="false">IF(L874="","",IFERROR(VLOOKUP(L874,Paramètres!$F$5:$G$8,2,FALSE()),""))</f>
        <v/>
      </c>
      <c r="P874" s="9" t="str">
        <f aca="false">IF(OR(B874="",O874=""),"",IF(N874="",B874,N874)+O874)</f>
        <v/>
      </c>
      <c r="Q874" s="10"/>
      <c r="R874" s="8"/>
      <c r="S874" s="7" t="str">
        <f aca="false">IF(OR(B874="",R874=""),"",R874-B874)</f>
        <v/>
      </c>
      <c r="T874" s="7" t="str">
        <f aca="true">IF(OR(B874="",P874=""),"",IF(R874&lt;&gt;"",IF(R874&gt;P874,"Traité hors délai","Non"),IF(Q874="Classé sans suite","Non",IF(TODAY()&gt;P874,"OUI","Non"))))</f>
        <v/>
      </c>
      <c r="U874" s="11"/>
    </row>
    <row r="875" customFormat="false" ht="15" hidden="false" customHeight="false" outlineLevel="0" collapsed="false">
      <c r="A875" s="7" t="str">
        <f aca="false">IF(B875="","",YEAR(B875)&amp;"/"&amp;TEXT(ROW()-4,"0000"))</f>
        <v/>
      </c>
      <c r="B875" s="8"/>
      <c r="C875" s="7" t="str">
        <f aca="false">IF(B875="","",INT((B875-DATE(YEAR(B875-WEEKDAY(B875-1)+4),1,3)+WEEKDAY(DATE(YEAR(B875-WEEKDAY(B875-1)+4),1,3))+5)/7))</f>
        <v/>
      </c>
      <c r="D875" s="9" t="str">
        <f aca="false">IF(B875="","",B875-WEEKDAY(B875,2)+1)</f>
        <v/>
      </c>
      <c r="E875" s="10"/>
      <c r="F875" s="8"/>
      <c r="G875" s="11"/>
      <c r="H875" s="10"/>
      <c r="I875" s="11"/>
      <c r="J875" s="10"/>
      <c r="K875" s="10"/>
      <c r="L875" s="10"/>
      <c r="M875" s="11"/>
      <c r="N875" s="8"/>
      <c r="O875" s="7" t="str">
        <f aca="false">IF(L875="","",IFERROR(VLOOKUP(L875,Paramètres!$F$5:$G$8,2,FALSE()),""))</f>
        <v/>
      </c>
      <c r="P875" s="9" t="str">
        <f aca="false">IF(OR(B875="",O875=""),"",IF(N875="",B875,N875)+O875)</f>
        <v/>
      </c>
      <c r="Q875" s="10"/>
      <c r="R875" s="8"/>
      <c r="S875" s="7" t="str">
        <f aca="false">IF(OR(B875="",R875=""),"",R875-B875)</f>
        <v/>
      </c>
      <c r="T875" s="7" t="str">
        <f aca="true">IF(OR(B875="",P875=""),"",IF(R875&lt;&gt;"",IF(R875&gt;P875,"Traité hors délai","Non"),IF(Q875="Classé sans suite","Non",IF(TODAY()&gt;P875,"OUI","Non"))))</f>
        <v/>
      </c>
      <c r="U875" s="11"/>
    </row>
    <row r="876" customFormat="false" ht="15" hidden="false" customHeight="false" outlineLevel="0" collapsed="false">
      <c r="A876" s="7" t="str">
        <f aca="false">IF(B876="","",YEAR(B876)&amp;"/"&amp;TEXT(ROW()-4,"0000"))</f>
        <v/>
      </c>
      <c r="B876" s="8"/>
      <c r="C876" s="7" t="str">
        <f aca="false">IF(B876="","",INT((B876-DATE(YEAR(B876-WEEKDAY(B876-1)+4),1,3)+WEEKDAY(DATE(YEAR(B876-WEEKDAY(B876-1)+4),1,3))+5)/7))</f>
        <v/>
      </c>
      <c r="D876" s="9" t="str">
        <f aca="false">IF(B876="","",B876-WEEKDAY(B876,2)+1)</f>
        <v/>
      </c>
      <c r="E876" s="10"/>
      <c r="F876" s="8"/>
      <c r="G876" s="11"/>
      <c r="H876" s="10"/>
      <c r="I876" s="11"/>
      <c r="J876" s="10"/>
      <c r="K876" s="10"/>
      <c r="L876" s="10"/>
      <c r="M876" s="11"/>
      <c r="N876" s="8"/>
      <c r="O876" s="7" t="str">
        <f aca="false">IF(L876="","",IFERROR(VLOOKUP(L876,Paramètres!$F$5:$G$8,2,FALSE()),""))</f>
        <v/>
      </c>
      <c r="P876" s="9" t="str">
        <f aca="false">IF(OR(B876="",O876=""),"",IF(N876="",B876,N876)+O876)</f>
        <v/>
      </c>
      <c r="Q876" s="10"/>
      <c r="R876" s="8"/>
      <c r="S876" s="7" t="str">
        <f aca="false">IF(OR(B876="",R876=""),"",R876-B876)</f>
        <v/>
      </c>
      <c r="T876" s="7" t="str">
        <f aca="true">IF(OR(B876="",P876=""),"",IF(R876&lt;&gt;"",IF(R876&gt;P876,"Traité hors délai","Non"),IF(Q876="Classé sans suite","Non",IF(TODAY()&gt;P876,"OUI","Non"))))</f>
        <v/>
      </c>
      <c r="U876" s="11"/>
    </row>
    <row r="877" customFormat="false" ht="15" hidden="false" customHeight="false" outlineLevel="0" collapsed="false">
      <c r="A877" s="7" t="str">
        <f aca="false">IF(B877="","",YEAR(B877)&amp;"/"&amp;TEXT(ROW()-4,"0000"))</f>
        <v/>
      </c>
      <c r="B877" s="8"/>
      <c r="C877" s="7" t="str">
        <f aca="false">IF(B877="","",INT((B877-DATE(YEAR(B877-WEEKDAY(B877-1)+4),1,3)+WEEKDAY(DATE(YEAR(B877-WEEKDAY(B877-1)+4),1,3))+5)/7))</f>
        <v/>
      </c>
      <c r="D877" s="9" t="str">
        <f aca="false">IF(B877="","",B877-WEEKDAY(B877,2)+1)</f>
        <v/>
      </c>
      <c r="E877" s="10"/>
      <c r="F877" s="8"/>
      <c r="G877" s="11"/>
      <c r="H877" s="10"/>
      <c r="I877" s="11"/>
      <c r="J877" s="10"/>
      <c r="K877" s="10"/>
      <c r="L877" s="10"/>
      <c r="M877" s="11"/>
      <c r="N877" s="8"/>
      <c r="O877" s="7" t="str">
        <f aca="false">IF(L877="","",IFERROR(VLOOKUP(L877,Paramètres!$F$5:$G$8,2,FALSE()),""))</f>
        <v/>
      </c>
      <c r="P877" s="9" t="str">
        <f aca="false">IF(OR(B877="",O877=""),"",IF(N877="",B877,N877)+O877)</f>
        <v/>
      </c>
      <c r="Q877" s="10"/>
      <c r="R877" s="8"/>
      <c r="S877" s="7" t="str">
        <f aca="false">IF(OR(B877="",R877=""),"",R877-B877)</f>
        <v/>
      </c>
      <c r="T877" s="7" t="str">
        <f aca="true">IF(OR(B877="",P877=""),"",IF(R877&lt;&gt;"",IF(R877&gt;P877,"Traité hors délai","Non"),IF(Q877="Classé sans suite","Non",IF(TODAY()&gt;P877,"OUI","Non"))))</f>
        <v/>
      </c>
      <c r="U877" s="11"/>
    </row>
    <row r="878" customFormat="false" ht="15" hidden="false" customHeight="false" outlineLevel="0" collapsed="false">
      <c r="A878" s="7" t="str">
        <f aca="false">IF(B878="","",YEAR(B878)&amp;"/"&amp;TEXT(ROW()-4,"0000"))</f>
        <v/>
      </c>
      <c r="B878" s="8"/>
      <c r="C878" s="7" t="str">
        <f aca="false">IF(B878="","",INT((B878-DATE(YEAR(B878-WEEKDAY(B878-1)+4),1,3)+WEEKDAY(DATE(YEAR(B878-WEEKDAY(B878-1)+4),1,3))+5)/7))</f>
        <v/>
      </c>
      <c r="D878" s="9" t="str">
        <f aca="false">IF(B878="","",B878-WEEKDAY(B878,2)+1)</f>
        <v/>
      </c>
      <c r="E878" s="10"/>
      <c r="F878" s="8"/>
      <c r="G878" s="11"/>
      <c r="H878" s="10"/>
      <c r="I878" s="11"/>
      <c r="J878" s="10"/>
      <c r="K878" s="10"/>
      <c r="L878" s="10"/>
      <c r="M878" s="11"/>
      <c r="N878" s="8"/>
      <c r="O878" s="7" t="str">
        <f aca="false">IF(L878="","",IFERROR(VLOOKUP(L878,Paramètres!$F$5:$G$8,2,FALSE()),""))</f>
        <v/>
      </c>
      <c r="P878" s="9" t="str">
        <f aca="false">IF(OR(B878="",O878=""),"",IF(N878="",B878,N878)+O878)</f>
        <v/>
      </c>
      <c r="Q878" s="10"/>
      <c r="R878" s="8"/>
      <c r="S878" s="7" t="str">
        <f aca="false">IF(OR(B878="",R878=""),"",R878-B878)</f>
        <v/>
      </c>
      <c r="T878" s="7" t="str">
        <f aca="true">IF(OR(B878="",P878=""),"",IF(R878&lt;&gt;"",IF(R878&gt;P878,"Traité hors délai","Non"),IF(Q878="Classé sans suite","Non",IF(TODAY()&gt;P878,"OUI","Non"))))</f>
        <v/>
      </c>
      <c r="U878" s="11"/>
    </row>
    <row r="879" customFormat="false" ht="15" hidden="false" customHeight="false" outlineLevel="0" collapsed="false">
      <c r="A879" s="7" t="str">
        <f aca="false">IF(B879="","",YEAR(B879)&amp;"/"&amp;TEXT(ROW()-4,"0000"))</f>
        <v/>
      </c>
      <c r="B879" s="8"/>
      <c r="C879" s="7" t="str">
        <f aca="false">IF(B879="","",INT((B879-DATE(YEAR(B879-WEEKDAY(B879-1)+4),1,3)+WEEKDAY(DATE(YEAR(B879-WEEKDAY(B879-1)+4),1,3))+5)/7))</f>
        <v/>
      </c>
      <c r="D879" s="9" t="str">
        <f aca="false">IF(B879="","",B879-WEEKDAY(B879,2)+1)</f>
        <v/>
      </c>
      <c r="E879" s="10"/>
      <c r="F879" s="8"/>
      <c r="G879" s="11"/>
      <c r="H879" s="10"/>
      <c r="I879" s="11"/>
      <c r="J879" s="10"/>
      <c r="K879" s="10"/>
      <c r="L879" s="10"/>
      <c r="M879" s="11"/>
      <c r="N879" s="8"/>
      <c r="O879" s="7" t="str">
        <f aca="false">IF(L879="","",IFERROR(VLOOKUP(L879,Paramètres!$F$5:$G$8,2,FALSE()),""))</f>
        <v/>
      </c>
      <c r="P879" s="9" t="str">
        <f aca="false">IF(OR(B879="",O879=""),"",IF(N879="",B879,N879)+O879)</f>
        <v/>
      </c>
      <c r="Q879" s="10"/>
      <c r="R879" s="8"/>
      <c r="S879" s="7" t="str">
        <f aca="false">IF(OR(B879="",R879=""),"",R879-B879)</f>
        <v/>
      </c>
      <c r="T879" s="7" t="str">
        <f aca="true">IF(OR(B879="",P879=""),"",IF(R879&lt;&gt;"",IF(R879&gt;P879,"Traité hors délai","Non"),IF(Q879="Classé sans suite","Non",IF(TODAY()&gt;P879,"OUI","Non"))))</f>
        <v/>
      </c>
      <c r="U879" s="11"/>
    </row>
    <row r="880" customFormat="false" ht="15" hidden="false" customHeight="false" outlineLevel="0" collapsed="false">
      <c r="A880" s="7" t="str">
        <f aca="false">IF(B880="","",YEAR(B880)&amp;"/"&amp;TEXT(ROW()-4,"0000"))</f>
        <v/>
      </c>
      <c r="B880" s="8"/>
      <c r="C880" s="7" t="str">
        <f aca="false">IF(B880="","",INT((B880-DATE(YEAR(B880-WEEKDAY(B880-1)+4),1,3)+WEEKDAY(DATE(YEAR(B880-WEEKDAY(B880-1)+4),1,3))+5)/7))</f>
        <v/>
      </c>
      <c r="D880" s="9" t="str">
        <f aca="false">IF(B880="","",B880-WEEKDAY(B880,2)+1)</f>
        <v/>
      </c>
      <c r="E880" s="10"/>
      <c r="F880" s="8"/>
      <c r="G880" s="11"/>
      <c r="H880" s="10"/>
      <c r="I880" s="11"/>
      <c r="J880" s="10"/>
      <c r="K880" s="10"/>
      <c r="L880" s="10"/>
      <c r="M880" s="11"/>
      <c r="N880" s="8"/>
      <c r="O880" s="7" t="str">
        <f aca="false">IF(L880="","",IFERROR(VLOOKUP(L880,Paramètres!$F$5:$G$8,2,FALSE()),""))</f>
        <v/>
      </c>
      <c r="P880" s="9" t="str">
        <f aca="false">IF(OR(B880="",O880=""),"",IF(N880="",B880,N880)+O880)</f>
        <v/>
      </c>
      <c r="Q880" s="10"/>
      <c r="R880" s="8"/>
      <c r="S880" s="7" t="str">
        <f aca="false">IF(OR(B880="",R880=""),"",R880-B880)</f>
        <v/>
      </c>
      <c r="T880" s="7" t="str">
        <f aca="true">IF(OR(B880="",P880=""),"",IF(R880&lt;&gt;"",IF(R880&gt;P880,"Traité hors délai","Non"),IF(Q880="Classé sans suite","Non",IF(TODAY()&gt;P880,"OUI","Non"))))</f>
        <v/>
      </c>
      <c r="U880" s="11"/>
    </row>
    <row r="881" customFormat="false" ht="15" hidden="false" customHeight="false" outlineLevel="0" collapsed="false">
      <c r="A881" s="7" t="str">
        <f aca="false">IF(B881="","",YEAR(B881)&amp;"/"&amp;TEXT(ROW()-4,"0000"))</f>
        <v/>
      </c>
      <c r="B881" s="8"/>
      <c r="C881" s="7" t="str">
        <f aca="false">IF(B881="","",INT((B881-DATE(YEAR(B881-WEEKDAY(B881-1)+4),1,3)+WEEKDAY(DATE(YEAR(B881-WEEKDAY(B881-1)+4),1,3))+5)/7))</f>
        <v/>
      </c>
      <c r="D881" s="9" t="str">
        <f aca="false">IF(B881="","",B881-WEEKDAY(B881,2)+1)</f>
        <v/>
      </c>
      <c r="E881" s="10"/>
      <c r="F881" s="8"/>
      <c r="G881" s="11"/>
      <c r="H881" s="10"/>
      <c r="I881" s="11"/>
      <c r="J881" s="10"/>
      <c r="K881" s="10"/>
      <c r="L881" s="10"/>
      <c r="M881" s="11"/>
      <c r="N881" s="8"/>
      <c r="O881" s="7" t="str">
        <f aca="false">IF(L881="","",IFERROR(VLOOKUP(L881,Paramètres!$F$5:$G$8,2,FALSE()),""))</f>
        <v/>
      </c>
      <c r="P881" s="9" t="str">
        <f aca="false">IF(OR(B881="",O881=""),"",IF(N881="",B881,N881)+O881)</f>
        <v/>
      </c>
      <c r="Q881" s="10"/>
      <c r="R881" s="8"/>
      <c r="S881" s="7" t="str">
        <f aca="false">IF(OR(B881="",R881=""),"",R881-B881)</f>
        <v/>
      </c>
      <c r="T881" s="7" t="str">
        <f aca="true">IF(OR(B881="",P881=""),"",IF(R881&lt;&gt;"",IF(R881&gt;P881,"Traité hors délai","Non"),IF(Q881="Classé sans suite","Non",IF(TODAY()&gt;P881,"OUI","Non"))))</f>
        <v/>
      </c>
      <c r="U881" s="11"/>
    </row>
    <row r="882" customFormat="false" ht="15" hidden="false" customHeight="false" outlineLevel="0" collapsed="false">
      <c r="A882" s="7" t="str">
        <f aca="false">IF(B882="","",YEAR(B882)&amp;"/"&amp;TEXT(ROW()-4,"0000"))</f>
        <v/>
      </c>
      <c r="B882" s="8"/>
      <c r="C882" s="7" t="str">
        <f aca="false">IF(B882="","",INT((B882-DATE(YEAR(B882-WEEKDAY(B882-1)+4),1,3)+WEEKDAY(DATE(YEAR(B882-WEEKDAY(B882-1)+4),1,3))+5)/7))</f>
        <v/>
      </c>
      <c r="D882" s="9" t="str">
        <f aca="false">IF(B882="","",B882-WEEKDAY(B882,2)+1)</f>
        <v/>
      </c>
      <c r="E882" s="10"/>
      <c r="F882" s="8"/>
      <c r="G882" s="11"/>
      <c r="H882" s="10"/>
      <c r="I882" s="11"/>
      <c r="J882" s="10"/>
      <c r="K882" s="10"/>
      <c r="L882" s="10"/>
      <c r="M882" s="11"/>
      <c r="N882" s="8"/>
      <c r="O882" s="7" t="str">
        <f aca="false">IF(L882="","",IFERROR(VLOOKUP(L882,Paramètres!$F$5:$G$8,2,FALSE()),""))</f>
        <v/>
      </c>
      <c r="P882" s="9" t="str">
        <f aca="false">IF(OR(B882="",O882=""),"",IF(N882="",B882,N882)+O882)</f>
        <v/>
      </c>
      <c r="Q882" s="10"/>
      <c r="R882" s="8"/>
      <c r="S882" s="7" t="str">
        <f aca="false">IF(OR(B882="",R882=""),"",R882-B882)</f>
        <v/>
      </c>
      <c r="T882" s="7" t="str">
        <f aca="true">IF(OR(B882="",P882=""),"",IF(R882&lt;&gt;"",IF(R882&gt;P882,"Traité hors délai","Non"),IF(Q882="Classé sans suite","Non",IF(TODAY()&gt;P882,"OUI","Non"))))</f>
        <v/>
      </c>
      <c r="U882" s="11"/>
    </row>
    <row r="883" customFormat="false" ht="15" hidden="false" customHeight="false" outlineLevel="0" collapsed="false">
      <c r="A883" s="7" t="str">
        <f aca="false">IF(B883="","",YEAR(B883)&amp;"/"&amp;TEXT(ROW()-4,"0000"))</f>
        <v/>
      </c>
      <c r="B883" s="8"/>
      <c r="C883" s="7" t="str">
        <f aca="false">IF(B883="","",INT((B883-DATE(YEAR(B883-WEEKDAY(B883-1)+4),1,3)+WEEKDAY(DATE(YEAR(B883-WEEKDAY(B883-1)+4),1,3))+5)/7))</f>
        <v/>
      </c>
      <c r="D883" s="9" t="str">
        <f aca="false">IF(B883="","",B883-WEEKDAY(B883,2)+1)</f>
        <v/>
      </c>
      <c r="E883" s="10"/>
      <c r="F883" s="8"/>
      <c r="G883" s="11"/>
      <c r="H883" s="10"/>
      <c r="I883" s="11"/>
      <c r="J883" s="10"/>
      <c r="K883" s="10"/>
      <c r="L883" s="10"/>
      <c r="M883" s="11"/>
      <c r="N883" s="8"/>
      <c r="O883" s="7" t="str">
        <f aca="false">IF(L883="","",IFERROR(VLOOKUP(L883,Paramètres!$F$5:$G$8,2,FALSE()),""))</f>
        <v/>
      </c>
      <c r="P883" s="9" t="str">
        <f aca="false">IF(OR(B883="",O883=""),"",IF(N883="",B883,N883)+O883)</f>
        <v/>
      </c>
      <c r="Q883" s="10"/>
      <c r="R883" s="8"/>
      <c r="S883" s="7" t="str">
        <f aca="false">IF(OR(B883="",R883=""),"",R883-B883)</f>
        <v/>
      </c>
      <c r="T883" s="7" t="str">
        <f aca="true">IF(OR(B883="",P883=""),"",IF(R883&lt;&gt;"",IF(R883&gt;P883,"Traité hors délai","Non"),IF(Q883="Classé sans suite","Non",IF(TODAY()&gt;P883,"OUI","Non"))))</f>
        <v/>
      </c>
      <c r="U883" s="11"/>
    </row>
    <row r="884" customFormat="false" ht="15" hidden="false" customHeight="false" outlineLevel="0" collapsed="false">
      <c r="A884" s="7" t="str">
        <f aca="false">IF(B884="","",YEAR(B884)&amp;"/"&amp;TEXT(ROW()-4,"0000"))</f>
        <v/>
      </c>
      <c r="B884" s="8"/>
      <c r="C884" s="7" t="str">
        <f aca="false">IF(B884="","",INT((B884-DATE(YEAR(B884-WEEKDAY(B884-1)+4),1,3)+WEEKDAY(DATE(YEAR(B884-WEEKDAY(B884-1)+4),1,3))+5)/7))</f>
        <v/>
      </c>
      <c r="D884" s="9" t="str">
        <f aca="false">IF(B884="","",B884-WEEKDAY(B884,2)+1)</f>
        <v/>
      </c>
      <c r="E884" s="10"/>
      <c r="F884" s="8"/>
      <c r="G884" s="11"/>
      <c r="H884" s="10"/>
      <c r="I884" s="11"/>
      <c r="J884" s="10"/>
      <c r="K884" s="10"/>
      <c r="L884" s="10"/>
      <c r="M884" s="11"/>
      <c r="N884" s="8"/>
      <c r="O884" s="7" t="str">
        <f aca="false">IF(L884="","",IFERROR(VLOOKUP(L884,Paramètres!$F$5:$G$8,2,FALSE()),""))</f>
        <v/>
      </c>
      <c r="P884" s="9" t="str">
        <f aca="false">IF(OR(B884="",O884=""),"",IF(N884="",B884,N884)+O884)</f>
        <v/>
      </c>
      <c r="Q884" s="10"/>
      <c r="R884" s="8"/>
      <c r="S884" s="7" t="str">
        <f aca="false">IF(OR(B884="",R884=""),"",R884-B884)</f>
        <v/>
      </c>
      <c r="T884" s="7" t="str">
        <f aca="true">IF(OR(B884="",P884=""),"",IF(R884&lt;&gt;"",IF(R884&gt;P884,"Traité hors délai","Non"),IF(Q884="Classé sans suite","Non",IF(TODAY()&gt;P884,"OUI","Non"))))</f>
        <v/>
      </c>
      <c r="U884" s="11"/>
    </row>
    <row r="885" customFormat="false" ht="15" hidden="false" customHeight="false" outlineLevel="0" collapsed="false">
      <c r="A885" s="7" t="str">
        <f aca="false">IF(B885="","",YEAR(B885)&amp;"/"&amp;TEXT(ROW()-4,"0000"))</f>
        <v/>
      </c>
      <c r="B885" s="8"/>
      <c r="C885" s="7" t="str">
        <f aca="false">IF(B885="","",INT((B885-DATE(YEAR(B885-WEEKDAY(B885-1)+4),1,3)+WEEKDAY(DATE(YEAR(B885-WEEKDAY(B885-1)+4),1,3))+5)/7))</f>
        <v/>
      </c>
      <c r="D885" s="9" t="str">
        <f aca="false">IF(B885="","",B885-WEEKDAY(B885,2)+1)</f>
        <v/>
      </c>
      <c r="E885" s="10"/>
      <c r="F885" s="8"/>
      <c r="G885" s="11"/>
      <c r="H885" s="10"/>
      <c r="I885" s="11"/>
      <c r="J885" s="10"/>
      <c r="K885" s="10"/>
      <c r="L885" s="10"/>
      <c r="M885" s="11"/>
      <c r="N885" s="8"/>
      <c r="O885" s="7" t="str">
        <f aca="false">IF(L885="","",IFERROR(VLOOKUP(L885,Paramètres!$F$5:$G$8,2,FALSE()),""))</f>
        <v/>
      </c>
      <c r="P885" s="9" t="str">
        <f aca="false">IF(OR(B885="",O885=""),"",IF(N885="",B885,N885)+O885)</f>
        <v/>
      </c>
      <c r="Q885" s="10"/>
      <c r="R885" s="8"/>
      <c r="S885" s="7" t="str">
        <f aca="false">IF(OR(B885="",R885=""),"",R885-B885)</f>
        <v/>
      </c>
      <c r="T885" s="7" t="str">
        <f aca="true">IF(OR(B885="",P885=""),"",IF(R885&lt;&gt;"",IF(R885&gt;P885,"Traité hors délai","Non"),IF(Q885="Classé sans suite","Non",IF(TODAY()&gt;P885,"OUI","Non"))))</f>
        <v/>
      </c>
      <c r="U885" s="11"/>
    </row>
    <row r="886" customFormat="false" ht="15" hidden="false" customHeight="false" outlineLevel="0" collapsed="false">
      <c r="A886" s="7" t="str">
        <f aca="false">IF(B886="","",YEAR(B886)&amp;"/"&amp;TEXT(ROW()-4,"0000"))</f>
        <v/>
      </c>
      <c r="B886" s="8"/>
      <c r="C886" s="7" t="str">
        <f aca="false">IF(B886="","",INT((B886-DATE(YEAR(B886-WEEKDAY(B886-1)+4),1,3)+WEEKDAY(DATE(YEAR(B886-WEEKDAY(B886-1)+4),1,3))+5)/7))</f>
        <v/>
      </c>
      <c r="D886" s="9" t="str">
        <f aca="false">IF(B886="","",B886-WEEKDAY(B886,2)+1)</f>
        <v/>
      </c>
      <c r="E886" s="10"/>
      <c r="F886" s="8"/>
      <c r="G886" s="11"/>
      <c r="H886" s="10"/>
      <c r="I886" s="11"/>
      <c r="J886" s="10"/>
      <c r="K886" s="10"/>
      <c r="L886" s="10"/>
      <c r="M886" s="11"/>
      <c r="N886" s="8"/>
      <c r="O886" s="7" t="str">
        <f aca="false">IF(L886="","",IFERROR(VLOOKUP(L886,Paramètres!$F$5:$G$8,2,FALSE()),""))</f>
        <v/>
      </c>
      <c r="P886" s="9" t="str">
        <f aca="false">IF(OR(B886="",O886=""),"",IF(N886="",B886,N886)+O886)</f>
        <v/>
      </c>
      <c r="Q886" s="10"/>
      <c r="R886" s="8"/>
      <c r="S886" s="7" t="str">
        <f aca="false">IF(OR(B886="",R886=""),"",R886-B886)</f>
        <v/>
      </c>
      <c r="T886" s="7" t="str">
        <f aca="true">IF(OR(B886="",P886=""),"",IF(R886&lt;&gt;"",IF(R886&gt;P886,"Traité hors délai","Non"),IF(Q886="Classé sans suite","Non",IF(TODAY()&gt;P886,"OUI","Non"))))</f>
        <v/>
      </c>
      <c r="U886" s="11"/>
    </row>
    <row r="887" customFormat="false" ht="15" hidden="false" customHeight="false" outlineLevel="0" collapsed="false">
      <c r="A887" s="7" t="str">
        <f aca="false">IF(B887="","",YEAR(B887)&amp;"/"&amp;TEXT(ROW()-4,"0000"))</f>
        <v/>
      </c>
      <c r="B887" s="8"/>
      <c r="C887" s="7" t="str">
        <f aca="false">IF(B887="","",INT((B887-DATE(YEAR(B887-WEEKDAY(B887-1)+4),1,3)+WEEKDAY(DATE(YEAR(B887-WEEKDAY(B887-1)+4),1,3))+5)/7))</f>
        <v/>
      </c>
      <c r="D887" s="9" t="str">
        <f aca="false">IF(B887="","",B887-WEEKDAY(B887,2)+1)</f>
        <v/>
      </c>
      <c r="E887" s="10"/>
      <c r="F887" s="8"/>
      <c r="G887" s="11"/>
      <c r="H887" s="10"/>
      <c r="I887" s="11"/>
      <c r="J887" s="10"/>
      <c r="K887" s="10"/>
      <c r="L887" s="10"/>
      <c r="M887" s="11"/>
      <c r="N887" s="8"/>
      <c r="O887" s="7" t="str">
        <f aca="false">IF(L887="","",IFERROR(VLOOKUP(L887,Paramètres!$F$5:$G$8,2,FALSE()),""))</f>
        <v/>
      </c>
      <c r="P887" s="9" t="str">
        <f aca="false">IF(OR(B887="",O887=""),"",IF(N887="",B887,N887)+O887)</f>
        <v/>
      </c>
      <c r="Q887" s="10"/>
      <c r="R887" s="8"/>
      <c r="S887" s="7" t="str">
        <f aca="false">IF(OR(B887="",R887=""),"",R887-B887)</f>
        <v/>
      </c>
      <c r="T887" s="7" t="str">
        <f aca="true">IF(OR(B887="",P887=""),"",IF(R887&lt;&gt;"",IF(R887&gt;P887,"Traité hors délai","Non"),IF(Q887="Classé sans suite","Non",IF(TODAY()&gt;P887,"OUI","Non"))))</f>
        <v/>
      </c>
      <c r="U887" s="11"/>
    </row>
    <row r="888" customFormat="false" ht="15" hidden="false" customHeight="false" outlineLevel="0" collapsed="false">
      <c r="A888" s="7" t="str">
        <f aca="false">IF(B888="","",YEAR(B888)&amp;"/"&amp;TEXT(ROW()-4,"0000"))</f>
        <v/>
      </c>
      <c r="B888" s="8"/>
      <c r="C888" s="7" t="str">
        <f aca="false">IF(B888="","",INT((B888-DATE(YEAR(B888-WEEKDAY(B888-1)+4),1,3)+WEEKDAY(DATE(YEAR(B888-WEEKDAY(B888-1)+4),1,3))+5)/7))</f>
        <v/>
      </c>
      <c r="D888" s="9" t="str">
        <f aca="false">IF(B888="","",B888-WEEKDAY(B888,2)+1)</f>
        <v/>
      </c>
      <c r="E888" s="10"/>
      <c r="F888" s="8"/>
      <c r="G888" s="11"/>
      <c r="H888" s="10"/>
      <c r="I888" s="11"/>
      <c r="J888" s="10"/>
      <c r="K888" s="10"/>
      <c r="L888" s="10"/>
      <c r="M888" s="11"/>
      <c r="N888" s="8"/>
      <c r="O888" s="7" t="str">
        <f aca="false">IF(L888="","",IFERROR(VLOOKUP(L888,Paramètres!$F$5:$G$8,2,FALSE()),""))</f>
        <v/>
      </c>
      <c r="P888" s="9" t="str">
        <f aca="false">IF(OR(B888="",O888=""),"",IF(N888="",B888,N888)+O888)</f>
        <v/>
      </c>
      <c r="Q888" s="10"/>
      <c r="R888" s="8"/>
      <c r="S888" s="7" t="str">
        <f aca="false">IF(OR(B888="",R888=""),"",R888-B888)</f>
        <v/>
      </c>
      <c r="T888" s="7" t="str">
        <f aca="true">IF(OR(B888="",P888=""),"",IF(R888&lt;&gt;"",IF(R888&gt;P888,"Traité hors délai","Non"),IF(Q888="Classé sans suite","Non",IF(TODAY()&gt;P888,"OUI","Non"))))</f>
        <v/>
      </c>
      <c r="U888" s="11"/>
    </row>
    <row r="889" customFormat="false" ht="15" hidden="false" customHeight="false" outlineLevel="0" collapsed="false">
      <c r="A889" s="7" t="str">
        <f aca="false">IF(B889="","",YEAR(B889)&amp;"/"&amp;TEXT(ROW()-4,"0000"))</f>
        <v/>
      </c>
      <c r="B889" s="8"/>
      <c r="C889" s="7" t="str">
        <f aca="false">IF(B889="","",INT((B889-DATE(YEAR(B889-WEEKDAY(B889-1)+4),1,3)+WEEKDAY(DATE(YEAR(B889-WEEKDAY(B889-1)+4),1,3))+5)/7))</f>
        <v/>
      </c>
      <c r="D889" s="9" t="str">
        <f aca="false">IF(B889="","",B889-WEEKDAY(B889,2)+1)</f>
        <v/>
      </c>
      <c r="E889" s="10"/>
      <c r="F889" s="8"/>
      <c r="G889" s="11"/>
      <c r="H889" s="10"/>
      <c r="I889" s="11"/>
      <c r="J889" s="10"/>
      <c r="K889" s="10"/>
      <c r="L889" s="10"/>
      <c r="M889" s="11"/>
      <c r="N889" s="8"/>
      <c r="O889" s="7" t="str">
        <f aca="false">IF(L889="","",IFERROR(VLOOKUP(L889,Paramètres!$F$5:$G$8,2,FALSE()),""))</f>
        <v/>
      </c>
      <c r="P889" s="9" t="str">
        <f aca="false">IF(OR(B889="",O889=""),"",IF(N889="",B889,N889)+O889)</f>
        <v/>
      </c>
      <c r="Q889" s="10"/>
      <c r="R889" s="8"/>
      <c r="S889" s="7" t="str">
        <f aca="false">IF(OR(B889="",R889=""),"",R889-B889)</f>
        <v/>
      </c>
      <c r="T889" s="7" t="str">
        <f aca="true">IF(OR(B889="",P889=""),"",IF(R889&lt;&gt;"",IF(R889&gt;P889,"Traité hors délai","Non"),IF(Q889="Classé sans suite","Non",IF(TODAY()&gt;P889,"OUI","Non"))))</f>
        <v/>
      </c>
      <c r="U889" s="11"/>
    </row>
    <row r="890" customFormat="false" ht="15" hidden="false" customHeight="false" outlineLevel="0" collapsed="false">
      <c r="A890" s="7" t="str">
        <f aca="false">IF(B890="","",YEAR(B890)&amp;"/"&amp;TEXT(ROW()-4,"0000"))</f>
        <v/>
      </c>
      <c r="B890" s="8"/>
      <c r="C890" s="7" t="str">
        <f aca="false">IF(B890="","",INT((B890-DATE(YEAR(B890-WEEKDAY(B890-1)+4),1,3)+WEEKDAY(DATE(YEAR(B890-WEEKDAY(B890-1)+4),1,3))+5)/7))</f>
        <v/>
      </c>
      <c r="D890" s="9" t="str">
        <f aca="false">IF(B890="","",B890-WEEKDAY(B890,2)+1)</f>
        <v/>
      </c>
      <c r="E890" s="10"/>
      <c r="F890" s="8"/>
      <c r="G890" s="11"/>
      <c r="H890" s="10"/>
      <c r="I890" s="11"/>
      <c r="J890" s="10"/>
      <c r="K890" s="10"/>
      <c r="L890" s="10"/>
      <c r="M890" s="11"/>
      <c r="N890" s="8"/>
      <c r="O890" s="7" t="str">
        <f aca="false">IF(L890="","",IFERROR(VLOOKUP(L890,Paramètres!$F$5:$G$8,2,FALSE()),""))</f>
        <v/>
      </c>
      <c r="P890" s="9" t="str">
        <f aca="false">IF(OR(B890="",O890=""),"",IF(N890="",B890,N890)+O890)</f>
        <v/>
      </c>
      <c r="Q890" s="10"/>
      <c r="R890" s="8"/>
      <c r="S890" s="7" t="str">
        <f aca="false">IF(OR(B890="",R890=""),"",R890-B890)</f>
        <v/>
      </c>
      <c r="T890" s="7" t="str">
        <f aca="true">IF(OR(B890="",P890=""),"",IF(R890&lt;&gt;"",IF(R890&gt;P890,"Traité hors délai","Non"),IF(Q890="Classé sans suite","Non",IF(TODAY()&gt;P890,"OUI","Non"))))</f>
        <v/>
      </c>
      <c r="U890" s="11"/>
    </row>
    <row r="891" customFormat="false" ht="15" hidden="false" customHeight="false" outlineLevel="0" collapsed="false">
      <c r="A891" s="7" t="str">
        <f aca="false">IF(B891="","",YEAR(B891)&amp;"/"&amp;TEXT(ROW()-4,"0000"))</f>
        <v/>
      </c>
      <c r="B891" s="8"/>
      <c r="C891" s="7" t="str">
        <f aca="false">IF(B891="","",INT((B891-DATE(YEAR(B891-WEEKDAY(B891-1)+4),1,3)+WEEKDAY(DATE(YEAR(B891-WEEKDAY(B891-1)+4),1,3))+5)/7))</f>
        <v/>
      </c>
      <c r="D891" s="9" t="str">
        <f aca="false">IF(B891="","",B891-WEEKDAY(B891,2)+1)</f>
        <v/>
      </c>
      <c r="E891" s="10"/>
      <c r="F891" s="8"/>
      <c r="G891" s="11"/>
      <c r="H891" s="10"/>
      <c r="I891" s="11"/>
      <c r="J891" s="10"/>
      <c r="K891" s="10"/>
      <c r="L891" s="10"/>
      <c r="M891" s="11"/>
      <c r="N891" s="8"/>
      <c r="O891" s="7" t="str">
        <f aca="false">IF(L891="","",IFERROR(VLOOKUP(L891,Paramètres!$F$5:$G$8,2,FALSE()),""))</f>
        <v/>
      </c>
      <c r="P891" s="9" t="str">
        <f aca="false">IF(OR(B891="",O891=""),"",IF(N891="",B891,N891)+O891)</f>
        <v/>
      </c>
      <c r="Q891" s="10"/>
      <c r="R891" s="8"/>
      <c r="S891" s="7" t="str">
        <f aca="false">IF(OR(B891="",R891=""),"",R891-B891)</f>
        <v/>
      </c>
      <c r="T891" s="7" t="str">
        <f aca="true">IF(OR(B891="",P891=""),"",IF(R891&lt;&gt;"",IF(R891&gt;P891,"Traité hors délai","Non"),IF(Q891="Classé sans suite","Non",IF(TODAY()&gt;P891,"OUI","Non"))))</f>
        <v/>
      </c>
      <c r="U891" s="11"/>
    </row>
    <row r="892" customFormat="false" ht="15" hidden="false" customHeight="false" outlineLevel="0" collapsed="false">
      <c r="A892" s="7" t="str">
        <f aca="false">IF(B892="","",YEAR(B892)&amp;"/"&amp;TEXT(ROW()-4,"0000"))</f>
        <v/>
      </c>
      <c r="B892" s="8"/>
      <c r="C892" s="7" t="str">
        <f aca="false">IF(B892="","",INT((B892-DATE(YEAR(B892-WEEKDAY(B892-1)+4),1,3)+WEEKDAY(DATE(YEAR(B892-WEEKDAY(B892-1)+4),1,3))+5)/7))</f>
        <v/>
      </c>
      <c r="D892" s="9" t="str">
        <f aca="false">IF(B892="","",B892-WEEKDAY(B892,2)+1)</f>
        <v/>
      </c>
      <c r="E892" s="10"/>
      <c r="F892" s="8"/>
      <c r="G892" s="11"/>
      <c r="H892" s="10"/>
      <c r="I892" s="11"/>
      <c r="J892" s="10"/>
      <c r="K892" s="10"/>
      <c r="L892" s="10"/>
      <c r="M892" s="11"/>
      <c r="N892" s="8"/>
      <c r="O892" s="7" t="str">
        <f aca="false">IF(L892="","",IFERROR(VLOOKUP(L892,Paramètres!$F$5:$G$8,2,FALSE()),""))</f>
        <v/>
      </c>
      <c r="P892" s="9" t="str">
        <f aca="false">IF(OR(B892="",O892=""),"",IF(N892="",B892,N892)+O892)</f>
        <v/>
      </c>
      <c r="Q892" s="10"/>
      <c r="R892" s="8"/>
      <c r="S892" s="7" t="str">
        <f aca="false">IF(OR(B892="",R892=""),"",R892-B892)</f>
        <v/>
      </c>
      <c r="T892" s="7" t="str">
        <f aca="true">IF(OR(B892="",P892=""),"",IF(R892&lt;&gt;"",IF(R892&gt;P892,"Traité hors délai","Non"),IF(Q892="Classé sans suite","Non",IF(TODAY()&gt;P892,"OUI","Non"))))</f>
        <v/>
      </c>
      <c r="U892" s="11"/>
    </row>
    <row r="893" customFormat="false" ht="15" hidden="false" customHeight="false" outlineLevel="0" collapsed="false">
      <c r="A893" s="7" t="str">
        <f aca="false">IF(B893="","",YEAR(B893)&amp;"/"&amp;TEXT(ROW()-4,"0000"))</f>
        <v/>
      </c>
      <c r="B893" s="8"/>
      <c r="C893" s="7" t="str">
        <f aca="false">IF(B893="","",INT((B893-DATE(YEAR(B893-WEEKDAY(B893-1)+4),1,3)+WEEKDAY(DATE(YEAR(B893-WEEKDAY(B893-1)+4),1,3))+5)/7))</f>
        <v/>
      </c>
      <c r="D893" s="9" t="str">
        <f aca="false">IF(B893="","",B893-WEEKDAY(B893,2)+1)</f>
        <v/>
      </c>
      <c r="E893" s="10"/>
      <c r="F893" s="8"/>
      <c r="G893" s="11"/>
      <c r="H893" s="10"/>
      <c r="I893" s="11"/>
      <c r="J893" s="10"/>
      <c r="K893" s="10"/>
      <c r="L893" s="10"/>
      <c r="M893" s="11"/>
      <c r="N893" s="8"/>
      <c r="O893" s="7" t="str">
        <f aca="false">IF(L893="","",IFERROR(VLOOKUP(L893,Paramètres!$F$5:$G$8,2,FALSE()),""))</f>
        <v/>
      </c>
      <c r="P893" s="9" t="str">
        <f aca="false">IF(OR(B893="",O893=""),"",IF(N893="",B893,N893)+O893)</f>
        <v/>
      </c>
      <c r="Q893" s="10"/>
      <c r="R893" s="8"/>
      <c r="S893" s="7" t="str">
        <f aca="false">IF(OR(B893="",R893=""),"",R893-B893)</f>
        <v/>
      </c>
      <c r="T893" s="7" t="str">
        <f aca="true">IF(OR(B893="",P893=""),"",IF(R893&lt;&gt;"",IF(R893&gt;P893,"Traité hors délai","Non"),IF(Q893="Classé sans suite","Non",IF(TODAY()&gt;P893,"OUI","Non"))))</f>
        <v/>
      </c>
      <c r="U893" s="11"/>
    </row>
    <row r="894" customFormat="false" ht="15" hidden="false" customHeight="false" outlineLevel="0" collapsed="false">
      <c r="A894" s="7" t="str">
        <f aca="false">IF(B894="","",YEAR(B894)&amp;"/"&amp;TEXT(ROW()-4,"0000"))</f>
        <v/>
      </c>
      <c r="B894" s="8"/>
      <c r="C894" s="7" t="str">
        <f aca="false">IF(B894="","",INT((B894-DATE(YEAR(B894-WEEKDAY(B894-1)+4),1,3)+WEEKDAY(DATE(YEAR(B894-WEEKDAY(B894-1)+4),1,3))+5)/7))</f>
        <v/>
      </c>
      <c r="D894" s="9" t="str">
        <f aca="false">IF(B894="","",B894-WEEKDAY(B894,2)+1)</f>
        <v/>
      </c>
      <c r="E894" s="10"/>
      <c r="F894" s="8"/>
      <c r="G894" s="11"/>
      <c r="H894" s="10"/>
      <c r="I894" s="11"/>
      <c r="J894" s="10"/>
      <c r="K894" s="10"/>
      <c r="L894" s="10"/>
      <c r="M894" s="11"/>
      <c r="N894" s="8"/>
      <c r="O894" s="7" t="str">
        <f aca="false">IF(L894="","",IFERROR(VLOOKUP(L894,Paramètres!$F$5:$G$8,2,FALSE()),""))</f>
        <v/>
      </c>
      <c r="P894" s="9" t="str">
        <f aca="false">IF(OR(B894="",O894=""),"",IF(N894="",B894,N894)+O894)</f>
        <v/>
      </c>
      <c r="Q894" s="10"/>
      <c r="R894" s="8"/>
      <c r="S894" s="7" t="str">
        <f aca="false">IF(OR(B894="",R894=""),"",R894-B894)</f>
        <v/>
      </c>
      <c r="T894" s="7" t="str">
        <f aca="true">IF(OR(B894="",P894=""),"",IF(R894&lt;&gt;"",IF(R894&gt;P894,"Traité hors délai","Non"),IF(Q894="Classé sans suite","Non",IF(TODAY()&gt;P894,"OUI","Non"))))</f>
        <v/>
      </c>
      <c r="U894" s="11"/>
    </row>
    <row r="895" customFormat="false" ht="15" hidden="false" customHeight="false" outlineLevel="0" collapsed="false">
      <c r="A895" s="7" t="str">
        <f aca="false">IF(B895="","",YEAR(B895)&amp;"/"&amp;TEXT(ROW()-4,"0000"))</f>
        <v/>
      </c>
      <c r="B895" s="8"/>
      <c r="C895" s="7" t="str">
        <f aca="false">IF(B895="","",INT((B895-DATE(YEAR(B895-WEEKDAY(B895-1)+4),1,3)+WEEKDAY(DATE(YEAR(B895-WEEKDAY(B895-1)+4),1,3))+5)/7))</f>
        <v/>
      </c>
      <c r="D895" s="9" t="str">
        <f aca="false">IF(B895="","",B895-WEEKDAY(B895,2)+1)</f>
        <v/>
      </c>
      <c r="E895" s="10"/>
      <c r="F895" s="8"/>
      <c r="G895" s="11"/>
      <c r="H895" s="10"/>
      <c r="I895" s="11"/>
      <c r="J895" s="10"/>
      <c r="K895" s="10"/>
      <c r="L895" s="10"/>
      <c r="M895" s="11"/>
      <c r="N895" s="8"/>
      <c r="O895" s="7" t="str">
        <f aca="false">IF(L895="","",IFERROR(VLOOKUP(L895,Paramètres!$F$5:$G$8,2,FALSE()),""))</f>
        <v/>
      </c>
      <c r="P895" s="9" t="str">
        <f aca="false">IF(OR(B895="",O895=""),"",IF(N895="",B895,N895)+O895)</f>
        <v/>
      </c>
      <c r="Q895" s="10"/>
      <c r="R895" s="8"/>
      <c r="S895" s="7" t="str">
        <f aca="false">IF(OR(B895="",R895=""),"",R895-B895)</f>
        <v/>
      </c>
      <c r="T895" s="7" t="str">
        <f aca="true">IF(OR(B895="",P895=""),"",IF(R895&lt;&gt;"",IF(R895&gt;P895,"Traité hors délai","Non"),IF(Q895="Classé sans suite","Non",IF(TODAY()&gt;P895,"OUI","Non"))))</f>
        <v/>
      </c>
      <c r="U895" s="11"/>
    </row>
    <row r="896" customFormat="false" ht="15" hidden="false" customHeight="false" outlineLevel="0" collapsed="false">
      <c r="A896" s="7" t="str">
        <f aca="false">IF(B896="","",YEAR(B896)&amp;"/"&amp;TEXT(ROW()-4,"0000"))</f>
        <v/>
      </c>
      <c r="B896" s="8"/>
      <c r="C896" s="7" t="str">
        <f aca="false">IF(B896="","",INT((B896-DATE(YEAR(B896-WEEKDAY(B896-1)+4),1,3)+WEEKDAY(DATE(YEAR(B896-WEEKDAY(B896-1)+4),1,3))+5)/7))</f>
        <v/>
      </c>
      <c r="D896" s="9" t="str">
        <f aca="false">IF(B896="","",B896-WEEKDAY(B896,2)+1)</f>
        <v/>
      </c>
      <c r="E896" s="10"/>
      <c r="F896" s="8"/>
      <c r="G896" s="11"/>
      <c r="H896" s="10"/>
      <c r="I896" s="11"/>
      <c r="J896" s="10"/>
      <c r="K896" s="10"/>
      <c r="L896" s="10"/>
      <c r="M896" s="11"/>
      <c r="N896" s="8"/>
      <c r="O896" s="7" t="str">
        <f aca="false">IF(L896="","",IFERROR(VLOOKUP(L896,Paramètres!$F$5:$G$8,2,FALSE()),""))</f>
        <v/>
      </c>
      <c r="P896" s="9" t="str">
        <f aca="false">IF(OR(B896="",O896=""),"",IF(N896="",B896,N896)+O896)</f>
        <v/>
      </c>
      <c r="Q896" s="10"/>
      <c r="R896" s="8"/>
      <c r="S896" s="7" t="str">
        <f aca="false">IF(OR(B896="",R896=""),"",R896-B896)</f>
        <v/>
      </c>
      <c r="T896" s="7" t="str">
        <f aca="true">IF(OR(B896="",P896=""),"",IF(R896&lt;&gt;"",IF(R896&gt;P896,"Traité hors délai","Non"),IF(Q896="Classé sans suite","Non",IF(TODAY()&gt;P896,"OUI","Non"))))</f>
        <v/>
      </c>
      <c r="U896" s="11"/>
    </row>
    <row r="897" customFormat="false" ht="15" hidden="false" customHeight="false" outlineLevel="0" collapsed="false">
      <c r="A897" s="7" t="str">
        <f aca="false">IF(B897="","",YEAR(B897)&amp;"/"&amp;TEXT(ROW()-4,"0000"))</f>
        <v/>
      </c>
      <c r="B897" s="8"/>
      <c r="C897" s="7" t="str">
        <f aca="false">IF(B897="","",INT((B897-DATE(YEAR(B897-WEEKDAY(B897-1)+4),1,3)+WEEKDAY(DATE(YEAR(B897-WEEKDAY(B897-1)+4),1,3))+5)/7))</f>
        <v/>
      </c>
      <c r="D897" s="9" t="str">
        <f aca="false">IF(B897="","",B897-WEEKDAY(B897,2)+1)</f>
        <v/>
      </c>
      <c r="E897" s="10"/>
      <c r="F897" s="8"/>
      <c r="G897" s="11"/>
      <c r="H897" s="10"/>
      <c r="I897" s="11"/>
      <c r="J897" s="10"/>
      <c r="K897" s="10"/>
      <c r="L897" s="10"/>
      <c r="M897" s="11"/>
      <c r="N897" s="8"/>
      <c r="O897" s="7" t="str">
        <f aca="false">IF(L897="","",IFERROR(VLOOKUP(L897,Paramètres!$F$5:$G$8,2,FALSE()),""))</f>
        <v/>
      </c>
      <c r="P897" s="9" t="str">
        <f aca="false">IF(OR(B897="",O897=""),"",IF(N897="",B897,N897)+O897)</f>
        <v/>
      </c>
      <c r="Q897" s="10"/>
      <c r="R897" s="8"/>
      <c r="S897" s="7" t="str">
        <f aca="false">IF(OR(B897="",R897=""),"",R897-B897)</f>
        <v/>
      </c>
      <c r="T897" s="7" t="str">
        <f aca="true">IF(OR(B897="",P897=""),"",IF(R897&lt;&gt;"",IF(R897&gt;P897,"Traité hors délai","Non"),IF(Q897="Classé sans suite","Non",IF(TODAY()&gt;P897,"OUI","Non"))))</f>
        <v/>
      </c>
      <c r="U897" s="11"/>
    </row>
    <row r="898" customFormat="false" ht="15" hidden="false" customHeight="false" outlineLevel="0" collapsed="false">
      <c r="A898" s="7" t="str">
        <f aca="false">IF(B898="","",YEAR(B898)&amp;"/"&amp;TEXT(ROW()-4,"0000"))</f>
        <v/>
      </c>
      <c r="B898" s="8"/>
      <c r="C898" s="7" t="str">
        <f aca="false">IF(B898="","",INT((B898-DATE(YEAR(B898-WEEKDAY(B898-1)+4),1,3)+WEEKDAY(DATE(YEAR(B898-WEEKDAY(B898-1)+4),1,3))+5)/7))</f>
        <v/>
      </c>
      <c r="D898" s="9" t="str">
        <f aca="false">IF(B898="","",B898-WEEKDAY(B898,2)+1)</f>
        <v/>
      </c>
      <c r="E898" s="10"/>
      <c r="F898" s="8"/>
      <c r="G898" s="11"/>
      <c r="H898" s="10"/>
      <c r="I898" s="11"/>
      <c r="J898" s="10"/>
      <c r="K898" s="10"/>
      <c r="L898" s="10"/>
      <c r="M898" s="11"/>
      <c r="N898" s="8"/>
      <c r="O898" s="7" t="str">
        <f aca="false">IF(L898="","",IFERROR(VLOOKUP(L898,Paramètres!$F$5:$G$8,2,FALSE()),""))</f>
        <v/>
      </c>
      <c r="P898" s="9" t="str">
        <f aca="false">IF(OR(B898="",O898=""),"",IF(N898="",B898,N898)+O898)</f>
        <v/>
      </c>
      <c r="Q898" s="10"/>
      <c r="R898" s="8"/>
      <c r="S898" s="7" t="str">
        <f aca="false">IF(OR(B898="",R898=""),"",R898-B898)</f>
        <v/>
      </c>
      <c r="T898" s="7" t="str">
        <f aca="true">IF(OR(B898="",P898=""),"",IF(R898&lt;&gt;"",IF(R898&gt;P898,"Traité hors délai","Non"),IF(Q898="Classé sans suite","Non",IF(TODAY()&gt;P898,"OUI","Non"))))</f>
        <v/>
      </c>
      <c r="U898" s="11"/>
    </row>
    <row r="899" customFormat="false" ht="15" hidden="false" customHeight="false" outlineLevel="0" collapsed="false">
      <c r="A899" s="7" t="str">
        <f aca="false">IF(B899="","",YEAR(B899)&amp;"/"&amp;TEXT(ROW()-4,"0000"))</f>
        <v/>
      </c>
      <c r="B899" s="8"/>
      <c r="C899" s="7" t="str">
        <f aca="false">IF(B899="","",INT((B899-DATE(YEAR(B899-WEEKDAY(B899-1)+4),1,3)+WEEKDAY(DATE(YEAR(B899-WEEKDAY(B899-1)+4),1,3))+5)/7))</f>
        <v/>
      </c>
      <c r="D899" s="9" t="str">
        <f aca="false">IF(B899="","",B899-WEEKDAY(B899,2)+1)</f>
        <v/>
      </c>
      <c r="E899" s="10"/>
      <c r="F899" s="8"/>
      <c r="G899" s="11"/>
      <c r="H899" s="10"/>
      <c r="I899" s="11"/>
      <c r="J899" s="10"/>
      <c r="K899" s="10"/>
      <c r="L899" s="10"/>
      <c r="M899" s="11"/>
      <c r="N899" s="8"/>
      <c r="O899" s="7" t="str">
        <f aca="false">IF(L899="","",IFERROR(VLOOKUP(L899,Paramètres!$F$5:$G$8,2,FALSE()),""))</f>
        <v/>
      </c>
      <c r="P899" s="9" t="str">
        <f aca="false">IF(OR(B899="",O899=""),"",IF(N899="",B899,N899)+O899)</f>
        <v/>
      </c>
      <c r="Q899" s="10"/>
      <c r="R899" s="8"/>
      <c r="S899" s="7" t="str">
        <f aca="false">IF(OR(B899="",R899=""),"",R899-B899)</f>
        <v/>
      </c>
      <c r="T899" s="7" t="str">
        <f aca="true">IF(OR(B899="",P899=""),"",IF(R899&lt;&gt;"",IF(R899&gt;P899,"Traité hors délai","Non"),IF(Q899="Classé sans suite","Non",IF(TODAY()&gt;P899,"OUI","Non"))))</f>
        <v/>
      </c>
      <c r="U899" s="11"/>
    </row>
    <row r="900" customFormat="false" ht="15" hidden="false" customHeight="false" outlineLevel="0" collapsed="false">
      <c r="A900" s="7" t="str">
        <f aca="false">IF(B900="","",YEAR(B900)&amp;"/"&amp;TEXT(ROW()-4,"0000"))</f>
        <v/>
      </c>
      <c r="B900" s="8"/>
      <c r="C900" s="7" t="str">
        <f aca="false">IF(B900="","",INT((B900-DATE(YEAR(B900-WEEKDAY(B900-1)+4),1,3)+WEEKDAY(DATE(YEAR(B900-WEEKDAY(B900-1)+4),1,3))+5)/7))</f>
        <v/>
      </c>
      <c r="D900" s="9" t="str">
        <f aca="false">IF(B900="","",B900-WEEKDAY(B900,2)+1)</f>
        <v/>
      </c>
      <c r="E900" s="10"/>
      <c r="F900" s="8"/>
      <c r="G900" s="11"/>
      <c r="H900" s="10"/>
      <c r="I900" s="11"/>
      <c r="J900" s="10"/>
      <c r="K900" s="10"/>
      <c r="L900" s="10"/>
      <c r="M900" s="11"/>
      <c r="N900" s="8"/>
      <c r="O900" s="7" t="str">
        <f aca="false">IF(L900="","",IFERROR(VLOOKUP(L900,Paramètres!$F$5:$G$8,2,FALSE()),""))</f>
        <v/>
      </c>
      <c r="P900" s="9" t="str">
        <f aca="false">IF(OR(B900="",O900=""),"",IF(N900="",B900,N900)+O900)</f>
        <v/>
      </c>
      <c r="Q900" s="10"/>
      <c r="R900" s="8"/>
      <c r="S900" s="7" t="str">
        <f aca="false">IF(OR(B900="",R900=""),"",R900-B900)</f>
        <v/>
      </c>
      <c r="T900" s="7" t="str">
        <f aca="true">IF(OR(B900="",P900=""),"",IF(R900&lt;&gt;"",IF(R900&gt;P900,"Traité hors délai","Non"),IF(Q900="Classé sans suite","Non",IF(TODAY()&gt;P900,"OUI","Non"))))</f>
        <v/>
      </c>
      <c r="U900" s="11"/>
    </row>
    <row r="901" customFormat="false" ht="15" hidden="false" customHeight="false" outlineLevel="0" collapsed="false">
      <c r="A901" s="7" t="str">
        <f aca="false">IF(B901="","",YEAR(B901)&amp;"/"&amp;TEXT(ROW()-4,"0000"))</f>
        <v/>
      </c>
      <c r="B901" s="8"/>
      <c r="C901" s="7" t="str">
        <f aca="false">IF(B901="","",INT((B901-DATE(YEAR(B901-WEEKDAY(B901-1)+4),1,3)+WEEKDAY(DATE(YEAR(B901-WEEKDAY(B901-1)+4),1,3))+5)/7))</f>
        <v/>
      </c>
      <c r="D901" s="9" t="str">
        <f aca="false">IF(B901="","",B901-WEEKDAY(B901,2)+1)</f>
        <v/>
      </c>
      <c r="E901" s="10"/>
      <c r="F901" s="8"/>
      <c r="G901" s="11"/>
      <c r="H901" s="10"/>
      <c r="I901" s="11"/>
      <c r="J901" s="10"/>
      <c r="K901" s="10"/>
      <c r="L901" s="10"/>
      <c r="M901" s="11"/>
      <c r="N901" s="8"/>
      <c r="O901" s="7" t="str">
        <f aca="false">IF(L901="","",IFERROR(VLOOKUP(L901,Paramètres!$F$5:$G$8,2,FALSE()),""))</f>
        <v/>
      </c>
      <c r="P901" s="9" t="str">
        <f aca="false">IF(OR(B901="",O901=""),"",IF(N901="",B901,N901)+O901)</f>
        <v/>
      </c>
      <c r="Q901" s="10"/>
      <c r="R901" s="8"/>
      <c r="S901" s="7" t="str">
        <f aca="false">IF(OR(B901="",R901=""),"",R901-B901)</f>
        <v/>
      </c>
      <c r="T901" s="7" t="str">
        <f aca="true">IF(OR(B901="",P901=""),"",IF(R901&lt;&gt;"",IF(R901&gt;P901,"Traité hors délai","Non"),IF(Q901="Classé sans suite","Non",IF(TODAY()&gt;P901,"OUI","Non"))))</f>
        <v/>
      </c>
      <c r="U901" s="11"/>
    </row>
    <row r="902" customFormat="false" ht="15" hidden="false" customHeight="false" outlineLevel="0" collapsed="false">
      <c r="A902" s="7" t="str">
        <f aca="false">IF(B902="","",YEAR(B902)&amp;"/"&amp;TEXT(ROW()-4,"0000"))</f>
        <v/>
      </c>
      <c r="B902" s="8"/>
      <c r="C902" s="7" t="str">
        <f aca="false">IF(B902="","",INT((B902-DATE(YEAR(B902-WEEKDAY(B902-1)+4),1,3)+WEEKDAY(DATE(YEAR(B902-WEEKDAY(B902-1)+4),1,3))+5)/7))</f>
        <v/>
      </c>
      <c r="D902" s="9" t="str">
        <f aca="false">IF(B902="","",B902-WEEKDAY(B902,2)+1)</f>
        <v/>
      </c>
      <c r="E902" s="10"/>
      <c r="F902" s="8"/>
      <c r="G902" s="11"/>
      <c r="H902" s="10"/>
      <c r="I902" s="11"/>
      <c r="J902" s="10"/>
      <c r="K902" s="10"/>
      <c r="L902" s="10"/>
      <c r="M902" s="11"/>
      <c r="N902" s="8"/>
      <c r="O902" s="7" t="str">
        <f aca="false">IF(L902="","",IFERROR(VLOOKUP(L902,Paramètres!$F$5:$G$8,2,FALSE()),""))</f>
        <v/>
      </c>
      <c r="P902" s="9" t="str">
        <f aca="false">IF(OR(B902="",O902=""),"",IF(N902="",B902,N902)+O902)</f>
        <v/>
      </c>
      <c r="Q902" s="10"/>
      <c r="R902" s="8"/>
      <c r="S902" s="7" t="str">
        <f aca="false">IF(OR(B902="",R902=""),"",R902-B902)</f>
        <v/>
      </c>
      <c r="T902" s="7" t="str">
        <f aca="true">IF(OR(B902="",P902=""),"",IF(R902&lt;&gt;"",IF(R902&gt;P902,"Traité hors délai","Non"),IF(Q902="Classé sans suite","Non",IF(TODAY()&gt;P902,"OUI","Non"))))</f>
        <v/>
      </c>
      <c r="U902" s="11"/>
    </row>
    <row r="903" customFormat="false" ht="15" hidden="false" customHeight="false" outlineLevel="0" collapsed="false">
      <c r="A903" s="7" t="str">
        <f aca="false">IF(B903="","",YEAR(B903)&amp;"/"&amp;TEXT(ROW()-4,"0000"))</f>
        <v/>
      </c>
      <c r="B903" s="8"/>
      <c r="C903" s="7" t="str">
        <f aca="false">IF(B903="","",INT((B903-DATE(YEAR(B903-WEEKDAY(B903-1)+4),1,3)+WEEKDAY(DATE(YEAR(B903-WEEKDAY(B903-1)+4),1,3))+5)/7))</f>
        <v/>
      </c>
      <c r="D903" s="9" t="str">
        <f aca="false">IF(B903="","",B903-WEEKDAY(B903,2)+1)</f>
        <v/>
      </c>
      <c r="E903" s="10"/>
      <c r="F903" s="8"/>
      <c r="G903" s="11"/>
      <c r="H903" s="10"/>
      <c r="I903" s="11"/>
      <c r="J903" s="10"/>
      <c r="K903" s="10"/>
      <c r="L903" s="10"/>
      <c r="M903" s="11"/>
      <c r="N903" s="8"/>
      <c r="O903" s="7" t="str">
        <f aca="false">IF(L903="","",IFERROR(VLOOKUP(L903,Paramètres!$F$5:$G$8,2,FALSE()),""))</f>
        <v/>
      </c>
      <c r="P903" s="9" t="str">
        <f aca="false">IF(OR(B903="",O903=""),"",IF(N903="",B903,N903)+O903)</f>
        <v/>
      </c>
      <c r="Q903" s="10"/>
      <c r="R903" s="8"/>
      <c r="S903" s="7" t="str">
        <f aca="false">IF(OR(B903="",R903=""),"",R903-B903)</f>
        <v/>
      </c>
      <c r="T903" s="7" t="str">
        <f aca="true">IF(OR(B903="",P903=""),"",IF(R903&lt;&gt;"",IF(R903&gt;P903,"Traité hors délai","Non"),IF(Q903="Classé sans suite","Non",IF(TODAY()&gt;P903,"OUI","Non"))))</f>
        <v/>
      </c>
      <c r="U903" s="11"/>
    </row>
    <row r="904" customFormat="false" ht="15" hidden="false" customHeight="false" outlineLevel="0" collapsed="false">
      <c r="A904" s="7" t="str">
        <f aca="false">IF(B904="","",YEAR(B904)&amp;"/"&amp;TEXT(ROW()-4,"0000"))</f>
        <v/>
      </c>
      <c r="B904" s="8"/>
      <c r="C904" s="7" t="str">
        <f aca="false">IF(B904="","",INT((B904-DATE(YEAR(B904-WEEKDAY(B904-1)+4),1,3)+WEEKDAY(DATE(YEAR(B904-WEEKDAY(B904-1)+4),1,3))+5)/7))</f>
        <v/>
      </c>
      <c r="D904" s="9" t="str">
        <f aca="false">IF(B904="","",B904-WEEKDAY(B904,2)+1)</f>
        <v/>
      </c>
      <c r="E904" s="10"/>
      <c r="F904" s="8"/>
      <c r="G904" s="11"/>
      <c r="H904" s="10"/>
      <c r="I904" s="11"/>
      <c r="J904" s="10"/>
      <c r="K904" s="10"/>
      <c r="L904" s="10"/>
      <c r="M904" s="11"/>
      <c r="N904" s="8"/>
      <c r="O904" s="7" t="str">
        <f aca="false">IF(L904="","",IFERROR(VLOOKUP(L904,Paramètres!$F$5:$G$8,2,FALSE()),""))</f>
        <v/>
      </c>
      <c r="P904" s="9" t="str">
        <f aca="false">IF(OR(B904="",O904=""),"",IF(N904="",B904,N904)+O904)</f>
        <v/>
      </c>
      <c r="Q904" s="10"/>
      <c r="R904" s="8"/>
      <c r="S904" s="7" t="str">
        <f aca="false">IF(OR(B904="",R904=""),"",R904-B904)</f>
        <v/>
      </c>
      <c r="T904" s="7" t="str">
        <f aca="true">IF(OR(B904="",P904=""),"",IF(R904&lt;&gt;"",IF(R904&gt;P904,"Traité hors délai","Non"),IF(Q904="Classé sans suite","Non",IF(TODAY()&gt;P904,"OUI","Non"))))</f>
        <v/>
      </c>
      <c r="U904" s="11"/>
    </row>
    <row r="905" customFormat="false" ht="15" hidden="false" customHeight="false" outlineLevel="0" collapsed="false">
      <c r="A905" s="7" t="str">
        <f aca="false">IF(B905="","",YEAR(B905)&amp;"/"&amp;TEXT(ROW()-4,"0000"))</f>
        <v/>
      </c>
      <c r="B905" s="8"/>
      <c r="C905" s="7" t="str">
        <f aca="false">IF(B905="","",INT((B905-DATE(YEAR(B905-WEEKDAY(B905-1)+4),1,3)+WEEKDAY(DATE(YEAR(B905-WEEKDAY(B905-1)+4),1,3))+5)/7))</f>
        <v/>
      </c>
      <c r="D905" s="9" t="str">
        <f aca="false">IF(B905="","",B905-WEEKDAY(B905,2)+1)</f>
        <v/>
      </c>
      <c r="E905" s="10"/>
      <c r="F905" s="8"/>
      <c r="G905" s="11"/>
      <c r="H905" s="10"/>
      <c r="I905" s="11"/>
      <c r="J905" s="10"/>
      <c r="K905" s="10"/>
      <c r="L905" s="10"/>
      <c r="M905" s="11"/>
      <c r="N905" s="8"/>
      <c r="O905" s="7" t="str">
        <f aca="false">IF(L905="","",IFERROR(VLOOKUP(L905,Paramètres!$F$5:$G$8,2,FALSE()),""))</f>
        <v/>
      </c>
      <c r="P905" s="9" t="str">
        <f aca="false">IF(OR(B905="",O905=""),"",IF(N905="",B905,N905)+O905)</f>
        <v/>
      </c>
      <c r="Q905" s="10"/>
      <c r="R905" s="8"/>
      <c r="S905" s="7" t="str">
        <f aca="false">IF(OR(B905="",R905=""),"",R905-B905)</f>
        <v/>
      </c>
      <c r="T905" s="7" t="str">
        <f aca="true">IF(OR(B905="",P905=""),"",IF(R905&lt;&gt;"",IF(R905&gt;P905,"Traité hors délai","Non"),IF(Q905="Classé sans suite","Non",IF(TODAY()&gt;P905,"OUI","Non"))))</f>
        <v/>
      </c>
      <c r="U905" s="11"/>
    </row>
    <row r="906" customFormat="false" ht="15" hidden="false" customHeight="false" outlineLevel="0" collapsed="false">
      <c r="A906" s="7" t="str">
        <f aca="false">IF(B906="","",YEAR(B906)&amp;"/"&amp;TEXT(ROW()-4,"0000"))</f>
        <v/>
      </c>
      <c r="B906" s="8"/>
      <c r="C906" s="7" t="str">
        <f aca="false">IF(B906="","",INT((B906-DATE(YEAR(B906-WEEKDAY(B906-1)+4),1,3)+WEEKDAY(DATE(YEAR(B906-WEEKDAY(B906-1)+4),1,3))+5)/7))</f>
        <v/>
      </c>
      <c r="D906" s="9" t="str">
        <f aca="false">IF(B906="","",B906-WEEKDAY(B906,2)+1)</f>
        <v/>
      </c>
      <c r="E906" s="10"/>
      <c r="F906" s="8"/>
      <c r="G906" s="11"/>
      <c r="H906" s="10"/>
      <c r="I906" s="11"/>
      <c r="J906" s="10"/>
      <c r="K906" s="10"/>
      <c r="L906" s="10"/>
      <c r="M906" s="11"/>
      <c r="N906" s="8"/>
      <c r="O906" s="7" t="str">
        <f aca="false">IF(L906="","",IFERROR(VLOOKUP(L906,Paramètres!$F$5:$G$8,2,FALSE()),""))</f>
        <v/>
      </c>
      <c r="P906" s="9" t="str">
        <f aca="false">IF(OR(B906="",O906=""),"",IF(N906="",B906,N906)+O906)</f>
        <v/>
      </c>
      <c r="Q906" s="10"/>
      <c r="R906" s="8"/>
      <c r="S906" s="7" t="str">
        <f aca="false">IF(OR(B906="",R906=""),"",R906-B906)</f>
        <v/>
      </c>
      <c r="T906" s="7" t="str">
        <f aca="true">IF(OR(B906="",P906=""),"",IF(R906&lt;&gt;"",IF(R906&gt;P906,"Traité hors délai","Non"),IF(Q906="Classé sans suite","Non",IF(TODAY()&gt;P906,"OUI","Non"))))</f>
        <v/>
      </c>
      <c r="U906" s="11"/>
    </row>
    <row r="907" customFormat="false" ht="15" hidden="false" customHeight="false" outlineLevel="0" collapsed="false">
      <c r="A907" s="7" t="str">
        <f aca="false">IF(B907="","",YEAR(B907)&amp;"/"&amp;TEXT(ROW()-4,"0000"))</f>
        <v/>
      </c>
      <c r="B907" s="8"/>
      <c r="C907" s="7" t="str">
        <f aca="false">IF(B907="","",INT((B907-DATE(YEAR(B907-WEEKDAY(B907-1)+4),1,3)+WEEKDAY(DATE(YEAR(B907-WEEKDAY(B907-1)+4),1,3))+5)/7))</f>
        <v/>
      </c>
      <c r="D907" s="9" t="str">
        <f aca="false">IF(B907="","",B907-WEEKDAY(B907,2)+1)</f>
        <v/>
      </c>
      <c r="E907" s="10"/>
      <c r="F907" s="8"/>
      <c r="G907" s="11"/>
      <c r="H907" s="10"/>
      <c r="I907" s="11"/>
      <c r="J907" s="10"/>
      <c r="K907" s="10"/>
      <c r="L907" s="10"/>
      <c r="M907" s="11"/>
      <c r="N907" s="8"/>
      <c r="O907" s="7" t="str">
        <f aca="false">IF(L907="","",IFERROR(VLOOKUP(L907,Paramètres!$F$5:$G$8,2,FALSE()),""))</f>
        <v/>
      </c>
      <c r="P907" s="9" t="str">
        <f aca="false">IF(OR(B907="",O907=""),"",IF(N907="",B907,N907)+O907)</f>
        <v/>
      </c>
      <c r="Q907" s="10"/>
      <c r="R907" s="8"/>
      <c r="S907" s="7" t="str">
        <f aca="false">IF(OR(B907="",R907=""),"",R907-B907)</f>
        <v/>
      </c>
      <c r="T907" s="7" t="str">
        <f aca="true">IF(OR(B907="",P907=""),"",IF(R907&lt;&gt;"",IF(R907&gt;P907,"Traité hors délai","Non"),IF(Q907="Classé sans suite","Non",IF(TODAY()&gt;P907,"OUI","Non"))))</f>
        <v/>
      </c>
      <c r="U907" s="11"/>
    </row>
    <row r="908" customFormat="false" ht="15" hidden="false" customHeight="false" outlineLevel="0" collapsed="false">
      <c r="A908" s="7" t="str">
        <f aca="false">IF(B908="","",YEAR(B908)&amp;"/"&amp;TEXT(ROW()-4,"0000"))</f>
        <v/>
      </c>
      <c r="B908" s="8"/>
      <c r="C908" s="7" t="str">
        <f aca="false">IF(B908="","",INT((B908-DATE(YEAR(B908-WEEKDAY(B908-1)+4),1,3)+WEEKDAY(DATE(YEAR(B908-WEEKDAY(B908-1)+4),1,3))+5)/7))</f>
        <v/>
      </c>
      <c r="D908" s="9" t="str">
        <f aca="false">IF(B908="","",B908-WEEKDAY(B908,2)+1)</f>
        <v/>
      </c>
      <c r="E908" s="10"/>
      <c r="F908" s="8"/>
      <c r="G908" s="11"/>
      <c r="H908" s="10"/>
      <c r="I908" s="11"/>
      <c r="J908" s="10"/>
      <c r="K908" s="10"/>
      <c r="L908" s="10"/>
      <c r="M908" s="11"/>
      <c r="N908" s="8"/>
      <c r="O908" s="7" t="str">
        <f aca="false">IF(L908="","",IFERROR(VLOOKUP(L908,Paramètres!$F$5:$G$8,2,FALSE()),""))</f>
        <v/>
      </c>
      <c r="P908" s="9" t="str">
        <f aca="false">IF(OR(B908="",O908=""),"",IF(N908="",B908,N908)+O908)</f>
        <v/>
      </c>
      <c r="Q908" s="10"/>
      <c r="R908" s="8"/>
      <c r="S908" s="7" t="str">
        <f aca="false">IF(OR(B908="",R908=""),"",R908-B908)</f>
        <v/>
      </c>
      <c r="T908" s="7" t="str">
        <f aca="true">IF(OR(B908="",P908=""),"",IF(R908&lt;&gt;"",IF(R908&gt;P908,"Traité hors délai","Non"),IF(Q908="Classé sans suite","Non",IF(TODAY()&gt;P908,"OUI","Non"))))</f>
        <v/>
      </c>
      <c r="U908" s="11"/>
    </row>
    <row r="909" customFormat="false" ht="15" hidden="false" customHeight="false" outlineLevel="0" collapsed="false">
      <c r="A909" s="7" t="str">
        <f aca="false">IF(B909="","",YEAR(B909)&amp;"/"&amp;TEXT(ROW()-4,"0000"))</f>
        <v/>
      </c>
      <c r="B909" s="8"/>
      <c r="C909" s="7" t="str">
        <f aca="false">IF(B909="","",INT((B909-DATE(YEAR(B909-WEEKDAY(B909-1)+4),1,3)+WEEKDAY(DATE(YEAR(B909-WEEKDAY(B909-1)+4),1,3))+5)/7))</f>
        <v/>
      </c>
      <c r="D909" s="9" t="str">
        <f aca="false">IF(B909="","",B909-WEEKDAY(B909,2)+1)</f>
        <v/>
      </c>
      <c r="E909" s="10"/>
      <c r="F909" s="8"/>
      <c r="G909" s="11"/>
      <c r="H909" s="10"/>
      <c r="I909" s="11"/>
      <c r="J909" s="10"/>
      <c r="K909" s="10"/>
      <c r="L909" s="10"/>
      <c r="M909" s="11"/>
      <c r="N909" s="8"/>
      <c r="O909" s="7" t="str">
        <f aca="false">IF(L909="","",IFERROR(VLOOKUP(L909,Paramètres!$F$5:$G$8,2,FALSE()),""))</f>
        <v/>
      </c>
      <c r="P909" s="9" t="str">
        <f aca="false">IF(OR(B909="",O909=""),"",IF(N909="",B909,N909)+O909)</f>
        <v/>
      </c>
      <c r="Q909" s="10"/>
      <c r="R909" s="8"/>
      <c r="S909" s="7" t="str">
        <f aca="false">IF(OR(B909="",R909=""),"",R909-B909)</f>
        <v/>
      </c>
      <c r="T909" s="7" t="str">
        <f aca="true">IF(OR(B909="",P909=""),"",IF(R909&lt;&gt;"",IF(R909&gt;P909,"Traité hors délai","Non"),IF(Q909="Classé sans suite","Non",IF(TODAY()&gt;P909,"OUI","Non"))))</f>
        <v/>
      </c>
      <c r="U909" s="11"/>
    </row>
    <row r="910" customFormat="false" ht="15" hidden="false" customHeight="false" outlineLevel="0" collapsed="false">
      <c r="A910" s="7" t="str">
        <f aca="false">IF(B910="","",YEAR(B910)&amp;"/"&amp;TEXT(ROW()-4,"0000"))</f>
        <v/>
      </c>
      <c r="B910" s="8"/>
      <c r="C910" s="7" t="str">
        <f aca="false">IF(B910="","",INT((B910-DATE(YEAR(B910-WEEKDAY(B910-1)+4),1,3)+WEEKDAY(DATE(YEAR(B910-WEEKDAY(B910-1)+4),1,3))+5)/7))</f>
        <v/>
      </c>
      <c r="D910" s="9" t="str">
        <f aca="false">IF(B910="","",B910-WEEKDAY(B910,2)+1)</f>
        <v/>
      </c>
      <c r="E910" s="10"/>
      <c r="F910" s="8"/>
      <c r="G910" s="11"/>
      <c r="H910" s="10"/>
      <c r="I910" s="11"/>
      <c r="J910" s="10"/>
      <c r="K910" s="10"/>
      <c r="L910" s="10"/>
      <c r="M910" s="11"/>
      <c r="N910" s="8"/>
      <c r="O910" s="7" t="str">
        <f aca="false">IF(L910="","",IFERROR(VLOOKUP(L910,Paramètres!$F$5:$G$8,2,FALSE()),""))</f>
        <v/>
      </c>
      <c r="P910" s="9" t="str">
        <f aca="false">IF(OR(B910="",O910=""),"",IF(N910="",B910,N910)+O910)</f>
        <v/>
      </c>
      <c r="Q910" s="10"/>
      <c r="R910" s="8"/>
      <c r="S910" s="7" t="str">
        <f aca="false">IF(OR(B910="",R910=""),"",R910-B910)</f>
        <v/>
      </c>
      <c r="T910" s="7" t="str">
        <f aca="true">IF(OR(B910="",P910=""),"",IF(R910&lt;&gt;"",IF(R910&gt;P910,"Traité hors délai","Non"),IF(Q910="Classé sans suite","Non",IF(TODAY()&gt;P910,"OUI","Non"))))</f>
        <v/>
      </c>
      <c r="U910" s="11"/>
    </row>
    <row r="911" customFormat="false" ht="15" hidden="false" customHeight="false" outlineLevel="0" collapsed="false">
      <c r="A911" s="7" t="str">
        <f aca="false">IF(B911="","",YEAR(B911)&amp;"/"&amp;TEXT(ROW()-4,"0000"))</f>
        <v/>
      </c>
      <c r="B911" s="8"/>
      <c r="C911" s="7" t="str">
        <f aca="false">IF(B911="","",INT((B911-DATE(YEAR(B911-WEEKDAY(B911-1)+4),1,3)+WEEKDAY(DATE(YEAR(B911-WEEKDAY(B911-1)+4),1,3))+5)/7))</f>
        <v/>
      </c>
      <c r="D911" s="9" t="str">
        <f aca="false">IF(B911="","",B911-WEEKDAY(B911,2)+1)</f>
        <v/>
      </c>
      <c r="E911" s="10"/>
      <c r="F911" s="8"/>
      <c r="G911" s="11"/>
      <c r="H911" s="10"/>
      <c r="I911" s="11"/>
      <c r="J911" s="10"/>
      <c r="K911" s="10"/>
      <c r="L911" s="10"/>
      <c r="M911" s="11"/>
      <c r="N911" s="8"/>
      <c r="O911" s="7" t="str">
        <f aca="false">IF(L911="","",IFERROR(VLOOKUP(L911,Paramètres!$F$5:$G$8,2,FALSE()),""))</f>
        <v/>
      </c>
      <c r="P911" s="9" t="str">
        <f aca="false">IF(OR(B911="",O911=""),"",IF(N911="",B911,N911)+O911)</f>
        <v/>
      </c>
      <c r="Q911" s="10"/>
      <c r="R911" s="8"/>
      <c r="S911" s="7" t="str">
        <f aca="false">IF(OR(B911="",R911=""),"",R911-B911)</f>
        <v/>
      </c>
      <c r="T911" s="7" t="str">
        <f aca="true">IF(OR(B911="",P911=""),"",IF(R911&lt;&gt;"",IF(R911&gt;P911,"Traité hors délai","Non"),IF(Q911="Classé sans suite","Non",IF(TODAY()&gt;P911,"OUI","Non"))))</f>
        <v/>
      </c>
      <c r="U911" s="11"/>
    </row>
    <row r="912" customFormat="false" ht="15" hidden="false" customHeight="false" outlineLevel="0" collapsed="false">
      <c r="A912" s="7" t="str">
        <f aca="false">IF(B912="","",YEAR(B912)&amp;"/"&amp;TEXT(ROW()-4,"0000"))</f>
        <v/>
      </c>
      <c r="B912" s="8"/>
      <c r="C912" s="7" t="str">
        <f aca="false">IF(B912="","",INT((B912-DATE(YEAR(B912-WEEKDAY(B912-1)+4),1,3)+WEEKDAY(DATE(YEAR(B912-WEEKDAY(B912-1)+4),1,3))+5)/7))</f>
        <v/>
      </c>
      <c r="D912" s="9" t="str">
        <f aca="false">IF(B912="","",B912-WEEKDAY(B912,2)+1)</f>
        <v/>
      </c>
      <c r="E912" s="10"/>
      <c r="F912" s="8"/>
      <c r="G912" s="11"/>
      <c r="H912" s="10"/>
      <c r="I912" s="11"/>
      <c r="J912" s="10"/>
      <c r="K912" s="10"/>
      <c r="L912" s="10"/>
      <c r="M912" s="11"/>
      <c r="N912" s="8"/>
      <c r="O912" s="7" t="str">
        <f aca="false">IF(L912="","",IFERROR(VLOOKUP(L912,Paramètres!$F$5:$G$8,2,FALSE()),""))</f>
        <v/>
      </c>
      <c r="P912" s="9" t="str">
        <f aca="false">IF(OR(B912="",O912=""),"",IF(N912="",B912,N912)+O912)</f>
        <v/>
      </c>
      <c r="Q912" s="10"/>
      <c r="R912" s="8"/>
      <c r="S912" s="7" t="str">
        <f aca="false">IF(OR(B912="",R912=""),"",R912-B912)</f>
        <v/>
      </c>
      <c r="T912" s="7" t="str">
        <f aca="true">IF(OR(B912="",P912=""),"",IF(R912&lt;&gt;"",IF(R912&gt;P912,"Traité hors délai","Non"),IF(Q912="Classé sans suite","Non",IF(TODAY()&gt;P912,"OUI","Non"))))</f>
        <v/>
      </c>
      <c r="U912" s="11"/>
    </row>
    <row r="913" customFormat="false" ht="15" hidden="false" customHeight="false" outlineLevel="0" collapsed="false">
      <c r="A913" s="7" t="str">
        <f aca="false">IF(B913="","",YEAR(B913)&amp;"/"&amp;TEXT(ROW()-4,"0000"))</f>
        <v/>
      </c>
      <c r="B913" s="8"/>
      <c r="C913" s="7" t="str">
        <f aca="false">IF(B913="","",INT((B913-DATE(YEAR(B913-WEEKDAY(B913-1)+4),1,3)+WEEKDAY(DATE(YEAR(B913-WEEKDAY(B913-1)+4),1,3))+5)/7))</f>
        <v/>
      </c>
      <c r="D913" s="9" t="str">
        <f aca="false">IF(B913="","",B913-WEEKDAY(B913,2)+1)</f>
        <v/>
      </c>
      <c r="E913" s="10"/>
      <c r="F913" s="8"/>
      <c r="G913" s="11"/>
      <c r="H913" s="10"/>
      <c r="I913" s="11"/>
      <c r="J913" s="10"/>
      <c r="K913" s="10"/>
      <c r="L913" s="10"/>
      <c r="M913" s="11"/>
      <c r="N913" s="8"/>
      <c r="O913" s="7" t="str">
        <f aca="false">IF(L913="","",IFERROR(VLOOKUP(L913,Paramètres!$F$5:$G$8,2,FALSE()),""))</f>
        <v/>
      </c>
      <c r="P913" s="9" t="str">
        <f aca="false">IF(OR(B913="",O913=""),"",IF(N913="",B913,N913)+O913)</f>
        <v/>
      </c>
      <c r="Q913" s="10"/>
      <c r="R913" s="8"/>
      <c r="S913" s="7" t="str">
        <f aca="false">IF(OR(B913="",R913=""),"",R913-B913)</f>
        <v/>
      </c>
      <c r="T913" s="7" t="str">
        <f aca="true">IF(OR(B913="",P913=""),"",IF(R913&lt;&gt;"",IF(R913&gt;P913,"Traité hors délai","Non"),IF(Q913="Classé sans suite","Non",IF(TODAY()&gt;P913,"OUI","Non"))))</f>
        <v/>
      </c>
      <c r="U913" s="11"/>
    </row>
    <row r="914" customFormat="false" ht="15" hidden="false" customHeight="false" outlineLevel="0" collapsed="false">
      <c r="A914" s="7" t="str">
        <f aca="false">IF(B914="","",YEAR(B914)&amp;"/"&amp;TEXT(ROW()-4,"0000"))</f>
        <v/>
      </c>
      <c r="B914" s="8"/>
      <c r="C914" s="7" t="str">
        <f aca="false">IF(B914="","",INT((B914-DATE(YEAR(B914-WEEKDAY(B914-1)+4),1,3)+WEEKDAY(DATE(YEAR(B914-WEEKDAY(B914-1)+4),1,3))+5)/7))</f>
        <v/>
      </c>
      <c r="D914" s="9" t="str">
        <f aca="false">IF(B914="","",B914-WEEKDAY(B914,2)+1)</f>
        <v/>
      </c>
      <c r="E914" s="10"/>
      <c r="F914" s="8"/>
      <c r="G914" s="11"/>
      <c r="H914" s="10"/>
      <c r="I914" s="11"/>
      <c r="J914" s="10"/>
      <c r="K914" s="10"/>
      <c r="L914" s="10"/>
      <c r="M914" s="11"/>
      <c r="N914" s="8"/>
      <c r="O914" s="7" t="str">
        <f aca="false">IF(L914="","",IFERROR(VLOOKUP(L914,Paramètres!$F$5:$G$8,2,FALSE()),""))</f>
        <v/>
      </c>
      <c r="P914" s="9" t="str">
        <f aca="false">IF(OR(B914="",O914=""),"",IF(N914="",B914,N914)+O914)</f>
        <v/>
      </c>
      <c r="Q914" s="10"/>
      <c r="R914" s="8"/>
      <c r="S914" s="7" t="str">
        <f aca="false">IF(OR(B914="",R914=""),"",R914-B914)</f>
        <v/>
      </c>
      <c r="T914" s="7" t="str">
        <f aca="true">IF(OR(B914="",P914=""),"",IF(R914&lt;&gt;"",IF(R914&gt;P914,"Traité hors délai","Non"),IF(Q914="Classé sans suite","Non",IF(TODAY()&gt;P914,"OUI","Non"))))</f>
        <v/>
      </c>
      <c r="U914" s="11"/>
    </row>
    <row r="915" customFormat="false" ht="15" hidden="false" customHeight="false" outlineLevel="0" collapsed="false">
      <c r="A915" s="7" t="str">
        <f aca="false">IF(B915="","",YEAR(B915)&amp;"/"&amp;TEXT(ROW()-4,"0000"))</f>
        <v/>
      </c>
      <c r="B915" s="8"/>
      <c r="C915" s="7" t="str">
        <f aca="false">IF(B915="","",INT((B915-DATE(YEAR(B915-WEEKDAY(B915-1)+4),1,3)+WEEKDAY(DATE(YEAR(B915-WEEKDAY(B915-1)+4),1,3))+5)/7))</f>
        <v/>
      </c>
      <c r="D915" s="9" t="str">
        <f aca="false">IF(B915="","",B915-WEEKDAY(B915,2)+1)</f>
        <v/>
      </c>
      <c r="E915" s="10"/>
      <c r="F915" s="8"/>
      <c r="G915" s="11"/>
      <c r="H915" s="10"/>
      <c r="I915" s="11"/>
      <c r="J915" s="10"/>
      <c r="K915" s="10"/>
      <c r="L915" s="10"/>
      <c r="M915" s="11"/>
      <c r="N915" s="8"/>
      <c r="O915" s="7" t="str">
        <f aca="false">IF(L915="","",IFERROR(VLOOKUP(L915,Paramètres!$F$5:$G$8,2,FALSE()),""))</f>
        <v/>
      </c>
      <c r="P915" s="9" t="str">
        <f aca="false">IF(OR(B915="",O915=""),"",IF(N915="",B915,N915)+O915)</f>
        <v/>
      </c>
      <c r="Q915" s="10"/>
      <c r="R915" s="8"/>
      <c r="S915" s="7" t="str">
        <f aca="false">IF(OR(B915="",R915=""),"",R915-B915)</f>
        <v/>
      </c>
      <c r="T915" s="7" t="str">
        <f aca="true">IF(OR(B915="",P915=""),"",IF(R915&lt;&gt;"",IF(R915&gt;P915,"Traité hors délai","Non"),IF(Q915="Classé sans suite","Non",IF(TODAY()&gt;P915,"OUI","Non"))))</f>
        <v/>
      </c>
      <c r="U915" s="11"/>
    </row>
    <row r="916" customFormat="false" ht="15" hidden="false" customHeight="false" outlineLevel="0" collapsed="false">
      <c r="A916" s="7" t="str">
        <f aca="false">IF(B916="","",YEAR(B916)&amp;"/"&amp;TEXT(ROW()-4,"0000"))</f>
        <v/>
      </c>
      <c r="B916" s="8"/>
      <c r="C916" s="7" t="str">
        <f aca="false">IF(B916="","",INT((B916-DATE(YEAR(B916-WEEKDAY(B916-1)+4),1,3)+WEEKDAY(DATE(YEAR(B916-WEEKDAY(B916-1)+4),1,3))+5)/7))</f>
        <v/>
      </c>
      <c r="D916" s="9" t="str">
        <f aca="false">IF(B916="","",B916-WEEKDAY(B916,2)+1)</f>
        <v/>
      </c>
      <c r="E916" s="10"/>
      <c r="F916" s="8"/>
      <c r="G916" s="11"/>
      <c r="H916" s="10"/>
      <c r="I916" s="11"/>
      <c r="J916" s="10"/>
      <c r="K916" s="10"/>
      <c r="L916" s="10"/>
      <c r="M916" s="11"/>
      <c r="N916" s="8"/>
      <c r="O916" s="7" t="str">
        <f aca="false">IF(L916="","",IFERROR(VLOOKUP(L916,Paramètres!$F$5:$G$8,2,FALSE()),""))</f>
        <v/>
      </c>
      <c r="P916" s="9" t="str">
        <f aca="false">IF(OR(B916="",O916=""),"",IF(N916="",B916,N916)+O916)</f>
        <v/>
      </c>
      <c r="Q916" s="10"/>
      <c r="R916" s="8"/>
      <c r="S916" s="7" t="str">
        <f aca="false">IF(OR(B916="",R916=""),"",R916-B916)</f>
        <v/>
      </c>
      <c r="T916" s="7" t="str">
        <f aca="true">IF(OR(B916="",P916=""),"",IF(R916&lt;&gt;"",IF(R916&gt;P916,"Traité hors délai","Non"),IF(Q916="Classé sans suite","Non",IF(TODAY()&gt;P916,"OUI","Non"))))</f>
        <v/>
      </c>
      <c r="U916" s="11"/>
    </row>
    <row r="917" customFormat="false" ht="15" hidden="false" customHeight="false" outlineLevel="0" collapsed="false">
      <c r="A917" s="7" t="str">
        <f aca="false">IF(B917="","",YEAR(B917)&amp;"/"&amp;TEXT(ROW()-4,"0000"))</f>
        <v/>
      </c>
      <c r="B917" s="8"/>
      <c r="C917" s="7" t="str">
        <f aca="false">IF(B917="","",INT((B917-DATE(YEAR(B917-WEEKDAY(B917-1)+4),1,3)+WEEKDAY(DATE(YEAR(B917-WEEKDAY(B917-1)+4),1,3))+5)/7))</f>
        <v/>
      </c>
      <c r="D917" s="9" t="str">
        <f aca="false">IF(B917="","",B917-WEEKDAY(B917,2)+1)</f>
        <v/>
      </c>
      <c r="E917" s="10"/>
      <c r="F917" s="8"/>
      <c r="G917" s="11"/>
      <c r="H917" s="10"/>
      <c r="I917" s="11"/>
      <c r="J917" s="10"/>
      <c r="K917" s="10"/>
      <c r="L917" s="10"/>
      <c r="M917" s="11"/>
      <c r="N917" s="8"/>
      <c r="O917" s="7" t="str">
        <f aca="false">IF(L917="","",IFERROR(VLOOKUP(L917,Paramètres!$F$5:$G$8,2,FALSE()),""))</f>
        <v/>
      </c>
      <c r="P917" s="9" t="str">
        <f aca="false">IF(OR(B917="",O917=""),"",IF(N917="",B917,N917)+O917)</f>
        <v/>
      </c>
      <c r="Q917" s="10"/>
      <c r="R917" s="8"/>
      <c r="S917" s="7" t="str">
        <f aca="false">IF(OR(B917="",R917=""),"",R917-B917)</f>
        <v/>
      </c>
      <c r="T917" s="7" t="str">
        <f aca="true">IF(OR(B917="",P917=""),"",IF(R917&lt;&gt;"",IF(R917&gt;P917,"Traité hors délai","Non"),IF(Q917="Classé sans suite","Non",IF(TODAY()&gt;P917,"OUI","Non"))))</f>
        <v/>
      </c>
      <c r="U917" s="11"/>
    </row>
    <row r="918" customFormat="false" ht="15" hidden="false" customHeight="false" outlineLevel="0" collapsed="false">
      <c r="A918" s="7" t="str">
        <f aca="false">IF(B918="","",YEAR(B918)&amp;"/"&amp;TEXT(ROW()-4,"0000"))</f>
        <v/>
      </c>
      <c r="B918" s="8"/>
      <c r="C918" s="7" t="str">
        <f aca="false">IF(B918="","",INT((B918-DATE(YEAR(B918-WEEKDAY(B918-1)+4),1,3)+WEEKDAY(DATE(YEAR(B918-WEEKDAY(B918-1)+4),1,3))+5)/7))</f>
        <v/>
      </c>
      <c r="D918" s="9" t="str">
        <f aca="false">IF(B918="","",B918-WEEKDAY(B918,2)+1)</f>
        <v/>
      </c>
      <c r="E918" s="10"/>
      <c r="F918" s="8"/>
      <c r="G918" s="11"/>
      <c r="H918" s="10"/>
      <c r="I918" s="11"/>
      <c r="J918" s="10"/>
      <c r="K918" s="10"/>
      <c r="L918" s="10"/>
      <c r="M918" s="11"/>
      <c r="N918" s="8"/>
      <c r="O918" s="7" t="str">
        <f aca="false">IF(L918="","",IFERROR(VLOOKUP(L918,Paramètres!$F$5:$G$8,2,FALSE()),""))</f>
        <v/>
      </c>
      <c r="P918" s="9" t="str">
        <f aca="false">IF(OR(B918="",O918=""),"",IF(N918="",B918,N918)+O918)</f>
        <v/>
      </c>
      <c r="Q918" s="10"/>
      <c r="R918" s="8"/>
      <c r="S918" s="7" t="str">
        <f aca="false">IF(OR(B918="",R918=""),"",R918-B918)</f>
        <v/>
      </c>
      <c r="T918" s="7" t="str">
        <f aca="true">IF(OR(B918="",P918=""),"",IF(R918&lt;&gt;"",IF(R918&gt;P918,"Traité hors délai","Non"),IF(Q918="Classé sans suite","Non",IF(TODAY()&gt;P918,"OUI","Non"))))</f>
        <v/>
      </c>
      <c r="U918" s="11"/>
    </row>
    <row r="919" customFormat="false" ht="15" hidden="false" customHeight="false" outlineLevel="0" collapsed="false">
      <c r="A919" s="7" t="str">
        <f aca="false">IF(B919="","",YEAR(B919)&amp;"/"&amp;TEXT(ROW()-4,"0000"))</f>
        <v/>
      </c>
      <c r="B919" s="8"/>
      <c r="C919" s="7" t="str">
        <f aca="false">IF(B919="","",INT((B919-DATE(YEAR(B919-WEEKDAY(B919-1)+4),1,3)+WEEKDAY(DATE(YEAR(B919-WEEKDAY(B919-1)+4),1,3))+5)/7))</f>
        <v/>
      </c>
      <c r="D919" s="9" t="str">
        <f aca="false">IF(B919="","",B919-WEEKDAY(B919,2)+1)</f>
        <v/>
      </c>
      <c r="E919" s="10"/>
      <c r="F919" s="8"/>
      <c r="G919" s="11"/>
      <c r="H919" s="10"/>
      <c r="I919" s="11"/>
      <c r="J919" s="10"/>
      <c r="K919" s="10"/>
      <c r="L919" s="10"/>
      <c r="M919" s="11"/>
      <c r="N919" s="8"/>
      <c r="O919" s="7" t="str">
        <f aca="false">IF(L919="","",IFERROR(VLOOKUP(L919,Paramètres!$F$5:$G$8,2,FALSE()),""))</f>
        <v/>
      </c>
      <c r="P919" s="9" t="str">
        <f aca="false">IF(OR(B919="",O919=""),"",IF(N919="",B919,N919)+O919)</f>
        <v/>
      </c>
      <c r="Q919" s="10"/>
      <c r="R919" s="8"/>
      <c r="S919" s="7" t="str">
        <f aca="false">IF(OR(B919="",R919=""),"",R919-B919)</f>
        <v/>
      </c>
      <c r="T919" s="7" t="str">
        <f aca="true">IF(OR(B919="",P919=""),"",IF(R919&lt;&gt;"",IF(R919&gt;P919,"Traité hors délai","Non"),IF(Q919="Classé sans suite","Non",IF(TODAY()&gt;P919,"OUI","Non"))))</f>
        <v/>
      </c>
      <c r="U919" s="11"/>
    </row>
    <row r="920" customFormat="false" ht="15" hidden="false" customHeight="false" outlineLevel="0" collapsed="false">
      <c r="A920" s="7" t="str">
        <f aca="false">IF(B920="","",YEAR(B920)&amp;"/"&amp;TEXT(ROW()-4,"0000"))</f>
        <v/>
      </c>
      <c r="B920" s="8"/>
      <c r="C920" s="7" t="str">
        <f aca="false">IF(B920="","",INT((B920-DATE(YEAR(B920-WEEKDAY(B920-1)+4),1,3)+WEEKDAY(DATE(YEAR(B920-WEEKDAY(B920-1)+4),1,3))+5)/7))</f>
        <v/>
      </c>
      <c r="D920" s="9" t="str">
        <f aca="false">IF(B920="","",B920-WEEKDAY(B920,2)+1)</f>
        <v/>
      </c>
      <c r="E920" s="10"/>
      <c r="F920" s="8"/>
      <c r="G920" s="11"/>
      <c r="H920" s="10"/>
      <c r="I920" s="11"/>
      <c r="J920" s="10"/>
      <c r="K920" s="10"/>
      <c r="L920" s="10"/>
      <c r="M920" s="11"/>
      <c r="N920" s="8"/>
      <c r="O920" s="7" t="str">
        <f aca="false">IF(L920="","",IFERROR(VLOOKUP(L920,Paramètres!$F$5:$G$8,2,FALSE()),""))</f>
        <v/>
      </c>
      <c r="P920" s="9" t="str">
        <f aca="false">IF(OR(B920="",O920=""),"",IF(N920="",B920,N920)+O920)</f>
        <v/>
      </c>
      <c r="Q920" s="10"/>
      <c r="R920" s="8"/>
      <c r="S920" s="7" t="str">
        <f aca="false">IF(OR(B920="",R920=""),"",R920-B920)</f>
        <v/>
      </c>
      <c r="T920" s="7" t="str">
        <f aca="true">IF(OR(B920="",P920=""),"",IF(R920&lt;&gt;"",IF(R920&gt;P920,"Traité hors délai","Non"),IF(Q920="Classé sans suite","Non",IF(TODAY()&gt;P920,"OUI","Non"))))</f>
        <v/>
      </c>
      <c r="U920" s="11"/>
    </row>
    <row r="921" customFormat="false" ht="15" hidden="false" customHeight="false" outlineLevel="0" collapsed="false">
      <c r="A921" s="7" t="str">
        <f aca="false">IF(B921="","",YEAR(B921)&amp;"/"&amp;TEXT(ROW()-4,"0000"))</f>
        <v/>
      </c>
      <c r="B921" s="8"/>
      <c r="C921" s="7" t="str">
        <f aca="false">IF(B921="","",INT((B921-DATE(YEAR(B921-WEEKDAY(B921-1)+4),1,3)+WEEKDAY(DATE(YEAR(B921-WEEKDAY(B921-1)+4),1,3))+5)/7))</f>
        <v/>
      </c>
      <c r="D921" s="9" t="str">
        <f aca="false">IF(B921="","",B921-WEEKDAY(B921,2)+1)</f>
        <v/>
      </c>
      <c r="E921" s="10"/>
      <c r="F921" s="8"/>
      <c r="G921" s="11"/>
      <c r="H921" s="10"/>
      <c r="I921" s="11"/>
      <c r="J921" s="10"/>
      <c r="K921" s="10"/>
      <c r="L921" s="10"/>
      <c r="M921" s="11"/>
      <c r="N921" s="8"/>
      <c r="O921" s="7" t="str">
        <f aca="false">IF(L921="","",IFERROR(VLOOKUP(L921,Paramètres!$F$5:$G$8,2,FALSE()),""))</f>
        <v/>
      </c>
      <c r="P921" s="9" t="str">
        <f aca="false">IF(OR(B921="",O921=""),"",IF(N921="",B921,N921)+O921)</f>
        <v/>
      </c>
      <c r="Q921" s="10"/>
      <c r="R921" s="8"/>
      <c r="S921" s="7" t="str">
        <f aca="false">IF(OR(B921="",R921=""),"",R921-B921)</f>
        <v/>
      </c>
      <c r="T921" s="7" t="str">
        <f aca="true">IF(OR(B921="",P921=""),"",IF(R921&lt;&gt;"",IF(R921&gt;P921,"Traité hors délai","Non"),IF(Q921="Classé sans suite","Non",IF(TODAY()&gt;P921,"OUI","Non"))))</f>
        <v/>
      </c>
      <c r="U921" s="11"/>
    </row>
    <row r="922" customFormat="false" ht="15" hidden="false" customHeight="false" outlineLevel="0" collapsed="false">
      <c r="A922" s="7" t="str">
        <f aca="false">IF(B922="","",YEAR(B922)&amp;"/"&amp;TEXT(ROW()-4,"0000"))</f>
        <v/>
      </c>
      <c r="B922" s="8"/>
      <c r="C922" s="7" t="str">
        <f aca="false">IF(B922="","",INT((B922-DATE(YEAR(B922-WEEKDAY(B922-1)+4),1,3)+WEEKDAY(DATE(YEAR(B922-WEEKDAY(B922-1)+4),1,3))+5)/7))</f>
        <v/>
      </c>
      <c r="D922" s="9" t="str">
        <f aca="false">IF(B922="","",B922-WEEKDAY(B922,2)+1)</f>
        <v/>
      </c>
      <c r="E922" s="10"/>
      <c r="F922" s="8"/>
      <c r="G922" s="11"/>
      <c r="H922" s="10"/>
      <c r="I922" s="11"/>
      <c r="J922" s="10"/>
      <c r="K922" s="10"/>
      <c r="L922" s="10"/>
      <c r="M922" s="11"/>
      <c r="N922" s="8"/>
      <c r="O922" s="7" t="str">
        <f aca="false">IF(L922="","",IFERROR(VLOOKUP(L922,Paramètres!$F$5:$G$8,2,FALSE()),""))</f>
        <v/>
      </c>
      <c r="P922" s="9" t="str">
        <f aca="false">IF(OR(B922="",O922=""),"",IF(N922="",B922,N922)+O922)</f>
        <v/>
      </c>
      <c r="Q922" s="10"/>
      <c r="R922" s="8"/>
      <c r="S922" s="7" t="str">
        <f aca="false">IF(OR(B922="",R922=""),"",R922-B922)</f>
        <v/>
      </c>
      <c r="T922" s="7" t="str">
        <f aca="true">IF(OR(B922="",P922=""),"",IF(R922&lt;&gt;"",IF(R922&gt;P922,"Traité hors délai","Non"),IF(Q922="Classé sans suite","Non",IF(TODAY()&gt;P922,"OUI","Non"))))</f>
        <v/>
      </c>
      <c r="U922" s="11"/>
    </row>
    <row r="923" customFormat="false" ht="15" hidden="false" customHeight="false" outlineLevel="0" collapsed="false">
      <c r="A923" s="7" t="str">
        <f aca="false">IF(B923="","",YEAR(B923)&amp;"/"&amp;TEXT(ROW()-4,"0000"))</f>
        <v/>
      </c>
      <c r="B923" s="8"/>
      <c r="C923" s="7" t="str">
        <f aca="false">IF(B923="","",INT((B923-DATE(YEAR(B923-WEEKDAY(B923-1)+4),1,3)+WEEKDAY(DATE(YEAR(B923-WEEKDAY(B923-1)+4),1,3))+5)/7))</f>
        <v/>
      </c>
      <c r="D923" s="9" t="str">
        <f aca="false">IF(B923="","",B923-WEEKDAY(B923,2)+1)</f>
        <v/>
      </c>
      <c r="E923" s="10"/>
      <c r="F923" s="8"/>
      <c r="G923" s="11"/>
      <c r="H923" s="10"/>
      <c r="I923" s="11"/>
      <c r="J923" s="10"/>
      <c r="K923" s="10"/>
      <c r="L923" s="10"/>
      <c r="M923" s="11"/>
      <c r="N923" s="8"/>
      <c r="O923" s="7" t="str">
        <f aca="false">IF(L923="","",IFERROR(VLOOKUP(L923,Paramètres!$F$5:$G$8,2,FALSE()),""))</f>
        <v/>
      </c>
      <c r="P923" s="9" t="str">
        <f aca="false">IF(OR(B923="",O923=""),"",IF(N923="",B923,N923)+O923)</f>
        <v/>
      </c>
      <c r="Q923" s="10"/>
      <c r="R923" s="8"/>
      <c r="S923" s="7" t="str">
        <f aca="false">IF(OR(B923="",R923=""),"",R923-B923)</f>
        <v/>
      </c>
      <c r="T923" s="7" t="str">
        <f aca="true">IF(OR(B923="",P923=""),"",IF(R923&lt;&gt;"",IF(R923&gt;P923,"Traité hors délai","Non"),IF(Q923="Classé sans suite","Non",IF(TODAY()&gt;P923,"OUI","Non"))))</f>
        <v/>
      </c>
      <c r="U923" s="11"/>
    </row>
    <row r="924" customFormat="false" ht="15" hidden="false" customHeight="false" outlineLevel="0" collapsed="false">
      <c r="A924" s="7" t="str">
        <f aca="false">IF(B924="","",YEAR(B924)&amp;"/"&amp;TEXT(ROW()-4,"0000"))</f>
        <v/>
      </c>
      <c r="B924" s="8"/>
      <c r="C924" s="7" t="str">
        <f aca="false">IF(B924="","",INT((B924-DATE(YEAR(B924-WEEKDAY(B924-1)+4),1,3)+WEEKDAY(DATE(YEAR(B924-WEEKDAY(B924-1)+4),1,3))+5)/7))</f>
        <v/>
      </c>
      <c r="D924" s="9" t="str">
        <f aca="false">IF(B924="","",B924-WEEKDAY(B924,2)+1)</f>
        <v/>
      </c>
      <c r="E924" s="10"/>
      <c r="F924" s="8"/>
      <c r="G924" s="11"/>
      <c r="H924" s="10"/>
      <c r="I924" s="11"/>
      <c r="J924" s="10"/>
      <c r="K924" s="10"/>
      <c r="L924" s="10"/>
      <c r="M924" s="11"/>
      <c r="N924" s="8"/>
      <c r="O924" s="7" t="str">
        <f aca="false">IF(L924="","",IFERROR(VLOOKUP(L924,Paramètres!$F$5:$G$8,2,FALSE()),""))</f>
        <v/>
      </c>
      <c r="P924" s="9" t="str">
        <f aca="false">IF(OR(B924="",O924=""),"",IF(N924="",B924,N924)+O924)</f>
        <v/>
      </c>
      <c r="Q924" s="10"/>
      <c r="R924" s="8"/>
      <c r="S924" s="7" t="str">
        <f aca="false">IF(OR(B924="",R924=""),"",R924-B924)</f>
        <v/>
      </c>
      <c r="T924" s="7" t="str">
        <f aca="true">IF(OR(B924="",P924=""),"",IF(R924&lt;&gt;"",IF(R924&gt;P924,"Traité hors délai","Non"),IF(Q924="Classé sans suite","Non",IF(TODAY()&gt;P924,"OUI","Non"))))</f>
        <v/>
      </c>
      <c r="U924" s="11"/>
    </row>
    <row r="925" customFormat="false" ht="15" hidden="false" customHeight="false" outlineLevel="0" collapsed="false">
      <c r="A925" s="7" t="str">
        <f aca="false">IF(B925="","",YEAR(B925)&amp;"/"&amp;TEXT(ROW()-4,"0000"))</f>
        <v/>
      </c>
      <c r="B925" s="8"/>
      <c r="C925" s="7" t="str">
        <f aca="false">IF(B925="","",INT((B925-DATE(YEAR(B925-WEEKDAY(B925-1)+4),1,3)+WEEKDAY(DATE(YEAR(B925-WEEKDAY(B925-1)+4),1,3))+5)/7))</f>
        <v/>
      </c>
      <c r="D925" s="9" t="str">
        <f aca="false">IF(B925="","",B925-WEEKDAY(B925,2)+1)</f>
        <v/>
      </c>
      <c r="E925" s="10"/>
      <c r="F925" s="8"/>
      <c r="G925" s="11"/>
      <c r="H925" s="10"/>
      <c r="I925" s="11"/>
      <c r="J925" s="10"/>
      <c r="K925" s="10"/>
      <c r="L925" s="10"/>
      <c r="M925" s="11"/>
      <c r="N925" s="8"/>
      <c r="O925" s="7" t="str">
        <f aca="false">IF(L925="","",IFERROR(VLOOKUP(L925,Paramètres!$F$5:$G$8,2,FALSE()),""))</f>
        <v/>
      </c>
      <c r="P925" s="9" t="str">
        <f aca="false">IF(OR(B925="",O925=""),"",IF(N925="",B925,N925)+O925)</f>
        <v/>
      </c>
      <c r="Q925" s="10"/>
      <c r="R925" s="8"/>
      <c r="S925" s="7" t="str">
        <f aca="false">IF(OR(B925="",R925=""),"",R925-B925)</f>
        <v/>
      </c>
      <c r="T925" s="7" t="str">
        <f aca="true">IF(OR(B925="",P925=""),"",IF(R925&lt;&gt;"",IF(R925&gt;P925,"Traité hors délai","Non"),IF(Q925="Classé sans suite","Non",IF(TODAY()&gt;P925,"OUI","Non"))))</f>
        <v/>
      </c>
      <c r="U925" s="11"/>
    </row>
    <row r="926" customFormat="false" ht="15" hidden="false" customHeight="false" outlineLevel="0" collapsed="false">
      <c r="A926" s="7" t="str">
        <f aca="false">IF(B926="","",YEAR(B926)&amp;"/"&amp;TEXT(ROW()-4,"0000"))</f>
        <v/>
      </c>
      <c r="B926" s="8"/>
      <c r="C926" s="7" t="str">
        <f aca="false">IF(B926="","",INT((B926-DATE(YEAR(B926-WEEKDAY(B926-1)+4),1,3)+WEEKDAY(DATE(YEAR(B926-WEEKDAY(B926-1)+4),1,3))+5)/7))</f>
        <v/>
      </c>
      <c r="D926" s="9" t="str">
        <f aca="false">IF(B926="","",B926-WEEKDAY(B926,2)+1)</f>
        <v/>
      </c>
      <c r="E926" s="10"/>
      <c r="F926" s="8"/>
      <c r="G926" s="11"/>
      <c r="H926" s="10"/>
      <c r="I926" s="11"/>
      <c r="J926" s="10"/>
      <c r="K926" s="10"/>
      <c r="L926" s="10"/>
      <c r="M926" s="11"/>
      <c r="N926" s="8"/>
      <c r="O926" s="7" t="str">
        <f aca="false">IF(L926="","",IFERROR(VLOOKUP(L926,Paramètres!$F$5:$G$8,2,FALSE()),""))</f>
        <v/>
      </c>
      <c r="P926" s="9" t="str">
        <f aca="false">IF(OR(B926="",O926=""),"",IF(N926="",B926,N926)+O926)</f>
        <v/>
      </c>
      <c r="Q926" s="10"/>
      <c r="R926" s="8"/>
      <c r="S926" s="7" t="str">
        <f aca="false">IF(OR(B926="",R926=""),"",R926-B926)</f>
        <v/>
      </c>
      <c r="T926" s="7" t="str">
        <f aca="true">IF(OR(B926="",P926=""),"",IF(R926&lt;&gt;"",IF(R926&gt;P926,"Traité hors délai","Non"),IF(Q926="Classé sans suite","Non",IF(TODAY()&gt;P926,"OUI","Non"))))</f>
        <v/>
      </c>
      <c r="U926" s="11"/>
    </row>
    <row r="927" customFormat="false" ht="15" hidden="false" customHeight="false" outlineLevel="0" collapsed="false">
      <c r="A927" s="7" t="str">
        <f aca="false">IF(B927="","",YEAR(B927)&amp;"/"&amp;TEXT(ROW()-4,"0000"))</f>
        <v/>
      </c>
      <c r="B927" s="8"/>
      <c r="C927" s="7" t="str">
        <f aca="false">IF(B927="","",INT((B927-DATE(YEAR(B927-WEEKDAY(B927-1)+4),1,3)+WEEKDAY(DATE(YEAR(B927-WEEKDAY(B927-1)+4),1,3))+5)/7))</f>
        <v/>
      </c>
      <c r="D927" s="9" t="str">
        <f aca="false">IF(B927="","",B927-WEEKDAY(B927,2)+1)</f>
        <v/>
      </c>
      <c r="E927" s="10"/>
      <c r="F927" s="8"/>
      <c r="G927" s="11"/>
      <c r="H927" s="10"/>
      <c r="I927" s="11"/>
      <c r="J927" s="10"/>
      <c r="K927" s="10"/>
      <c r="L927" s="10"/>
      <c r="M927" s="11"/>
      <c r="N927" s="8"/>
      <c r="O927" s="7" t="str">
        <f aca="false">IF(L927="","",IFERROR(VLOOKUP(L927,Paramètres!$F$5:$G$8,2,FALSE()),""))</f>
        <v/>
      </c>
      <c r="P927" s="9" t="str">
        <f aca="false">IF(OR(B927="",O927=""),"",IF(N927="",B927,N927)+O927)</f>
        <v/>
      </c>
      <c r="Q927" s="10"/>
      <c r="R927" s="8"/>
      <c r="S927" s="7" t="str">
        <f aca="false">IF(OR(B927="",R927=""),"",R927-B927)</f>
        <v/>
      </c>
      <c r="T927" s="7" t="str">
        <f aca="true">IF(OR(B927="",P927=""),"",IF(R927&lt;&gt;"",IF(R927&gt;P927,"Traité hors délai","Non"),IF(Q927="Classé sans suite","Non",IF(TODAY()&gt;P927,"OUI","Non"))))</f>
        <v/>
      </c>
      <c r="U927" s="11"/>
    </row>
    <row r="928" customFormat="false" ht="15" hidden="false" customHeight="false" outlineLevel="0" collapsed="false">
      <c r="A928" s="7" t="str">
        <f aca="false">IF(B928="","",YEAR(B928)&amp;"/"&amp;TEXT(ROW()-4,"0000"))</f>
        <v/>
      </c>
      <c r="B928" s="8"/>
      <c r="C928" s="7" t="str">
        <f aca="false">IF(B928="","",INT((B928-DATE(YEAR(B928-WEEKDAY(B928-1)+4),1,3)+WEEKDAY(DATE(YEAR(B928-WEEKDAY(B928-1)+4),1,3))+5)/7))</f>
        <v/>
      </c>
      <c r="D928" s="9" t="str">
        <f aca="false">IF(B928="","",B928-WEEKDAY(B928,2)+1)</f>
        <v/>
      </c>
      <c r="E928" s="10"/>
      <c r="F928" s="8"/>
      <c r="G928" s="11"/>
      <c r="H928" s="10"/>
      <c r="I928" s="11"/>
      <c r="J928" s="10"/>
      <c r="K928" s="10"/>
      <c r="L928" s="10"/>
      <c r="M928" s="11"/>
      <c r="N928" s="8"/>
      <c r="O928" s="7" t="str">
        <f aca="false">IF(L928="","",IFERROR(VLOOKUP(L928,Paramètres!$F$5:$G$8,2,FALSE()),""))</f>
        <v/>
      </c>
      <c r="P928" s="9" t="str">
        <f aca="false">IF(OR(B928="",O928=""),"",IF(N928="",B928,N928)+O928)</f>
        <v/>
      </c>
      <c r="Q928" s="10"/>
      <c r="R928" s="8"/>
      <c r="S928" s="7" t="str">
        <f aca="false">IF(OR(B928="",R928=""),"",R928-B928)</f>
        <v/>
      </c>
      <c r="T928" s="7" t="str">
        <f aca="true">IF(OR(B928="",P928=""),"",IF(R928&lt;&gt;"",IF(R928&gt;P928,"Traité hors délai","Non"),IF(Q928="Classé sans suite","Non",IF(TODAY()&gt;P928,"OUI","Non"))))</f>
        <v/>
      </c>
      <c r="U928" s="11"/>
    </row>
    <row r="929" customFormat="false" ht="15" hidden="false" customHeight="false" outlineLevel="0" collapsed="false">
      <c r="A929" s="7" t="str">
        <f aca="false">IF(B929="","",YEAR(B929)&amp;"/"&amp;TEXT(ROW()-4,"0000"))</f>
        <v/>
      </c>
      <c r="B929" s="8"/>
      <c r="C929" s="7" t="str">
        <f aca="false">IF(B929="","",INT((B929-DATE(YEAR(B929-WEEKDAY(B929-1)+4),1,3)+WEEKDAY(DATE(YEAR(B929-WEEKDAY(B929-1)+4),1,3))+5)/7))</f>
        <v/>
      </c>
      <c r="D929" s="9" t="str">
        <f aca="false">IF(B929="","",B929-WEEKDAY(B929,2)+1)</f>
        <v/>
      </c>
      <c r="E929" s="10"/>
      <c r="F929" s="8"/>
      <c r="G929" s="11"/>
      <c r="H929" s="10"/>
      <c r="I929" s="11"/>
      <c r="J929" s="10"/>
      <c r="K929" s="10"/>
      <c r="L929" s="10"/>
      <c r="M929" s="11"/>
      <c r="N929" s="8"/>
      <c r="O929" s="7" t="str">
        <f aca="false">IF(L929="","",IFERROR(VLOOKUP(L929,Paramètres!$F$5:$G$8,2,FALSE()),""))</f>
        <v/>
      </c>
      <c r="P929" s="9" t="str">
        <f aca="false">IF(OR(B929="",O929=""),"",IF(N929="",B929,N929)+O929)</f>
        <v/>
      </c>
      <c r="Q929" s="10"/>
      <c r="R929" s="8"/>
      <c r="S929" s="7" t="str">
        <f aca="false">IF(OR(B929="",R929=""),"",R929-B929)</f>
        <v/>
      </c>
      <c r="T929" s="7" t="str">
        <f aca="true">IF(OR(B929="",P929=""),"",IF(R929&lt;&gt;"",IF(R929&gt;P929,"Traité hors délai","Non"),IF(Q929="Classé sans suite","Non",IF(TODAY()&gt;P929,"OUI","Non"))))</f>
        <v/>
      </c>
      <c r="U929" s="11"/>
    </row>
    <row r="930" customFormat="false" ht="15" hidden="false" customHeight="false" outlineLevel="0" collapsed="false">
      <c r="A930" s="7" t="str">
        <f aca="false">IF(B930="","",YEAR(B930)&amp;"/"&amp;TEXT(ROW()-4,"0000"))</f>
        <v/>
      </c>
      <c r="B930" s="8"/>
      <c r="C930" s="7" t="str">
        <f aca="false">IF(B930="","",INT((B930-DATE(YEAR(B930-WEEKDAY(B930-1)+4),1,3)+WEEKDAY(DATE(YEAR(B930-WEEKDAY(B930-1)+4),1,3))+5)/7))</f>
        <v/>
      </c>
      <c r="D930" s="9" t="str">
        <f aca="false">IF(B930="","",B930-WEEKDAY(B930,2)+1)</f>
        <v/>
      </c>
      <c r="E930" s="10"/>
      <c r="F930" s="8"/>
      <c r="G930" s="11"/>
      <c r="H930" s="10"/>
      <c r="I930" s="11"/>
      <c r="J930" s="10"/>
      <c r="K930" s="10"/>
      <c r="L930" s="10"/>
      <c r="M930" s="11"/>
      <c r="N930" s="8"/>
      <c r="O930" s="7" t="str">
        <f aca="false">IF(L930="","",IFERROR(VLOOKUP(L930,Paramètres!$F$5:$G$8,2,FALSE()),""))</f>
        <v/>
      </c>
      <c r="P930" s="9" t="str">
        <f aca="false">IF(OR(B930="",O930=""),"",IF(N930="",B930,N930)+O930)</f>
        <v/>
      </c>
      <c r="Q930" s="10"/>
      <c r="R930" s="8"/>
      <c r="S930" s="7" t="str">
        <f aca="false">IF(OR(B930="",R930=""),"",R930-B930)</f>
        <v/>
      </c>
      <c r="T930" s="7" t="str">
        <f aca="true">IF(OR(B930="",P930=""),"",IF(R930&lt;&gt;"",IF(R930&gt;P930,"Traité hors délai","Non"),IF(Q930="Classé sans suite","Non",IF(TODAY()&gt;P930,"OUI","Non"))))</f>
        <v/>
      </c>
      <c r="U930" s="11"/>
    </row>
    <row r="931" customFormat="false" ht="15" hidden="false" customHeight="false" outlineLevel="0" collapsed="false">
      <c r="A931" s="7" t="str">
        <f aca="false">IF(B931="","",YEAR(B931)&amp;"/"&amp;TEXT(ROW()-4,"0000"))</f>
        <v/>
      </c>
      <c r="B931" s="8"/>
      <c r="C931" s="7" t="str">
        <f aca="false">IF(B931="","",INT((B931-DATE(YEAR(B931-WEEKDAY(B931-1)+4),1,3)+WEEKDAY(DATE(YEAR(B931-WEEKDAY(B931-1)+4),1,3))+5)/7))</f>
        <v/>
      </c>
      <c r="D931" s="9" t="str">
        <f aca="false">IF(B931="","",B931-WEEKDAY(B931,2)+1)</f>
        <v/>
      </c>
      <c r="E931" s="10"/>
      <c r="F931" s="8"/>
      <c r="G931" s="11"/>
      <c r="H931" s="10"/>
      <c r="I931" s="11"/>
      <c r="J931" s="10"/>
      <c r="K931" s="10"/>
      <c r="L931" s="10"/>
      <c r="M931" s="11"/>
      <c r="N931" s="8"/>
      <c r="O931" s="7" t="str">
        <f aca="false">IF(L931="","",IFERROR(VLOOKUP(L931,Paramètres!$F$5:$G$8,2,FALSE()),""))</f>
        <v/>
      </c>
      <c r="P931" s="9" t="str">
        <f aca="false">IF(OR(B931="",O931=""),"",IF(N931="",B931,N931)+O931)</f>
        <v/>
      </c>
      <c r="Q931" s="10"/>
      <c r="R931" s="8"/>
      <c r="S931" s="7" t="str">
        <f aca="false">IF(OR(B931="",R931=""),"",R931-B931)</f>
        <v/>
      </c>
      <c r="T931" s="7" t="str">
        <f aca="true">IF(OR(B931="",P931=""),"",IF(R931&lt;&gt;"",IF(R931&gt;P931,"Traité hors délai","Non"),IF(Q931="Classé sans suite","Non",IF(TODAY()&gt;P931,"OUI","Non"))))</f>
        <v/>
      </c>
      <c r="U931" s="11"/>
    </row>
    <row r="932" customFormat="false" ht="15" hidden="false" customHeight="false" outlineLevel="0" collapsed="false">
      <c r="A932" s="7" t="str">
        <f aca="false">IF(B932="","",YEAR(B932)&amp;"/"&amp;TEXT(ROW()-4,"0000"))</f>
        <v/>
      </c>
      <c r="B932" s="8"/>
      <c r="C932" s="7" t="str">
        <f aca="false">IF(B932="","",INT((B932-DATE(YEAR(B932-WEEKDAY(B932-1)+4),1,3)+WEEKDAY(DATE(YEAR(B932-WEEKDAY(B932-1)+4),1,3))+5)/7))</f>
        <v/>
      </c>
      <c r="D932" s="9" t="str">
        <f aca="false">IF(B932="","",B932-WEEKDAY(B932,2)+1)</f>
        <v/>
      </c>
      <c r="E932" s="10"/>
      <c r="F932" s="8"/>
      <c r="G932" s="11"/>
      <c r="H932" s="10"/>
      <c r="I932" s="11"/>
      <c r="J932" s="10"/>
      <c r="K932" s="10"/>
      <c r="L932" s="10"/>
      <c r="M932" s="11"/>
      <c r="N932" s="8"/>
      <c r="O932" s="7" t="str">
        <f aca="false">IF(L932="","",IFERROR(VLOOKUP(L932,Paramètres!$F$5:$G$8,2,FALSE()),""))</f>
        <v/>
      </c>
      <c r="P932" s="9" t="str">
        <f aca="false">IF(OR(B932="",O932=""),"",IF(N932="",B932,N932)+O932)</f>
        <v/>
      </c>
      <c r="Q932" s="10"/>
      <c r="R932" s="8"/>
      <c r="S932" s="7" t="str">
        <f aca="false">IF(OR(B932="",R932=""),"",R932-B932)</f>
        <v/>
      </c>
      <c r="T932" s="7" t="str">
        <f aca="true">IF(OR(B932="",P932=""),"",IF(R932&lt;&gt;"",IF(R932&gt;P932,"Traité hors délai","Non"),IF(Q932="Classé sans suite","Non",IF(TODAY()&gt;P932,"OUI","Non"))))</f>
        <v/>
      </c>
      <c r="U932" s="11"/>
    </row>
    <row r="933" customFormat="false" ht="15" hidden="false" customHeight="false" outlineLevel="0" collapsed="false">
      <c r="A933" s="7" t="str">
        <f aca="false">IF(B933="","",YEAR(B933)&amp;"/"&amp;TEXT(ROW()-4,"0000"))</f>
        <v/>
      </c>
      <c r="B933" s="8"/>
      <c r="C933" s="7" t="str">
        <f aca="false">IF(B933="","",INT((B933-DATE(YEAR(B933-WEEKDAY(B933-1)+4),1,3)+WEEKDAY(DATE(YEAR(B933-WEEKDAY(B933-1)+4),1,3))+5)/7))</f>
        <v/>
      </c>
      <c r="D933" s="9" t="str">
        <f aca="false">IF(B933="","",B933-WEEKDAY(B933,2)+1)</f>
        <v/>
      </c>
      <c r="E933" s="10"/>
      <c r="F933" s="8"/>
      <c r="G933" s="11"/>
      <c r="H933" s="10"/>
      <c r="I933" s="11"/>
      <c r="J933" s="10"/>
      <c r="K933" s="10"/>
      <c r="L933" s="10"/>
      <c r="M933" s="11"/>
      <c r="N933" s="8"/>
      <c r="O933" s="7" t="str">
        <f aca="false">IF(L933="","",IFERROR(VLOOKUP(L933,Paramètres!$F$5:$G$8,2,FALSE()),""))</f>
        <v/>
      </c>
      <c r="P933" s="9" t="str">
        <f aca="false">IF(OR(B933="",O933=""),"",IF(N933="",B933,N933)+O933)</f>
        <v/>
      </c>
      <c r="Q933" s="10"/>
      <c r="R933" s="8"/>
      <c r="S933" s="7" t="str">
        <f aca="false">IF(OR(B933="",R933=""),"",R933-B933)</f>
        <v/>
      </c>
      <c r="T933" s="7" t="str">
        <f aca="true">IF(OR(B933="",P933=""),"",IF(R933&lt;&gt;"",IF(R933&gt;P933,"Traité hors délai","Non"),IF(Q933="Classé sans suite","Non",IF(TODAY()&gt;P933,"OUI","Non"))))</f>
        <v/>
      </c>
      <c r="U933" s="11"/>
    </row>
    <row r="934" customFormat="false" ht="15" hidden="false" customHeight="false" outlineLevel="0" collapsed="false">
      <c r="A934" s="7" t="str">
        <f aca="false">IF(B934="","",YEAR(B934)&amp;"/"&amp;TEXT(ROW()-4,"0000"))</f>
        <v/>
      </c>
      <c r="B934" s="8"/>
      <c r="C934" s="7" t="str">
        <f aca="false">IF(B934="","",INT((B934-DATE(YEAR(B934-WEEKDAY(B934-1)+4),1,3)+WEEKDAY(DATE(YEAR(B934-WEEKDAY(B934-1)+4),1,3))+5)/7))</f>
        <v/>
      </c>
      <c r="D934" s="9" t="str">
        <f aca="false">IF(B934="","",B934-WEEKDAY(B934,2)+1)</f>
        <v/>
      </c>
      <c r="E934" s="10"/>
      <c r="F934" s="8"/>
      <c r="G934" s="11"/>
      <c r="H934" s="10"/>
      <c r="I934" s="11"/>
      <c r="J934" s="10"/>
      <c r="K934" s="10"/>
      <c r="L934" s="10"/>
      <c r="M934" s="11"/>
      <c r="N934" s="8"/>
      <c r="O934" s="7" t="str">
        <f aca="false">IF(L934="","",IFERROR(VLOOKUP(L934,Paramètres!$F$5:$G$8,2,FALSE()),""))</f>
        <v/>
      </c>
      <c r="P934" s="9" t="str">
        <f aca="false">IF(OR(B934="",O934=""),"",IF(N934="",B934,N934)+O934)</f>
        <v/>
      </c>
      <c r="Q934" s="10"/>
      <c r="R934" s="8"/>
      <c r="S934" s="7" t="str">
        <f aca="false">IF(OR(B934="",R934=""),"",R934-B934)</f>
        <v/>
      </c>
      <c r="T934" s="7" t="str">
        <f aca="true">IF(OR(B934="",P934=""),"",IF(R934&lt;&gt;"",IF(R934&gt;P934,"Traité hors délai","Non"),IF(Q934="Classé sans suite","Non",IF(TODAY()&gt;P934,"OUI","Non"))))</f>
        <v/>
      </c>
      <c r="U934" s="11"/>
    </row>
    <row r="935" customFormat="false" ht="15" hidden="false" customHeight="false" outlineLevel="0" collapsed="false">
      <c r="A935" s="7" t="str">
        <f aca="false">IF(B935="","",YEAR(B935)&amp;"/"&amp;TEXT(ROW()-4,"0000"))</f>
        <v/>
      </c>
      <c r="B935" s="8"/>
      <c r="C935" s="7" t="str">
        <f aca="false">IF(B935="","",INT((B935-DATE(YEAR(B935-WEEKDAY(B935-1)+4),1,3)+WEEKDAY(DATE(YEAR(B935-WEEKDAY(B935-1)+4),1,3))+5)/7))</f>
        <v/>
      </c>
      <c r="D935" s="9" t="str">
        <f aca="false">IF(B935="","",B935-WEEKDAY(B935,2)+1)</f>
        <v/>
      </c>
      <c r="E935" s="10"/>
      <c r="F935" s="8"/>
      <c r="G935" s="11"/>
      <c r="H935" s="10"/>
      <c r="I935" s="11"/>
      <c r="J935" s="10"/>
      <c r="K935" s="10"/>
      <c r="L935" s="10"/>
      <c r="M935" s="11"/>
      <c r="N935" s="8"/>
      <c r="O935" s="7" t="str">
        <f aca="false">IF(L935="","",IFERROR(VLOOKUP(L935,Paramètres!$F$5:$G$8,2,FALSE()),""))</f>
        <v/>
      </c>
      <c r="P935" s="9" t="str">
        <f aca="false">IF(OR(B935="",O935=""),"",IF(N935="",B935,N935)+O935)</f>
        <v/>
      </c>
      <c r="Q935" s="10"/>
      <c r="R935" s="8"/>
      <c r="S935" s="7" t="str">
        <f aca="false">IF(OR(B935="",R935=""),"",R935-B935)</f>
        <v/>
      </c>
      <c r="T935" s="7" t="str">
        <f aca="true">IF(OR(B935="",P935=""),"",IF(R935&lt;&gt;"",IF(R935&gt;P935,"Traité hors délai","Non"),IF(Q935="Classé sans suite","Non",IF(TODAY()&gt;P935,"OUI","Non"))))</f>
        <v/>
      </c>
      <c r="U935" s="11"/>
    </row>
    <row r="936" customFormat="false" ht="15" hidden="false" customHeight="false" outlineLevel="0" collapsed="false">
      <c r="A936" s="7" t="str">
        <f aca="false">IF(B936="","",YEAR(B936)&amp;"/"&amp;TEXT(ROW()-4,"0000"))</f>
        <v/>
      </c>
      <c r="B936" s="8"/>
      <c r="C936" s="7" t="str">
        <f aca="false">IF(B936="","",INT((B936-DATE(YEAR(B936-WEEKDAY(B936-1)+4),1,3)+WEEKDAY(DATE(YEAR(B936-WEEKDAY(B936-1)+4),1,3))+5)/7))</f>
        <v/>
      </c>
      <c r="D936" s="9" t="str">
        <f aca="false">IF(B936="","",B936-WEEKDAY(B936,2)+1)</f>
        <v/>
      </c>
      <c r="E936" s="10"/>
      <c r="F936" s="8"/>
      <c r="G936" s="11"/>
      <c r="H936" s="10"/>
      <c r="I936" s="11"/>
      <c r="J936" s="10"/>
      <c r="K936" s="10"/>
      <c r="L936" s="10"/>
      <c r="M936" s="11"/>
      <c r="N936" s="8"/>
      <c r="O936" s="7" t="str">
        <f aca="false">IF(L936="","",IFERROR(VLOOKUP(L936,Paramètres!$F$5:$G$8,2,FALSE()),""))</f>
        <v/>
      </c>
      <c r="P936" s="9" t="str">
        <f aca="false">IF(OR(B936="",O936=""),"",IF(N936="",B936,N936)+O936)</f>
        <v/>
      </c>
      <c r="Q936" s="10"/>
      <c r="R936" s="8"/>
      <c r="S936" s="7" t="str">
        <f aca="false">IF(OR(B936="",R936=""),"",R936-B936)</f>
        <v/>
      </c>
      <c r="T936" s="7" t="str">
        <f aca="true">IF(OR(B936="",P936=""),"",IF(R936&lt;&gt;"",IF(R936&gt;P936,"Traité hors délai","Non"),IF(Q936="Classé sans suite","Non",IF(TODAY()&gt;P936,"OUI","Non"))))</f>
        <v/>
      </c>
      <c r="U936" s="11"/>
    </row>
    <row r="937" customFormat="false" ht="15" hidden="false" customHeight="false" outlineLevel="0" collapsed="false">
      <c r="A937" s="7" t="str">
        <f aca="false">IF(B937="","",YEAR(B937)&amp;"/"&amp;TEXT(ROW()-4,"0000"))</f>
        <v/>
      </c>
      <c r="B937" s="8"/>
      <c r="C937" s="7" t="str">
        <f aca="false">IF(B937="","",INT((B937-DATE(YEAR(B937-WEEKDAY(B937-1)+4),1,3)+WEEKDAY(DATE(YEAR(B937-WEEKDAY(B937-1)+4),1,3))+5)/7))</f>
        <v/>
      </c>
      <c r="D937" s="9" t="str">
        <f aca="false">IF(B937="","",B937-WEEKDAY(B937,2)+1)</f>
        <v/>
      </c>
      <c r="E937" s="10"/>
      <c r="F937" s="8"/>
      <c r="G937" s="11"/>
      <c r="H937" s="10"/>
      <c r="I937" s="11"/>
      <c r="J937" s="10"/>
      <c r="K937" s="10"/>
      <c r="L937" s="10"/>
      <c r="M937" s="11"/>
      <c r="N937" s="8"/>
      <c r="O937" s="7" t="str">
        <f aca="false">IF(L937="","",IFERROR(VLOOKUP(L937,Paramètres!$F$5:$G$8,2,FALSE()),""))</f>
        <v/>
      </c>
      <c r="P937" s="9" t="str">
        <f aca="false">IF(OR(B937="",O937=""),"",IF(N937="",B937,N937)+O937)</f>
        <v/>
      </c>
      <c r="Q937" s="10"/>
      <c r="R937" s="8"/>
      <c r="S937" s="7" t="str">
        <f aca="false">IF(OR(B937="",R937=""),"",R937-B937)</f>
        <v/>
      </c>
      <c r="T937" s="7" t="str">
        <f aca="true">IF(OR(B937="",P937=""),"",IF(R937&lt;&gt;"",IF(R937&gt;P937,"Traité hors délai","Non"),IF(Q937="Classé sans suite","Non",IF(TODAY()&gt;P937,"OUI","Non"))))</f>
        <v/>
      </c>
      <c r="U937" s="11"/>
    </row>
    <row r="938" customFormat="false" ht="15" hidden="false" customHeight="false" outlineLevel="0" collapsed="false">
      <c r="A938" s="7" t="str">
        <f aca="false">IF(B938="","",YEAR(B938)&amp;"/"&amp;TEXT(ROW()-4,"0000"))</f>
        <v/>
      </c>
      <c r="B938" s="8"/>
      <c r="C938" s="7" t="str">
        <f aca="false">IF(B938="","",INT((B938-DATE(YEAR(B938-WEEKDAY(B938-1)+4),1,3)+WEEKDAY(DATE(YEAR(B938-WEEKDAY(B938-1)+4),1,3))+5)/7))</f>
        <v/>
      </c>
      <c r="D938" s="9" t="str">
        <f aca="false">IF(B938="","",B938-WEEKDAY(B938,2)+1)</f>
        <v/>
      </c>
      <c r="E938" s="10"/>
      <c r="F938" s="8"/>
      <c r="G938" s="11"/>
      <c r="H938" s="10"/>
      <c r="I938" s="11"/>
      <c r="J938" s="10"/>
      <c r="K938" s="10"/>
      <c r="L938" s="10"/>
      <c r="M938" s="11"/>
      <c r="N938" s="8"/>
      <c r="O938" s="7" t="str">
        <f aca="false">IF(L938="","",IFERROR(VLOOKUP(L938,Paramètres!$F$5:$G$8,2,FALSE()),""))</f>
        <v/>
      </c>
      <c r="P938" s="9" t="str">
        <f aca="false">IF(OR(B938="",O938=""),"",IF(N938="",B938,N938)+O938)</f>
        <v/>
      </c>
      <c r="Q938" s="10"/>
      <c r="R938" s="8"/>
      <c r="S938" s="7" t="str">
        <f aca="false">IF(OR(B938="",R938=""),"",R938-B938)</f>
        <v/>
      </c>
      <c r="T938" s="7" t="str">
        <f aca="true">IF(OR(B938="",P938=""),"",IF(R938&lt;&gt;"",IF(R938&gt;P938,"Traité hors délai","Non"),IF(Q938="Classé sans suite","Non",IF(TODAY()&gt;P938,"OUI","Non"))))</f>
        <v/>
      </c>
      <c r="U938" s="11"/>
    </row>
    <row r="939" customFormat="false" ht="15" hidden="false" customHeight="false" outlineLevel="0" collapsed="false">
      <c r="A939" s="7" t="str">
        <f aca="false">IF(B939="","",YEAR(B939)&amp;"/"&amp;TEXT(ROW()-4,"0000"))</f>
        <v/>
      </c>
      <c r="B939" s="8"/>
      <c r="C939" s="7" t="str">
        <f aca="false">IF(B939="","",INT((B939-DATE(YEAR(B939-WEEKDAY(B939-1)+4),1,3)+WEEKDAY(DATE(YEAR(B939-WEEKDAY(B939-1)+4),1,3))+5)/7))</f>
        <v/>
      </c>
      <c r="D939" s="9" t="str">
        <f aca="false">IF(B939="","",B939-WEEKDAY(B939,2)+1)</f>
        <v/>
      </c>
      <c r="E939" s="10"/>
      <c r="F939" s="8"/>
      <c r="G939" s="11"/>
      <c r="H939" s="10"/>
      <c r="I939" s="11"/>
      <c r="J939" s="10"/>
      <c r="K939" s="10"/>
      <c r="L939" s="10"/>
      <c r="M939" s="11"/>
      <c r="N939" s="8"/>
      <c r="O939" s="7" t="str">
        <f aca="false">IF(L939="","",IFERROR(VLOOKUP(L939,Paramètres!$F$5:$G$8,2,FALSE()),""))</f>
        <v/>
      </c>
      <c r="P939" s="9" t="str">
        <f aca="false">IF(OR(B939="",O939=""),"",IF(N939="",B939,N939)+O939)</f>
        <v/>
      </c>
      <c r="Q939" s="10"/>
      <c r="R939" s="8"/>
      <c r="S939" s="7" t="str">
        <f aca="false">IF(OR(B939="",R939=""),"",R939-B939)</f>
        <v/>
      </c>
      <c r="T939" s="7" t="str">
        <f aca="true">IF(OR(B939="",P939=""),"",IF(R939&lt;&gt;"",IF(R939&gt;P939,"Traité hors délai","Non"),IF(Q939="Classé sans suite","Non",IF(TODAY()&gt;P939,"OUI","Non"))))</f>
        <v/>
      </c>
      <c r="U939" s="11"/>
    </row>
    <row r="940" customFormat="false" ht="15" hidden="false" customHeight="false" outlineLevel="0" collapsed="false">
      <c r="A940" s="7" t="str">
        <f aca="false">IF(B940="","",YEAR(B940)&amp;"/"&amp;TEXT(ROW()-4,"0000"))</f>
        <v/>
      </c>
      <c r="B940" s="8"/>
      <c r="C940" s="7" t="str">
        <f aca="false">IF(B940="","",INT((B940-DATE(YEAR(B940-WEEKDAY(B940-1)+4),1,3)+WEEKDAY(DATE(YEAR(B940-WEEKDAY(B940-1)+4),1,3))+5)/7))</f>
        <v/>
      </c>
      <c r="D940" s="9" t="str">
        <f aca="false">IF(B940="","",B940-WEEKDAY(B940,2)+1)</f>
        <v/>
      </c>
      <c r="E940" s="10"/>
      <c r="F940" s="8"/>
      <c r="G940" s="11"/>
      <c r="H940" s="10"/>
      <c r="I940" s="11"/>
      <c r="J940" s="10"/>
      <c r="K940" s="10"/>
      <c r="L940" s="10"/>
      <c r="M940" s="11"/>
      <c r="N940" s="8"/>
      <c r="O940" s="7" t="str">
        <f aca="false">IF(L940="","",IFERROR(VLOOKUP(L940,Paramètres!$F$5:$G$8,2,FALSE()),""))</f>
        <v/>
      </c>
      <c r="P940" s="9" t="str">
        <f aca="false">IF(OR(B940="",O940=""),"",IF(N940="",B940,N940)+O940)</f>
        <v/>
      </c>
      <c r="Q940" s="10"/>
      <c r="R940" s="8"/>
      <c r="S940" s="7" t="str">
        <f aca="false">IF(OR(B940="",R940=""),"",R940-B940)</f>
        <v/>
      </c>
      <c r="T940" s="7" t="str">
        <f aca="true">IF(OR(B940="",P940=""),"",IF(R940&lt;&gt;"",IF(R940&gt;P940,"Traité hors délai","Non"),IF(Q940="Classé sans suite","Non",IF(TODAY()&gt;P940,"OUI","Non"))))</f>
        <v/>
      </c>
      <c r="U940" s="11"/>
    </row>
    <row r="941" customFormat="false" ht="15" hidden="false" customHeight="false" outlineLevel="0" collapsed="false">
      <c r="A941" s="7" t="str">
        <f aca="false">IF(B941="","",YEAR(B941)&amp;"/"&amp;TEXT(ROW()-4,"0000"))</f>
        <v/>
      </c>
      <c r="B941" s="8"/>
      <c r="C941" s="7" t="str">
        <f aca="false">IF(B941="","",INT((B941-DATE(YEAR(B941-WEEKDAY(B941-1)+4),1,3)+WEEKDAY(DATE(YEAR(B941-WEEKDAY(B941-1)+4),1,3))+5)/7))</f>
        <v/>
      </c>
      <c r="D941" s="9" t="str">
        <f aca="false">IF(B941="","",B941-WEEKDAY(B941,2)+1)</f>
        <v/>
      </c>
      <c r="E941" s="10"/>
      <c r="F941" s="8"/>
      <c r="G941" s="11"/>
      <c r="H941" s="10"/>
      <c r="I941" s="11"/>
      <c r="J941" s="10"/>
      <c r="K941" s="10"/>
      <c r="L941" s="10"/>
      <c r="M941" s="11"/>
      <c r="N941" s="8"/>
      <c r="O941" s="7" t="str">
        <f aca="false">IF(L941="","",IFERROR(VLOOKUP(L941,Paramètres!$F$5:$G$8,2,FALSE()),""))</f>
        <v/>
      </c>
      <c r="P941" s="9" t="str">
        <f aca="false">IF(OR(B941="",O941=""),"",IF(N941="",B941,N941)+O941)</f>
        <v/>
      </c>
      <c r="Q941" s="10"/>
      <c r="R941" s="8"/>
      <c r="S941" s="7" t="str">
        <f aca="false">IF(OR(B941="",R941=""),"",R941-B941)</f>
        <v/>
      </c>
      <c r="T941" s="7" t="str">
        <f aca="true">IF(OR(B941="",P941=""),"",IF(R941&lt;&gt;"",IF(R941&gt;P941,"Traité hors délai","Non"),IF(Q941="Classé sans suite","Non",IF(TODAY()&gt;P941,"OUI","Non"))))</f>
        <v/>
      </c>
      <c r="U941" s="11"/>
    </row>
    <row r="942" customFormat="false" ht="15" hidden="false" customHeight="false" outlineLevel="0" collapsed="false">
      <c r="A942" s="7" t="str">
        <f aca="false">IF(B942="","",YEAR(B942)&amp;"/"&amp;TEXT(ROW()-4,"0000"))</f>
        <v/>
      </c>
      <c r="B942" s="8"/>
      <c r="C942" s="7" t="str">
        <f aca="false">IF(B942="","",INT((B942-DATE(YEAR(B942-WEEKDAY(B942-1)+4),1,3)+WEEKDAY(DATE(YEAR(B942-WEEKDAY(B942-1)+4),1,3))+5)/7))</f>
        <v/>
      </c>
      <c r="D942" s="9" t="str">
        <f aca="false">IF(B942="","",B942-WEEKDAY(B942,2)+1)</f>
        <v/>
      </c>
      <c r="E942" s="10"/>
      <c r="F942" s="8"/>
      <c r="G942" s="11"/>
      <c r="H942" s="10"/>
      <c r="I942" s="11"/>
      <c r="J942" s="10"/>
      <c r="K942" s="10"/>
      <c r="L942" s="10"/>
      <c r="M942" s="11"/>
      <c r="N942" s="8"/>
      <c r="O942" s="7" t="str">
        <f aca="false">IF(L942="","",IFERROR(VLOOKUP(L942,Paramètres!$F$5:$G$8,2,FALSE()),""))</f>
        <v/>
      </c>
      <c r="P942" s="9" t="str">
        <f aca="false">IF(OR(B942="",O942=""),"",IF(N942="",B942,N942)+O942)</f>
        <v/>
      </c>
      <c r="Q942" s="10"/>
      <c r="R942" s="8"/>
      <c r="S942" s="7" t="str">
        <f aca="false">IF(OR(B942="",R942=""),"",R942-B942)</f>
        <v/>
      </c>
      <c r="T942" s="7" t="str">
        <f aca="true">IF(OR(B942="",P942=""),"",IF(R942&lt;&gt;"",IF(R942&gt;P942,"Traité hors délai","Non"),IF(Q942="Classé sans suite","Non",IF(TODAY()&gt;P942,"OUI","Non"))))</f>
        <v/>
      </c>
      <c r="U942" s="11"/>
    </row>
    <row r="943" customFormat="false" ht="15" hidden="false" customHeight="false" outlineLevel="0" collapsed="false">
      <c r="A943" s="7" t="str">
        <f aca="false">IF(B943="","",YEAR(B943)&amp;"/"&amp;TEXT(ROW()-4,"0000"))</f>
        <v/>
      </c>
      <c r="B943" s="8"/>
      <c r="C943" s="7" t="str">
        <f aca="false">IF(B943="","",INT((B943-DATE(YEAR(B943-WEEKDAY(B943-1)+4),1,3)+WEEKDAY(DATE(YEAR(B943-WEEKDAY(B943-1)+4),1,3))+5)/7))</f>
        <v/>
      </c>
      <c r="D943" s="9" t="str">
        <f aca="false">IF(B943="","",B943-WEEKDAY(B943,2)+1)</f>
        <v/>
      </c>
      <c r="E943" s="10"/>
      <c r="F943" s="8"/>
      <c r="G943" s="11"/>
      <c r="H943" s="10"/>
      <c r="I943" s="11"/>
      <c r="J943" s="10"/>
      <c r="K943" s="10"/>
      <c r="L943" s="10"/>
      <c r="M943" s="11"/>
      <c r="N943" s="8"/>
      <c r="O943" s="7" t="str">
        <f aca="false">IF(L943="","",IFERROR(VLOOKUP(L943,Paramètres!$F$5:$G$8,2,FALSE()),""))</f>
        <v/>
      </c>
      <c r="P943" s="9" t="str">
        <f aca="false">IF(OR(B943="",O943=""),"",IF(N943="",B943,N943)+O943)</f>
        <v/>
      </c>
      <c r="Q943" s="10"/>
      <c r="R943" s="8"/>
      <c r="S943" s="7" t="str">
        <f aca="false">IF(OR(B943="",R943=""),"",R943-B943)</f>
        <v/>
      </c>
      <c r="T943" s="7" t="str">
        <f aca="true">IF(OR(B943="",P943=""),"",IF(R943&lt;&gt;"",IF(R943&gt;P943,"Traité hors délai","Non"),IF(Q943="Classé sans suite","Non",IF(TODAY()&gt;P943,"OUI","Non"))))</f>
        <v/>
      </c>
      <c r="U943" s="11"/>
    </row>
    <row r="944" customFormat="false" ht="15" hidden="false" customHeight="false" outlineLevel="0" collapsed="false">
      <c r="A944" s="7" t="str">
        <f aca="false">IF(B944="","",YEAR(B944)&amp;"/"&amp;TEXT(ROW()-4,"0000"))</f>
        <v/>
      </c>
      <c r="B944" s="8"/>
      <c r="C944" s="7" t="str">
        <f aca="false">IF(B944="","",INT((B944-DATE(YEAR(B944-WEEKDAY(B944-1)+4),1,3)+WEEKDAY(DATE(YEAR(B944-WEEKDAY(B944-1)+4),1,3))+5)/7))</f>
        <v/>
      </c>
      <c r="D944" s="9" t="str">
        <f aca="false">IF(B944="","",B944-WEEKDAY(B944,2)+1)</f>
        <v/>
      </c>
      <c r="E944" s="10"/>
      <c r="F944" s="8"/>
      <c r="G944" s="11"/>
      <c r="H944" s="10"/>
      <c r="I944" s="11"/>
      <c r="J944" s="10"/>
      <c r="K944" s="10"/>
      <c r="L944" s="10"/>
      <c r="M944" s="11"/>
      <c r="N944" s="8"/>
      <c r="O944" s="7" t="str">
        <f aca="false">IF(L944="","",IFERROR(VLOOKUP(L944,Paramètres!$F$5:$G$8,2,FALSE()),""))</f>
        <v/>
      </c>
      <c r="P944" s="9" t="str">
        <f aca="false">IF(OR(B944="",O944=""),"",IF(N944="",B944,N944)+O944)</f>
        <v/>
      </c>
      <c r="Q944" s="10"/>
      <c r="R944" s="8"/>
      <c r="S944" s="7" t="str">
        <f aca="false">IF(OR(B944="",R944=""),"",R944-B944)</f>
        <v/>
      </c>
      <c r="T944" s="7" t="str">
        <f aca="true">IF(OR(B944="",P944=""),"",IF(R944&lt;&gt;"",IF(R944&gt;P944,"Traité hors délai","Non"),IF(Q944="Classé sans suite","Non",IF(TODAY()&gt;P944,"OUI","Non"))))</f>
        <v/>
      </c>
      <c r="U944" s="11"/>
    </row>
    <row r="945" customFormat="false" ht="15" hidden="false" customHeight="false" outlineLevel="0" collapsed="false">
      <c r="A945" s="7" t="str">
        <f aca="false">IF(B945="","",YEAR(B945)&amp;"/"&amp;TEXT(ROW()-4,"0000"))</f>
        <v/>
      </c>
      <c r="B945" s="8"/>
      <c r="C945" s="7" t="str">
        <f aca="false">IF(B945="","",INT((B945-DATE(YEAR(B945-WEEKDAY(B945-1)+4),1,3)+WEEKDAY(DATE(YEAR(B945-WEEKDAY(B945-1)+4),1,3))+5)/7))</f>
        <v/>
      </c>
      <c r="D945" s="9" t="str">
        <f aca="false">IF(B945="","",B945-WEEKDAY(B945,2)+1)</f>
        <v/>
      </c>
      <c r="E945" s="10"/>
      <c r="F945" s="8"/>
      <c r="G945" s="11"/>
      <c r="H945" s="10"/>
      <c r="I945" s="11"/>
      <c r="J945" s="10"/>
      <c r="K945" s="10"/>
      <c r="L945" s="10"/>
      <c r="M945" s="11"/>
      <c r="N945" s="8"/>
      <c r="O945" s="7" t="str">
        <f aca="false">IF(L945="","",IFERROR(VLOOKUP(L945,Paramètres!$F$5:$G$8,2,FALSE()),""))</f>
        <v/>
      </c>
      <c r="P945" s="9" t="str">
        <f aca="false">IF(OR(B945="",O945=""),"",IF(N945="",B945,N945)+O945)</f>
        <v/>
      </c>
      <c r="Q945" s="10"/>
      <c r="R945" s="8"/>
      <c r="S945" s="7" t="str">
        <f aca="false">IF(OR(B945="",R945=""),"",R945-B945)</f>
        <v/>
      </c>
      <c r="T945" s="7" t="str">
        <f aca="true">IF(OR(B945="",P945=""),"",IF(R945&lt;&gt;"",IF(R945&gt;P945,"Traité hors délai","Non"),IF(Q945="Classé sans suite","Non",IF(TODAY()&gt;P945,"OUI","Non"))))</f>
        <v/>
      </c>
      <c r="U945" s="11"/>
    </row>
    <row r="946" customFormat="false" ht="15" hidden="false" customHeight="false" outlineLevel="0" collapsed="false">
      <c r="A946" s="7" t="str">
        <f aca="false">IF(B946="","",YEAR(B946)&amp;"/"&amp;TEXT(ROW()-4,"0000"))</f>
        <v/>
      </c>
      <c r="B946" s="8"/>
      <c r="C946" s="7" t="str">
        <f aca="false">IF(B946="","",INT((B946-DATE(YEAR(B946-WEEKDAY(B946-1)+4),1,3)+WEEKDAY(DATE(YEAR(B946-WEEKDAY(B946-1)+4),1,3))+5)/7))</f>
        <v/>
      </c>
      <c r="D946" s="9" t="str">
        <f aca="false">IF(B946="","",B946-WEEKDAY(B946,2)+1)</f>
        <v/>
      </c>
      <c r="E946" s="10"/>
      <c r="F946" s="8"/>
      <c r="G946" s="11"/>
      <c r="H946" s="10"/>
      <c r="I946" s="11"/>
      <c r="J946" s="10"/>
      <c r="K946" s="10"/>
      <c r="L946" s="10"/>
      <c r="M946" s="11"/>
      <c r="N946" s="8"/>
      <c r="O946" s="7" t="str">
        <f aca="false">IF(L946="","",IFERROR(VLOOKUP(L946,Paramètres!$F$5:$G$8,2,FALSE()),""))</f>
        <v/>
      </c>
      <c r="P946" s="9" t="str">
        <f aca="false">IF(OR(B946="",O946=""),"",IF(N946="",B946,N946)+O946)</f>
        <v/>
      </c>
      <c r="Q946" s="10"/>
      <c r="R946" s="8"/>
      <c r="S946" s="7" t="str">
        <f aca="false">IF(OR(B946="",R946=""),"",R946-B946)</f>
        <v/>
      </c>
      <c r="T946" s="7" t="str">
        <f aca="true">IF(OR(B946="",P946=""),"",IF(R946&lt;&gt;"",IF(R946&gt;P946,"Traité hors délai","Non"),IF(Q946="Classé sans suite","Non",IF(TODAY()&gt;P946,"OUI","Non"))))</f>
        <v/>
      </c>
      <c r="U946" s="11"/>
    </row>
    <row r="947" customFormat="false" ht="15" hidden="false" customHeight="false" outlineLevel="0" collapsed="false">
      <c r="A947" s="7" t="str">
        <f aca="false">IF(B947="","",YEAR(B947)&amp;"/"&amp;TEXT(ROW()-4,"0000"))</f>
        <v/>
      </c>
      <c r="B947" s="8"/>
      <c r="C947" s="7" t="str">
        <f aca="false">IF(B947="","",INT((B947-DATE(YEAR(B947-WEEKDAY(B947-1)+4),1,3)+WEEKDAY(DATE(YEAR(B947-WEEKDAY(B947-1)+4),1,3))+5)/7))</f>
        <v/>
      </c>
      <c r="D947" s="9" t="str">
        <f aca="false">IF(B947="","",B947-WEEKDAY(B947,2)+1)</f>
        <v/>
      </c>
      <c r="E947" s="10"/>
      <c r="F947" s="8"/>
      <c r="G947" s="11"/>
      <c r="H947" s="10"/>
      <c r="I947" s="11"/>
      <c r="J947" s="10"/>
      <c r="K947" s="10"/>
      <c r="L947" s="10"/>
      <c r="M947" s="11"/>
      <c r="N947" s="8"/>
      <c r="O947" s="7" t="str">
        <f aca="false">IF(L947="","",IFERROR(VLOOKUP(L947,Paramètres!$F$5:$G$8,2,FALSE()),""))</f>
        <v/>
      </c>
      <c r="P947" s="9" t="str">
        <f aca="false">IF(OR(B947="",O947=""),"",IF(N947="",B947,N947)+O947)</f>
        <v/>
      </c>
      <c r="Q947" s="10"/>
      <c r="R947" s="8"/>
      <c r="S947" s="7" t="str">
        <f aca="false">IF(OR(B947="",R947=""),"",R947-B947)</f>
        <v/>
      </c>
      <c r="T947" s="7" t="str">
        <f aca="true">IF(OR(B947="",P947=""),"",IF(R947&lt;&gt;"",IF(R947&gt;P947,"Traité hors délai","Non"),IF(Q947="Classé sans suite","Non",IF(TODAY()&gt;P947,"OUI","Non"))))</f>
        <v/>
      </c>
      <c r="U947" s="11"/>
    </row>
    <row r="948" customFormat="false" ht="15" hidden="false" customHeight="false" outlineLevel="0" collapsed="false">
      <c r="A948" s="7" t="str">
        <f aca="false">IF(B948="","",YEAR(B948)&amp;"/"&amp;TEXT(ROW()-4,"0000"))</f>
        <v/>
      </c>
      <c r="B948" s="8"/>
      <c r="C948" s="7" t="str">
        <f aca="false">IF(B948="","",INT((B948-DATE(YEAR(B948-WEEKDAY(B948-1)+4),1,3)+WEEKDAY(DATE(YEAR(B948-WEEKDAY(B948-1)+4),1,3))+5)/7))</f>
        <v/>
      </c>
      <c r="D948" s="9" t="str">
        <f aca="false">IF(B948="","",B948-WEEKDAY(B948,2)+1)</f>
        <v/>
      </c>
      <c r="E948" s="10"/>
      <c r="F948" s="8"/>
      <c r="G948" s="11"/>
      <c r="H948" s="10"/>
      <c r="I948" s="11"/>
      <c r="J948" s="10"/>
      <c r="K948" s="10"/>
      <c r="L948" s="10"/>
      <c r="M948" s="11"/>
      <c r="N948" s="8"/>
      <c r="O948" s="7" t="str">
        <f aca="false">IF(L948="","",IFERROR(VLOOKUP(L948,Paramètres!$F$5:$G$8,2,FALSE()),""))</f>
        <v/>
      </c>
      <c r="P948" s="9" t="str">
        <f aca="false">IF(OR(B948="",O948=""),"",IF(N948="",B948,N948)+O948)</f>
        <v/>
      </c>
      <c r="Q948" s="10"/>
      <c r="R948" s="8"/>
      <c r="S948" s="7" t="str">
        <f aca="false">IF(OR(B948="",R948=""),"",R948-B948)</f>
        <v/>
      </c>
      <c r="T948" s="7" t="str">
        <f aca="true">IF(OR(B948="",P948=""),"",IF(R948&lt;&gt;"",IF(R948&gt;P948,"Traité hors délai","Non"),IF(Q948="Classé sans suite","Non",IF(TODAY()&gt;P948,"OUI","Non"))))</f>
        <v/>
      </c>
      <c r="U948" s="11"/>
    </row>
    <row r="949" customFormat="false" ht="15" hidden="false" customHeight="false" outlineLevel="0" collapsed="false">
      <c r="A949" s="7" t="str">
        <f aca="false">IF(B949="","",YEAR(B949)&amp;"/"&amp;TEXT(ROW()-4,"0000"))</f>
        <v/>
      </c>
      <c r="B949" s="8"/>
      <c r="C949" s="7" t="str">
        <f aca="false">IF(B949="","",INT((B949-DATE(YEAR(B949-WEEKDAY(B949-1)+4),1,3)+WEEKDAY(DATE(YEAR(B949-WEEKDAY(B949-1)+4),1,3))+5)/7))</f>
        <v/>
      </c>
      <c r="D949" s="9" t="str">
        <f aca="false">IF(B949="","",B949-WEEKDAY(B949,2)+1)</f>
        <v/>
      </c>
      <c r="E949" s="10"/>
      <c r="F949" s="8"/>
      <c r="G949" s="11"/>
      <c r="H949" s="10"/>
      <c r="I949" s="11"/>
      <c r="J949" s="10"/>
      <c r="K949" s="10"/>
      <c r="L949" s="10"/>
      <c r="M949" s="11"/>
      <c r="N949" s="8"/>
      <c r="O949" s="7" t="str">
        <f aca="false">IF(L949="","",IFERROR(VLOOKUP(L949,Paramètres!$F$5:$G$8,2,FALSE()),""))</f>
        <v/>
      </c>
      <c r="P949" s="9" t="str">
        <f aca="false">IF(OR(B949="",O949=""),"",IF(N949="",B949,N949)+O949)</f>
        <v/>
      </c>
      <c r="Q949" s="10"/>
      <c r="R949" s="8"/>
      <c r="S949" s="7" t="str">
        <f aca="false">IF(OR(B949="",R949=""),"",R949-B949)</f>
        <v/>
      </c>
      <c r="T949" s="7" t="str">
        <f aca="true">IF(OR(B949="",P949=""),"",IF(R949&lt;&gt;"",IF(R949&gt;P949,"Traité hors délai","Non"),IF(Q949="Classé sans suite","Non",IF(TODAY()&gt;P949,"OUI","Non"))))</f>
        <v/>
      </c>
      <c r="U949" s="11"/>
    </row>
    <row r="950" customFormat="false" ht="15" hidden="false" customHeight="false" outlineLevel="0" collapsed="false">
      <c r="A950" s="7" t="str">
        <f aca="false">IF(B950="","",YEAR(B950)&amp;"/"&amp;TEXT(ROW()-4,"0000"))</f>
        <v/>
      </c>
      <c r="B950" s="8"/>
      <c r="C950" s="7" t="str">
        <f aca="false">IF(B950="","",INT((B950-DATE(YEAR(B950-WEEKDAY(B950-1)+4),1,3)+WEEKDAY(DATE(YEAR(B950-WEEKDAY(B950-1)+4),1,3))+5)/7))</f>
        <v/>
      </c>
      <c r="D950" s="9" t="str">
        <f aca="false">IF(B950="","",B950-WEEKDAY(B950,2)+1)</f>
        <v/>
      </c>
      <c r="E950" s="10"/>
      <c r="F950" s="8"/>
      <c r="G950" s="11"/>
      <c r="H950" s="10"/>
      <c r="I950" s="11"/>
      <c r="J950" s="10"/>
      <c r="K950" s="10"/>
      <c r="L950" s="10"/>
      <c r="M950" s="11"/>
      <c r="N950" s="8"/>
      <c r="O950" s="7" t="str">
        <f aca="false">IF(L950="","",IFERROR(VLOOKUP(L950,Paramètres!$F$5:$G$8,2,FALSE()),""))</f>
        <v/>
      </c>
      <c r="P950" s="9" t="str">
        <f aca="false">IF(OR(B950="",O950=""),"",IF(N950="",B950,N950)+O950)</f>
        <v/>
      </c>
      <c r="Q950" s="10"/>
      <c r="R950" s="8"/>
      <c r="S950" s="7" t="str">
        <f aca="false">IF(OR(B950="",R950=""),"",R950-B950)</f>
        <v/>
      </c>
      <c r="T950" s="7" t="str">
        <f aca="true">IF(OR(B950="",P950=""),"",IF(R950&lt;&gt;"",IF(R950&gt;P950,"Traité hors délai","Non"),IF(Q950="Classé sans suite","Non",IF(TODAY()&gt;P950,"OUI","Non"))))</f>
        <v/>
      </c>
      <c r="U950" s="11"/>
    </row>
    <row r="951" customFormat="false" ht="15" hidden="false" customHeight="false" outlineLevel="0" collapsed="false">
      <c r="A951" s="7" t="str">
        <f aca="false">IF(B951="","",YEAR(B951)&amp;"/"&amp;TEXT(ROW()-4,"0000"))</f>
        <v/>
      </c>
      <c r="B951" s="8"/>
      <c r="C951" s="7" t="str">
        <f aca="false">IF(B951="","",INT((B951-DATE(YEAR(B951-WEEKDAY(B951-1)+4),1,3)+WEEKDAY(DATE(YEAR(B951-WEEKDAY(B951-1)+4),1,3))+5)/7))</f>
        <v/>
      </c>
      <c r="D951" s="9" t="str">
        <f aca="false">IF(B951="","",B951-WEEKDAY(B951,2)+1)</f>
        <v/>
      </c>
      <c r="E951" s="10"/>
      <c r="F951" s="8"/>
      <c r="G951" s="11"/>
      <c r="H951" s="10"/>
      <c r="I951" s="11"/>
      <c r="J951" s="10"/>
      <c r="K951" s="10"/>
      <c r="L951" s="10"/>
      <c r="M951" s="11"/>
      <c r="N951" s="8"/>
      <c r="O951" s="7" t="str">
        <f aca="false">IF(L951="","",IFERROR(VLOOKUP(L951,Paramètres!$F$5:$G$8,2,FALSE()),""))</f>
        <v/>
      </c>
      <c r="P951" s="9" t="str">
        <f aca="false">IF(OR(B951="",O951=""),"",IF(N951="",B951,N951)+O951)</f>
        <v/>
      </c>
      <c r="Q951" s="10"/>
      <c r="R951" s="8"/>
      <c r="S951" s="7" t="str">
        <f aca="false">IF(OR(B951="",R951=""),"",R951-B951)</f>
        <v/>
      </c>
      <c r="T951" s="7" t="str">
        <f aca="true">IF(OR(B951="",P951=""),"",IF(R951&lt;&gt;"",IF(R951&gt;P951,"Traité hors délai","Non"),IF(Q951="Classé sans suite","Non",IF(TODAY()&gt;P951,"OUI","Non"))))</f>
        <v/>
      </c>
      <c r="U951" s="11"/>
    </row>
    <row r="952" customFormat="false" ht="15" hidden="false" customHeight="false" outlineLevel="0" collapsed="false">
      <c r="A952" s="7" t="str">
        <f aca="false">IF(B952="","",YEAR(B952)&amp;"/"&amp;TEXT(ROW()-4,"0000"))</f>
        <v/>
      </c>
      <c r="B952" s="8"/>
      <c r="C952" s="7" t="str">
        <f aca="false">IF(B952="","",INT((B952-DATE(YEAR(B952-WEEKDAY(B952-1)+4),1,3)+WEEKDAY(DATE(YEAR(B952-WEEKDAY(B952-1)+4),1,3))+5)/7))</f>
        <v/>
      </c>
      <c r="D952" s="9" t="str">
        <f aca="false">IF(B952="","",B952-WEEKDAY(B952,2)+1)</f>
        <v/>
      </c>
      <c r="E952" s="10"/>
      <c r="F952" s="8"/>
      <c r="G952" s="11"/>
      <c r="H952" s="10"/>
      <c r="I952" s="11"/>
      <c r="J952" s="10"/>
      <c r="K952" s="10"/>
      <c r="L952" s="10"/>
      <c r="M952" s="11"/>
      <c r="N952" s="8"/>
      <c r="O952" s="7" t="str">
        <f aca="false">IF(L952="","",IFERROR(VLOOKUP(L952,Paramètres!$F$5:$G$8,2,FALSE()),""))</f>
        <v/>
      </c>
      <c r="P952" s="9" t="str">
        <f aca="false">IF(OR(B952="",O952=""),"",IF(N952="",B952,N952)+O952)</f>
        <v/>
      </c>
      <c r="Q952" s="10"/>
      <c r="R952" s="8"/>
      <c r="S952" s="7" t="str">
        <f aca="false">IF(OR(B952="",R952=""),"",R952-B952)</f>
        <v/>
      </c>
      <c r="T952" s="7" t="str">
        <f aca="true">IF(OR(B952="",P952=""),"",IF(R952&lt;&gt;"",IF(R952&gt;P952,"Traité hors délai","Non"),IF(Q952="Classé sans suite","Non",IF(TODAY()&gt;P952,"OUI","Non"))))</f>
        <v/>
      </c>
      <c r="U952" s="11"/>
    </row>
    <row r="953" customFormat="false" ht="15" hidden="false" customHeight="false" outlineLevel="0" collapsed="false">
      <c r="A953" s="7" t="str">
        <f aca="false">IF(B953="","",YEAR(B953)&amp;"/"&amp;TEXT(ROW()-4,"0000"))</f>
        <v/>
      </c>
      <c r="B953" s="8"/>
      <c r="C953" s="7" t="str">
        <f aca="false">IF(B953="","",INT((B953-DATE(YEAR(B953-WEEKDAY(B953-1)+4),1,3)+WEEKDAY(DATE(YEAR(B953-WEEKDAY(B953-1)+4),1,3))+5)/7))</f>
        <v/>
      </c>
      <c r="D953" s="9" t="str">
        <f aca="false">IF(B953="","",B953-WEEKDAY(B953,2)+1)</f>
        <v/>
      </c>
      <c r="E953" s="10"/>
      <c r="F953" s="8"/>
      <c r="G953" s="11"/>
      <c r="H953" s="10"/>
      <c r="I953" s="11"/>
      <c r="J953" s="10"/>
      <c r="K953" s="10"/>
      <c r="L953" s="10"/>
      <c r="M953" s="11"/>
      <c r="N953" s="8"/>
      <c r="O953" s="7" t="str">
        <f aca="false">IF(L953="","",IFERROR(VLOOKUP(L953,Paramètres!$F$5:$G$8,2,FALSE()),""))</f>
        <v/>
      </c>
      <c r="P953" s="9" t="str">
        <f aca="false">IF(OR(B953="",O953=""),"",IF(N953="",B953,N953)+O953)</f>
        <v/>
      </c>
      <c r="Q953" s="10"/>
      <c r="R953" s="8"/>
      <c r="S953" s="7" t="str">
        <f aca="false">IF(OR(B953="",R953=""),"",R953-B953)</f>
        <v/>
      </c>
      <c r="T953" s="7" t="str">
        <f aca="true">IF(OR(B953="",P953=""),"",IF(R953&lt;&gt;"",IF(R953&gt;P953,"Traité hors délai","Non"),IF(Q953="Classé sans suite","Non",IF(TODAY()&gt;P953,"OUI","Non"))))</f>
        <v/>
      </c>
      <c r="U953" s="11"/>
    </row>
    <row r="954" customFormat="false" ht="15" hidden="false" customHeight="false" outlineLevel="0" collapsed="false">
      <c r="A954" s="7" t="str">
        <f aca="false">IF(B954="","",YEAR(B954)&amp;"/"&amp;TEXT(ROW()-4,"0000"))</f>
        <v/>
      </c>
      <c r="B954" s="8"/>
      <c r="C954" s="7" t="str">
        <f aca="false">IF(B954="","",INT((B954-DATE(YEAR(B954-WEEKDAY(B954-1)+4),1,3)+WEEKDAY(DATE(YEAR(B954-WEEKDAY(B954-1)+4),1,3))+5)/7))</f>
        <v/>
      </c>
      <c r="D954" s="9" t="str">
        <f aca="false">IF(B954="","",B954-WEEKDAY(B954,2)+1)</f>
        <v/>
      </c>
      <c r="E954" s="10"/>
      <c r="F954" s="8"/>
      <c r="G954" s="11"/>
      <c r="H954" s="10"/>
      <c r="I954" s="11"/>
      <c r="J954" s="10"/>
      <c r="K954" s="10"/>
      <c r="L954" s="10"/>
      <c r="M954" s="11"/>
      <c r="N954" s="8"/>
      <c r="O954" s="7" t="str">
        <f aca="false">IF(L954="","",IFERROR(VLOOKUP(L954,Paramètres!$F$5:$G$8,2,FALSE()),""))</f>
        <v/>
      </c>
      <c r="P954" s="9" t="str">
        <f aca="false">IF(OR(B954="",O954=""),"",IF(N954="",B954,N954)+O954)</f>
        <v/>
      </c>
      <c r="Q954" s="10"/>
      <c r="R954" s="8"/>
      <c r="S954" s="7" t="str">
        <f aca="false">IF(OR(B954="",R954=""),"",R954-B954)</f>
        <v/>
      </c>
      <c r="T954" s="7" t="str">
        <f aca="true">IF(OR(B954="",P954=""),"",IF(R954&lt;&gt;"",IF(R954&gt;P954,"Traité hors délai","Non"),IF(Q954="Classé sans suite","Non",IF(TODAY()&gt;P954,"OUI","Non"))))</f>
        <v/>
      </c>
      <c r="U954" s="11"/>
    </row>
    <row r="955" customFormat="false" ht="15" hidden="false" customHeight="false" outlineLevel="0" collapsed="false">
      <c r="A955" s="7" t="str">
        <f aca="false">IF(B955="","",YEAR(B955)&amp;"/"&amp;TEXT(ROW()-4,"0000"))</f>
        <v/>
      </c>
      <c r="B955" s="8"/>
      <c r="C955" s="7" t="str">
        <f aca="false">IF(B955="","",INT((B955-DATE(YEAR(B955-WEEKDAY(B955-1)+4),1,3)+WEEKDAY(DATE(YEAR(B955-WEEKDAY(B955-1)+4),1,3))+5)/7))</f>
        <v/>
      </c>
      <c r="D955" s="9" t="str">
        <f aca="false">IF(B955="","",B955-WEEKDAY(B955,2)+1)</f>
        <v/>
      </c>
      <c r="E955" s="10"/>
      <c r="F955" s="8"/>
      <c r="G955" s="11"/>
      <c r="H955" s="10"/>
      <c r="I955" s="11"/>
      <c r="J955" s="10"/>
      <c r="K955" s="10"/>
      <c r="L955" s="10"/>
      <c r="M955" s="11"/>
      <c r="N955" s="8"/>
      <c r="O955" s="7" t="str">
        <f aca="false">IF(L955="","",IFERROR(VLOOKUP(L955,Paramètres!$F$5:$G$8,2,FALSE()),""))</f>
        <v/>
      </c>
      <c r="P955" s="9" t="str">
        <f aca="false">IF(OR(B955="",O955=""),"",IF(N955="",B955,N955)+O955)</f>
        <v/>
      </c>
      <c r="Q955" s="10"/>
      <c r="R955" s="8"/>
      <c r="S955" s="7" t="str">
        <f aca="false">IF(OR(B955="",R955=""),"",R955-B955)</f>
        <v/>
      </c>
      <c r="T955" s="7" t="str">
        <f aca="true">IF(OR(B955="",P955=""),"",IF(R955&lt;&gt;"",IF(R955&gt;P955,"Traité hors délai","Non"),IF(Q955="Classé sans suite","Non",IF(TODAY()&gt;P955,"OUI","Non"))))</f>
        <v/>
      </c>
      <c r="U955" s="11"/>
    </row>
    <row r="956" customFormat="false" ht="15" hidden="false" customHeight="false" outlineLevel="0" collapsed="false">
      <c r="A956" s="7" t="str">
        <f aca="false">IF(B956="","",YEAR(B956)&amp;"/"&amp;TEXT(ROW()-4,"0000"))</f>
        <v/>
      </c>
      <c r="B956" s="8"/>
      <c r="C956" s="7" t="str">
        <f aca="false">IF(B956="","",INT((B956-DATE(YEAR(B956-WEEKDAY(B956-1)+4),1,3)+WEEKDAY(DATE(YEAR(B956-WEEKDAY(B956-1)+4),1,3))+5)/7))</f>
        <v/>
      </c>
      <c r="D956" s="9" t="str">
        <f aca="false">IF(B956="","",B956-WEEKDAY(B956,2)+1)</f>
        <v/>
      </c>
      <c r="E956" s="10"/>
      <c r="F956" s="8"/>
      <c r="G956" s="11"/>
      <c r="H956" s="10"/>
      <c r="I956" s="11"/>
      <c r="J956" s="10"/>
      <c r="K956" s="10"/>
      <c r="L956" s="10"/>
      <c r="M956" s="11"/>
      <c r="N956" s="8"/>
      <c r="O956" s="7" t="str">
        <f aca="false">IF(L956="","",IFERROR(VLOOKUP(L956,Paramètres!$F$5:$G$8,2,FALSE()),""))</f>
        <v/>
      </c>
      <c r="P956" s="9" t="str">
        <f aca="false">IF(OR(B956="",O956=""),"",IF(N956="",B956,N956)+O956)</f>
        <v/>
      </c>
      <c r="Q956" s="10"/>
      <c r="R956" s="8"/>
      <c r="S956" s="7" t="str">
        <f aca="false">IF(OR(B956="",R956=""),"",R956-B956)</f>
        <v/>
      </c>
      <c r="T956" s="7" t="str">
        <f aca="true">IF(OR(B956="",P956=""),"",IF(R956&lt;&gt;"",IF(R956&gt;P956,"Traité hors délai","Non"),IF(Q956="Classé sans suite","Non",IF(TODAY()&gt;P956,"OUI","Non"))))</f>
        <v/>
      </c>
      <c r="U956" s="11"/>
    </row>
    <row r="957" customFormat="false" ht="15" hidden="false" customHeight="false" outlineLevel="0" collapsed="false">
      <c r="A957" s="7" t="str">
        <f aca="false">IF(B957="","",YEAR(B957)&amp;"/"&amp;TEXT(ROW()-4,"0000"))</f>
        <v/>
      </c>
      <c r="B957" s="8"/>
      <c r="C957" s="7" t="str">
        <f aca="false">IF(B957="","",INT((B957-DATE(YEAR(B957-WEEKDAY(B957-1)+4),1,3)+WEEKDAY(DATE(YEAR(B957-WEEKDAY(B957-1)+4),1,3))+5)/7))</f>
        <v/>
      </c>
      <c r="D957" s="9" t="str">
        <f aca="false">IF(B957="","",B957-WEEKDAY(B957,2)+1)</f>
        <v/>
      </c>
      <c r="E957" s="10"/>
      <c r="F957" s="8"/>
      <c r="G957" s="11"/>
      <c r="H957" s="10"/>
      <c r="I957" s="11"/>
      <c r="J957" s="10"/>
      <c r="K957" s="10"/>
      <c r="L957" s="10"/>
      <c r="M957" s="11"/>
      <c r="N957" s="8"/>
      <c r="O957" s="7" t="str">
        <f aca="false">IF(L957="","",IFERROR(VLOOKUP(L957,Paramètres!$F$5:$G$8,2,FALSE()),""))</f>
        <v/>
      </c>
      <c r="P957" s="9" t="str">
        <f aca="false">IF(OR(B957="",O957=""),"",IF(N957="",B957,N957)+O957)</f>
        <v/>
      </c>
      <c r="Q957" s="10"/>
      <c r="R957" s="8"/>
      <c r="S957" s="7" t="str">
        <f aca="false">IF(OR(B957="",R957=""),"",R957-B957)</f>
        <v/>
      </c>
      <c r="T957" s="7" t="str">
        <f aca="true">IF(OR(B957="",P957=""),"",IF(R957&lt;&gt;"",IF(R957&gt;P957,"Traité hors délai","Non"),IF(Q957="Classé sans suite","Non",IF(TODAY()&gt;P957,"OUI","Non"))))</f>
        <v/>
      </c>
      <c r="U957" s="11"/>
    </row>
    <row r="958" customFormat="false" ht="15" hidden="false" customHeight="false" outlineLevel="0" collapsed="false">
      <c r="A958" s="7" t="str">
        <f aca="false">IF(B958="","",YEAR(B958)&amp;"/"&amp;TEXT(ROW()-4,"0000"))</f>
        <v/>
      </c>
      <c r="B958" s="8"/>
      <c r="C958" s="7" t="str">
        <f aca="false">IF(B958="","",INT((B958-DATE(YEAR(B958-WEEKDAY(B958-1)+4),1,3)+WEEKDAY(DATE(YEAR(B958-WEEKDAY(B958-1)+4),1,3))+5)/7))</f>
        <v/>
      </c>
      <c r="D958" s="9" t="str">
        <f aca="false">IF(B958="","",B958-WEEKDAY(B958,2)+1)</f>
        <v/>
      </c>
      <c r="E958" s="10"/>
      <c r="F958" s="8"/>
      <c r="G958" s="11"/>
      <c r="H958" s="10"/>
      <c r="I958" s="11"/>
      <c r="J958" s="10"/>
      <c r="K958" s="10"/>
      <c r="L958" s="10"/>
      <c r="M958" s="11"/>
      <c r="N958" s="8"/>
      <c r="O958" s="7" t="str">
        <f aca="false">IF(L958="","",IFERROR(VLOOKUP(L958,Paramètres!$F$5:$G$8,2,FALSE()),""))</f>
        <v/>
      </c>
      <c r="P958" s="9" t="str">
        <f aca="false">IF(OR(B958="",O958=""),"",IF(N958="",B958,N958)+O958)</f>
        <v/>
      </c>
      <c r="Q958" s="10"/>
      <c r="R958" s="8"/>
      <c r="S958" s="7" t="str">
        <f aca="false">IF(OR(B958="",R958=""),"",R958-B958)</f>
        <v/>
      </c>
      <c r="T958" s="7" t="str">
        <f aca="true">IF(OR(B958="",P958=""),"",IF(R958&lt;&gt;"",IF(R958&gt;P958,"Traité hors délai","Non"),IF(Q958="Classé sans suite","Non",IF(TODAY()&gt;P958,"OUI","Non"))))</f>
        <v/>
      </c>
      <c r="U958" s="11"/>
    </row>
    <row r="959" customFormat="false" ht="15" hidden="false" customHeight="false" outlineLevel="0" collapsed="false">
      <c r="A959" s="7" t="str">
        <f aca="false">IF(B959="","",YEAR(B959)&amp;"/"&amp;TEXT(ROW()-4,"0000"))</f>
        <v/>
      </c>
      <c r="B959" s="8"/>
      <c r="C959" s="7" t="str">
        <f aca="false">IF(B959="","",INT((B959-DATE(YEAR(B959-WEEKDAY(B959-1)+4),1,3)+WEEKDAY(DATE(YEAR(B959-WEEKDAY(B959-1)+4),1,3))+5)/7))</f>
        <v/>
      </c>
      <c r="D959" s="9" t="str">
        <f aca="false">IF(B959="","",B959-WEEKDAY(B959,2)+1)</f>
        <v/>
      </c>
      <c r="E959" s="10"/>
      <c r="F959" s="8"/>
      <c r="G959" s="11"/>
      <c r="H959" s="10"/>
      <c r="I959" s="11"/>
      <c r="J959" s="10"/>
      <c r="K959" s="10"/>
      <c r="L959" s="10"/>
      <c r="M959" s="11"/>
      <c r="N959" s="8"/>
      <c r="O959" s="7" t="str">
        <f aca="false">IF(L959="","",IFERROR(VLOOKUP(L959,Paramètres!$F$5:$G$8,2,FALSE()),""))</f>
        <v/>
      </c>
      <c r="P959" s="9" t="str">
        <f aca="false">IF(OR(B959="",O959=""),"",IF(N959="",B959,N959)+O959)</f>
        <v/>
      </c>
      <c r="Q959" s="10"/>
      <c r="R959" s="8"/>
      <c r="S959" s="7" t="str">
        <f aca="false">IF(OR(B959="",R959=""),"",R959-B959)</f>
        <v/>
      </c>
      <c r="T959" s="7" t="str">
        <f aca="true">IF(OR(B959="",P959=""),"",IF(R959&lt;&gt;"",IF(R959&gt;P959,"Traité hors délai","Non"),IF(Q959="Classé sans suite","Non",IF(TODAY()&gt;P959,"OUI","Non"))))</f>
        <v/>
      </c>
      <c r="U959" s="11"/>
    </row>
    <row r="960" customFormat="false" ht="15" hidden="false" customHeight="false" outlineLevel="0" collapsed="false">
      <c r="A960" s="7" t="str">
        <f aca="false">IF(B960="","",YEAR(B960)&amp;"/"&amp;TEXT(ROW()-4,"0000"))</f>
        <v/>
      </c>
      <c r="B960" s="8"/>
      <c r="C960" s="7" t="str">
        <f aca="false">IF(B960="","",INT((B960-DATE(YEAR(B960-WEEKDAY(B960-1)+4),1,3)+WEEKDAY(DATE(YEAR(B960-WEEKDAY(B960-1)+4),1,3))+5)/7))</f>
        <v/>
      </c>
      <c r="D960" s="9" t="str">
        <f aca="false">IF(B960="","",B960-WEEKDAY(B960,2)+1)</f>
        <v/>
      </c>
      <c r="E960" s="10"/>
      <c r="F960" s="8"/>
      <c r="G960" s="11"/>
      <c r="H960" s="10"/>
      <c r="I960" s="11"/>
      <c r="J960" s="10"/>
      <c r="K960" s="10"/>
      <c r="L960" s="10"/>
      <c r="M960" s="11"/>
      <c r="N960" s="8"/>
      <c r="O960" s="7" t="str">
        <f aca="false">IF(L960="","",IFERROR(VLOOKUP(L960,Paramètres!$F$5:$G$8,2,FALSE()),""))</f>
        <v/>
      </c>
      <c r="P960" s="9" t="str">
        <f aca="false">IF(OR(B960="",O960=""),"",IF(N960="",B960,N960)+O960)</f>
        <v/>
      </c>
      <c r="Q960" s="10"/>
      <c r="R960" s="8"/>
      <c r="S960" s="7" t="str">
        <f aca="false">IF(OR(B960="",R960=""),"",R960-B960)</f>
        <v/>
      </c>
      <c r="T960" s="7" t="str">
        <f aca="true">IF(OR(B960="",P960=""),"",IF(R960&lt;&gt;"",IF(R960&gt;P960,"Traité hors délai","Non"),IF(Q960="Classé sans suite","Non",IF(TODAY()&gt;P960,"OUI","Non"))))</f>
        <v/>
      </c>
      <c r="U960" s="11"/>
    </row>
    <row r="961" customFormat="false" ht="15" hidden="false" customHeight="false" outlineLevel="0" collapsed="false">
      <c r="A961" s="7" t="str">
        <f aca="false">IF(B961="","",YEAR(B961)&amp;"/"&amp;TEXT(ROW()-4,"0000"))</f>
        <v/>
      </c>
      <c r="B961" s="8"/>
      <c r="C961" s="7" t="str">
        <f aca="false">IF(B961="","",INT((B961-DATE(YEAR(B961-WEEKDAY(B961-1)+4),1,3)+WEEKDAY(DATE(YEAR(B961-WEEKDAY(B961-1)+4),1,3))+5)/7))</f>
        <v/>
      </c>
      <c r="D961" s="9" t="str">
        <f aca="false">IF(B961="","",B961-WEEKDAY(B961,2)+1)</f>
        <v/>
      </c>
      <c r="E961" s="10"/>
      <c r="F961" s="8"/>
      <c r="G961" s="11"/>
      <c r="H961" s="10"/>
      <c r="I961" s="11"/>
      <c r="J961" s="10"/>
      <c r="K961" s="10"/>
      <c r="L961" s="10"/>
      <c r="M961" s="11"/>
      <c r="N961" s="8"/>
      <c r="O961" s="7" t="str">
        <f aca="false">IF(L961="","",IFERROR(VLOOKUP(L961,Paramètres!$F$5:$G$8,2,FALSE()),""))</f>
        <v/>
      </c>
      <c r="P961" s="9" t="str">
        <f aca="false">IF(OR(B961="",O961=""),"",IF(N961="",B961,N961)+O961)</f>
        <v/>
      </c>
      <c r="Q961" s="10"/>
      <c r="R961" s="8"/>
      <c r="S961" s="7" t="str">
        <f aca="false">IF(OR(B961="",R961=""),"",R961-B961)</f>
        <v/>
      </c>
      <c r="T961" s="7" t="str">
        <f aca="true">IF(OR(B961="",P961=""),"",IF(R961&lt;&gt;"",IF(R961&gt;P961,"Traité hors délai","Non"),IF(Q961="Classé sans suite","Non",IF(TODAY()&gt;P961,"OUI","Non"))))</f>
        <v/>
      </c>
      <c r="U961" s="11"/>
    </row>
    <row r="962" customFormat="false" ht="15" hidden="false" customHeight="false" outlineLevel="0" collapsed="false">
      <c r="A962" s="7" t="str">
        <f aca="false">IF(B962="","",YEAR(B962)&amp;"/"&amp;TEXT(ROW()-4,"0000"))</f>
        <v/>
      </c>
      <c r="B962" s="8"/>
      <c r="C962" s="7" t="str">
        <f aca="false">IF(B962="","",INT((B962-DATE(YEAR(B962-WEEKDAY(B962-1)+4),1,3)+WEEKDAY(DATE(YEAR(B962-WEEKDAY(B962-1)+4),1,3))+5)/7))</f>
        <v/>
      </c>
      <c r="D962" s="9" t="str">
        <f aca="false">IF(B962="","",B962-WEEKDAY(B962,2)+1)</f>
        <v/>
      </c>
      <c r="E962" s="10"/>
      <c r="F962" s="8"/>
      <c r="G962" s="11"/>
      <c r="H962" s="10"/>
      <c r="I962" s="11"/>
      <c r="J962" s="10"/>
      <c r="K962" s="10"/>
      <c r="L962" s="10"/>
      <c r="M962" s="11"/>
      <c r="N962" s="8"/>
      <c r="O962" s="7" t="str">
        <f aca="false">IF(L962="","",IFERROR(VLOOKUP(L962,Paramètres!$F$5:$G$8,2,FALSE()),""))</f>
        <v/>
      </c>
      <c r="P962" s="9" t="str">
        <f aca="false">IF(OR(B962="",O962=""),"",IF(N962="",B962,N962)+O962)</f>
        <v/>
      </c>
      <c r="Q962" s="10"/>
      <c r="R962" s="8"/>
      <c r="S962" s="7" t="str">
        <f aca="false">IF(OR(B962="",R962=""),"",R962-B962)</f>
        <v/>
      </c>
      <c r="T962" s="7" t="str">
        <f aca="true">IF(OR(B962="",P962=""),"",IF(R962&lt;&gt;"",IF(R962&gt;P962,"Traité hors délai","Non"),IF(Q962="Classé sans suite","Non",IF(TODAY()&gt;P962,"OUI","Non"))))</f>
        <v/>
      </c>
      <c r="U962" s="11"/>
    </row>
    <row r="963" customFormat="false" ht="15" hidden="false" customHeight="false" outlineLevel="0" collapsed="false">
      <c r="A963" s="7" t="str">
        <f aca="false">IF(B963="","",YEAR(B963)&amp;"/"&amp;TEXT(ROW()-4,"0000"))</f>
        <v/>
      </c>
      <c r="B963" s="8"/>
      <c r="C963" s="7" t="str">
        <f aca="false">IF(B963="","",INT((B963-DATE(YEAR(B963-WEEKDAY(B963-1)+4),1,3)+WEEKDAY(DATE(YEAR(B963-WEEKDAY(B963-1)+4),1,3))+5)/7))</f>
        <v/>
      </c>
      <c r="D963" s="9" t="str">
        <f aca="false">IF(B963="","",B963-WEEKDAY(B963,2)+1)</f>
        <v/>
      </c>
      <c r="E963" s="10"/>
      <c r="F963" s="8"/>
      <c r="G963" s="11"/>
      <c r="H963" s="10"/>
      <c r="I963" s="11"/>
      <c r="J963" s="10"/>
      <c r="K963" s="10"/>
      <c r="L963" s="10"/>
      <c r="M963" s="11"/>
      <c r="N963" s="8"/>
      <c r="O963" s="7" t="str">
        <f aca="false">IF(L963="","",IFERROR(VLOOKUP(L963,Paramètres!$F$5:$G$8,2,FALSE()),""))</f>
        <v/>
      </c>
      <c r="P963" s="9" t="str">
        <f aca="false">IF(OR(B963="",O963=""),"",IF(N963="",B963,N963)+O963)</f>
        <v/>
      </c>
      <c r="Q963" s="10"/>
      <c r="R963" s="8"/>
      <c r="S963" s="7" t="str">
        <f aca="false">IF(OR(B963="",R963=""),"",R963-B963)</f>
        <v/>
      </c>
      <c r="T963" s="7" t="str">
        <f aca="true">IF(OR(B963="",P963=""),"",IF(R963&lt;&gt;"",IF(R963&gt;P963,"Traité hors délai","Non"),IF(Q963="Classé sans suite","Non",IF(TODAY()&gt;P963,"OUI","Non"))))</f>
        <v/>
      </c>
      <c r="U963" s="11"/>
    </row>
    <row r="964" customFormat="false" ht="15" hidden="false" customHeight="false" outlineLevel="0" collapsed="false">
      <c r="A964" s="7" t="str">
        <f aca="false">IF(B964="","",YEAR(B964)&amp;"/"&amp;TEXT(ROW()-4,"0000"))</f>
        <v/>
      </c>
      <c r="B964" s="8"/>
      <c r="C964" s="7" t="str">
        <f aca="false">IF(B964="","",INT((B964-DATE(YEAR(B964-WEEKDAY(B964-1)+4),1,3)+WEEKDAY(DATE(YEAR(B964-WEEKDAY(B964-1)+4),1,3))+5)/7))</f>
        <v/>
      </c>
      <c r="D964" s="9" t="str">
        <f aca="false">IF(B964="","",B964-WEEKDAY(B964,2)+1)</f>
        <v/>
      </c>
      <c r="E964" s="10"/>
      <c r="F964" s="8"/>
      <c r="G964" s="11"/>
      <c r="H964" s="10"/>
      <c r="I964" s="11"/>
      <c r="J964" s="10"/>
      <c r="K964" s="10"/>
      <c r="L964" s="10"/>
      <c r="M964" s="11"/>
      <c r="N964" s="8"/>
      <c r="O964" s="7" t="str">
        <f aca="false">IF(L964="","",IFERROR(VLOOKUP(L964,Paramètres!$F$5:$G$8,2,FALSE()),""))</f>
        <v/>
      </c>
      <c r="P964" s="9" t="str">
        <f aca="false">IF(OR(B964="",O964=""),"",IF(N964="",B964,N964)+O964)</f>
        <v/>
      </c>
      <c r="Q964" s="10"/>
      <c r="R964" s="8"/>
      <c r="S964" s="7" t="str">
        <f aca="false">IF(OR(B964="",R964=""),"",R964-B964)</f>
        <v/>
      </c>
      <c r="T964" s="7" t="str">
        <f aca="true">IF(OR(B964="",P964=""),"",IF(R964&lt;&gt;"",IF(R964&gt;P964,"Traité hors délai","Non"),IF(Q964="Classé sans suite","Non",IF(TODAY()&gt;P964,"OUI","Non"))))</f>
        <v/>
      </c>
      <c r="U964" s="11"/>
    </row>
    <row r="965" customFormat="false" ht="15" hidden="false" customHeight="false" outlineLevel="0" collapsed="false">
      <c r="A965" s="7" t="str">
        <f aca="false">IF(B965="","",YEAR(B965)&amp;"/"&amp;TEXT(ROW()-4,"0000"))</f>
        <v/>
      </c>
      <c r="B965" s="8"/>
      <c r="C965" s="7" t="str">
        <f aca="false">IF(B965="","",INT((B965-DATE(YEAR(B965-WEEKDAY(B965-1)+4),1,3)+WEEKDAY(DATE(YEAR(B965-WEEKDAY(B965-1)+4),1,3))+5)/7))</f>
        <v/>
      </c>
      <c r="D965" s="9" t="str">
        <f aca="false">IF(B965="","",B965-WEEKDAY(B965,2)+1)</f>
        <v/>
      </c>
      <c r="E965" s="10"/>
      <c r="F965" s="8"/>
      <c r="G965" s="11"/>
      <c r="H965" s="10"/>
      <c r="I965" s="11"/>
      <c r="J965" s="10"/>
      <c r="K965" s="10"/>
      <c r="L965" s="10"/>
      <c r="M965" s="11"/>
      <c r="N965" s="8"/>
      <c r="O965" s="7" t="str">
        <f aca="false">IF(L965="","",IFERROR(VLOOKUP(L965,Paramètres!$F$5:$G$8,2,FALSE()),""))</f>
        <v/>
      </c>
      <c r="P965" s="9" t="str">
        <f aca="false">IF(OR(B965="",O965=""),"",IF(N965="",B965,N965)+O965)</f>
        <v/>
      </c>
      <c r="Q965" s="10"/>
      <c r="R965" s="8"/>
      <c r="S965" s="7" t="str">
        <f aca="false">IF(OR(B965="",R965=""),"",R965-B965)</f>
        <v/>
      </c>
      <c r="T965" s="7" t="str">
        <f aca="true">IF(OR(B965="",P965=""),"",IF(R965&lt;&gt;"",IF(R965&gt;P965,"Traité hors délai","Non"),IF(Q965="Classé sans suite","Non",IF(TODAY()&gt;P965,"OUI","Non"))))</f>
        <v/>
      </c>
      <c r="U965" s="11"/>
    </row>
    <row r="966" customFormat="false" ht="15" hidden="false" customHeight="false" outlineLevel="0" collapsed="false">
      <c r="A966" s="7" t="str">
        <f aca="false">IF(B966="","",YEAR(B966)&amp;"/"&amp;TEXT(ROW()-4,"0000"))</f>
        <v/>
      </c>
      <c r="B966" s="8"/>
      <c r="C966" s="7" t="str">
        <f aca="false">IF(B966="","",INT((B966-DATE(YEAR(B966-WEEKDAY(B966-1)+4),1,3)+WEEKDAY(DATE(YEAR(B966-WEEKDAY(B966-1)+4),1,3))+5)/7))</f>
        <v/>
      </c>
      <c r="D966" s="9" t="str">
        <f aca="false">IF(B966="","",B966-WEEKDAY(B966,2)+1)</f>
        <v/>
      </c>
      <c r="E966" s="10"/>
      <c r="F966" s="8"/>
      <c r="G966" s="11"/>
      <c r="H966" s="10"/>
      <c r="I966" s="11"/>
      <c r="J966" s="10"/>
      <c r="K966" s="10"/>
      <c r="L966" s="10"/>
      <c r="M966" s="11"/>
      <c r="N966" s="8"/>
      <c r="O966" s="7" t="str">
        <f aca="false">IF(L966="","",IFERROR(VLOOKUP(L966,Paramètres!$F$5:$G$8,2,FALSE()),""))</f>
        <v/>
      </c>
      <c r="P966" s="9" t="str">
        <f aca="false">IF(OR(B966="",O966=""),"",IF(N966="",B966,N966)+O966)</f>
        <v/>
      </c>
      <c r="Q966" s="10"/>
      <c r="R966" s="8"/>
      <c r="S966" s="7" t="str">
        <f aca="false">IF(OR(B966="",R966=""),"",R966-B966)</f>
        <v/>
      </c>
      <c r="T966" s="7" t="str">
        <f aca="true">IF(OR(B966="",P966=""),"",IF(R966&lt;&gt;"",IF(R966&gt;P966,"Traité hors délai","Non"),IF(Q966="Classé sans suite","Non",IF(TODAY()&gt;P966,"OUI","Non"))))</f>
        <v/>
      </c>
      <c r="U966" s="11"/>
    </row>
    <row r="967" customFormat="false" ht="15" hidden="false" customHeight="false" outlineLevel="0" collapsed="false">
      <c r="A967" s="7" t="str">
        <f aca="false">IF(B967="","",YEAR(B967)&amp;"/"&amp;TEXT(ROW()-4,"0000"))</f>
        <v/>
      </c>
      <c r="B967" s="8"/>
      <c r="C967" s="7" t="str">
        <f aca="false">IF(B967="","",INT((B967-DATE(YEAR(B967-WEEKDAY(B967-1)+4),1,3)+WEEKDAY(DATE(YEAR(B967-WEEKDAY(B967-1)+4),1,3))+5)/7))</f>
        <v/>
      </c>
      <c r="D967" s="9" t="str">
        <f aca="false">IF(B967="","",B967-WEEKDAY(B967,2)+1)</f>
        <v/>
      </c>
      <c r="E967" s="10"/>
      <c r="F967" s="8"/>
      <c r="G967" s="11"/>
      <c r="H967" s="10"/>
      <c r="I967" s="11"/>
      <c r="J967" s="10"/>
      <c r="K967" s="10"/>
      <c r="L967" s="10"/>
      <c r="M967" s="11"/>
      <c r="N967" s="8"/>
      <c r="O967" s="7" t="str">
        <f aca="false">IF(L967="","",IFERROR(VLOOKUP(L967,Paramètres!$F$5:$G$8,2,FALSE()),""))</f>
        <v/>
      </c>
      <c r="P967" s="9" t="str">
        <f aca="false">IF(OR(B967="",O967=""),"",IF(N967="",B967,N967)+O967)</f>
        <v/>
      </c>
      <c r="Q967" s="10"/>
      <c r="R967" s="8"/>
      <c r="S967" s="7" t="str">
        <f aca="false">IF(OR(B967="",R967=""),"",R967-B967)</f>
        <v/>
      </c>
      <c r="T967" s="7" t="str">
        <f aca="true">IF(OR(B967="",P967=""),"",IF(R967&lt;&gt;"",IF(R967&gt;P967,"Traité hors délai","Non"),IF(Q967="Classé sans suite","Non",IF(TODAY()&gt;P967,"OUI","Non"))))</f>
        <v/>
      </c>
      <c r="U967" s="11"/>
    </row>
    <row r="968" customFormat="false" ht="15" hidden="false" customHeight="false" outlineLevel="0" collapsed="false">
      <c r="A968" s="7" t="str">
        <f aca="false">IF(B968="","",YEAR(B968)&amp;"/"&amp;TEXT(ROW()-4,"0000"))</f>
        <v/>
      </c>
      <c r="B968" s="8"/>
      <c r="C968" s="7" t="str">
        <f aca="false">IF(B968="","",INT((B968-DATE(YEAR(B968-WEEKDAY(B968-1)+4),1,3)+WEEKDAY(DATE(YEAR(B968-WEEKDAY(B968-1)+4),1,3))+5)/7))</f>
        <v/>
      </c>
      <c r="D968" s="9" t="str">
        <f aca="false">IF(B968="","",B968-WEEKDAY(B968,2)+1)</f>
        <v/>
      </c>
      <c r="E968" s="10"/>
      <c r="F968" s="8"/>
      <c r="G968" s="11"/>
      <c r="H968" s="10"/>
      <c r="I968" s="11"/>
      <c r="J968" s="10"/>
      <c r="K968" s="10"/>
      <c r="L968" s="10"/>
      <c r="M968" s="11"/>
      <c r="N968" s="8"/>
      <c r="O968" s="7" t="str">
        <f aca="false">IF(L968="","",IFERROR(VLOOKUP(L968,Paramètres!$F$5:$G$8,2,FALSE()),""))</f>
        <v/>
      </c>
      <c r="P968" s="9" t="str">
        <f aca="false">IF(OR(B968="",O968=""),"",IF(N968="",B968,N968)+O968)</f>
        <v/>
      </c>
      <c r="Q968" s="10"/>
      <c r="R968" s="8"/>
      <c r="S968" s="7" t="str">
        <f aca="false">IF(OR(B968="",R968=""),"",R968-B968)</f>
        <v/>
      </c>
      <c r="T968" s="7" t="str">
        <f aca="true">IF(OR(B968="",P968=""),"",IF(R968&lt;&gt;"",IF(R968&gt;P968,"Traité hors délai","Non"),IF(Q968="Classé sans suite","Non",IF(TODAY()&gt;P968,"OUI","Non"))))</f>
        <v/>
      </c>
      <c r="U968" s="11"/>
    </row>
    <row r="969" customFormat="false" ht="15" hidden="false" customHeight="false" outlineLevel="0" collapsed="false">
      <c r="A969" s="7" t="str">
        <f aca="false">IF(B969="","",YEAR(B969)&amp;"/"&amp;TEXT(ROW()-4,"0000"))</f>
        <v/>
      </c>
      <c r="B969" s="8"/>
      <c r="C969" s="7" t="str">
        <f aca="false">IF(B969="","",INT((B969-DATE(YEAR(B969-WEEKDAY(B969-1)+4),1,3)+WEEKDAY(DATE(YEAR(B969-WEEKDAY(B969-1)+4),1,3))+5)/7))</f>
        <v/>
      </c>
      <c r="D969" s="9" t="str">
        <f aca="false">IF(B969="","",B969-WEEKDAY(B969,2)+1)</f>
        <v/>
      </c>
      <c r="E969" s="10"/>
      <c r="F969" s="8"/>
      <c r="G969" s="11"/>
      <c r="H969" s="10"/>
      <c r="I969" s="11"/>
      <c r="J969" s="10"/>
      <c r="K969" s="10"/>
      <c r="L969" s="10"/>
      <c r="M969" s="11"/>
      <c r="N969" s="8"/>
      <c r="O969" s="7" t="str">
        <f aca="false">IF(L969="","",IFERROR(VLOOKUP(L969,Paramètres!$F$5:$G$8,2,FALSE()),""))</f>
        <v/>
      </c>
      <c r="P969" s="9" t="str">
        <f aca="false">IF(OR(B969="",O969=""),"",IF(N969="",B969,N969)+O969)</f>
        <v/>
      </c>
      <c r="Q969" s="10"/>
      <c r="R969" s="8"/>
      <c r="S969" s="7" t="str">
        <f aca="false">IF(OR(B969="",R969=""),"",R969-B969)</f>
        <v/>
      </c>
      <c r="T969" s="7" t="str">
        <f aca="true">IF(OR(B969="",P969=""),"",IF(R969&lt;&gt;"",IF(R969&gt;P969,"Traité hors délai","Non"),IF(Q969="Classé sans suite","Non",IF(TODAY()&gt;P969,"OUI","Non"))))</f>
        <v/>
      </c>
      <c r="U969" s="11"/>
    </row>
    <row r="970" customFormat="false" ht="15" hidden="false" customHeight="false" outlineLevel="0" collapsed="false">
      <c r="A970" s="7" t="str">
        <f aca="false">IF(B970="","",YEAR(B970)&amp;"/"&amp;TEXT(ROW()-4,"0000"))</f>
        <v/>
      </c>
      <c r="B970" s="8"/>
      <c r="C970" s="7" t="str">
        <f aca="false">IF(B970="","",INT((B970-DATE(YEAR(B970-WEEKDAY(B970-1)+4),1,3)+WEEKDAY(DATE(YEAR(B970-WEEKDAY(B970-1)+4),1,3))+5)/7))</f>
        <v/>
      </c>
      <c r="D970" s="9" t="str">
        <f aca="false">IF(B970="","",B970-WEEKDAY(B970,2)+1)</f>
        <v/>
      </c>
      <c r="E970" s="10"/>
      <c r="F970" s="8"/>
      <c r="G970" s="11"/>
      <c r="H970" s="10"/>
      <c r="I970" s="11"/>
      <c r="J970" s="10"/>
      <c r="K970" s="10"/>
      <c r="L970" s="10"/>
      <c r="M970" s="11"/>
      <c r="N970" s="8"/>
      <c r="O970" s="7" t="str">
        <f aca="false">IF(L970="","",IFERROR(VLOOKUP(L970,Paramètres!$F$5:$G$8,2,FALSE()),""))</f>
        <v/>
      </c>
      <c r="P970" s="9" t="str">
        <f aca="false">IF(OR(B970="",O970=""),"",IF(N970="",B970,N970)+O970)</f>
        <v/>
      </c>
      <c r="Q970" s="10"/>
      <c r="R970" s="8"/>
      <c r="S970" s="7" t="str">
        <f aca="false">IF(OR(B970="",R970=""),"",R970-B970)</f>
        <v/>
      </c>
      <c r="T970" s="7" t="str">
        <f aca="true">IF(OR(B970="",P970=""),"",IF(R970&lt;&gt;"",IF(R970&gt;P970,"Traité hors délai","Non"),IF(Q970="Classé sans suite","Non",IF(TODAY()&gt;P970,"OUI","Non"))))</f>
        <v/>
      </c>
      <c r="U970" s="11"/>
    </row>
    <row r="971" customFormat="false" ht="15" hidden="false" customHeight="false" outlineLevel="0" collapsed="false">
      <c r="A971" s="7" t="str">
        <f aca="false">IF(B971="","",YEAR(B971)&amp;"/"&amp;TEXT(ROW()-4,"0000"))</f>
        <v/>
      </c>
      <c r="B971" s="8"/>
      <c r="C971" s="7" t="str">
        <f aca="false">IF(B971="","",INT((B971-DATE(YEAR(B971-WEEKDAY(B971-1)+4),1,3)+WEEKDAY(DATE(YEAR(B971-WEEKDAY(B971-1)+4),1,3))+5)/7))</f>
        <v/>
      </c>
      <c r="D971" s="9" t="str">
        <f aca="false">IF(B971="","",B971-WEEKDAY(B971,2)+1)</f>
        <v/>
      </c>
      <c r="E971" s="10"/>
      <c r="F971" s="8"/>
      <c r="G971" s="11"/>
      <c r="H971" s="10"/>
      <c r="I971" s="11"/>
      <c r="J971" s="10"/>
      <c r="K971" s="10"/>
      <c r="L971" s="10"/>
      <c r="M971" s="11"/>
      <c r="N971" s="8"/>
      <c r="O971" s="7" t="str">
        <f aca="false">IF(L971="","",IFERROR(VLOOKUP(L971,Paramètres!$F$5:$G$8,2,FALSE()),""))</f>
        <v/>
      </c>
      <c r="P971" s="9" t="str">
        <f aca="false">IF(OR(B971="",O971=""),"",IF(N971="",B971,N971)+O971)</f>
        <v/>
      </c>
      <c r="Q971" s="10"/>
      <c r="R971" s="8"/>
      <c r="S971" s="7" t="str">
        <f aca="false">IF(OR(B971="",R971=""),"",R971-B971)</f>
        <v/>
      </c>
      <c r="T971" s="7" t="str">
        <f aca="true">IF(OR(B971="",P971=""),"",IF(R971&lt;&gt;"",IF(R971&gt;P971,"Traité hors délai","Non"),IF(Q971="Classé sans suite","Non",IF(TODAY()&gt;P971,"OUI","Non"))))</f>
        <v/>
      </c>
      <c r="U971" s="11"/>
    </row>
    <row r="972" customFormat="false" ht="15" hidden="false" customHeight="false" outlineLevel="0" collapsed="false">
      <c r="A972" s="7" t="str">
        <f aca="false">IF(B972="","",YEAR(B972)&amp;"/"&amp;TEXT(ROW()-4,"0000"))</f>
        <v/>
      </c>
      <c r="B972" s="8"/>
      <c r="C972" s="7" t="str">
        <f aca="false">IF(B972="","",INT((B972-DATE(YEAR(B972-WEEKDAY(B972-1)+4),1,3)+WEEKDAY(DATE(YEAR(B972-WEEKDAY(B972-1)+4),1,3))+5)/7))</f>
        <v/>
      </c>
      <c r="D972" s="9" t="str">
        <f aca="false">IF(B972="","",B972-WEEKDAY(B972,2)+1)</f>
        <v/>
      </c>
      <c r="E972" s="10"/>
      <c r="F972" s="8"/>
      <c r="G972" s="11"/>
      <c r="H972" s="10"/>
      <c r="I972" s="11"/>
      <c r="J972" s="10"/>
      <c r="K972" s="10"/>
      <c r="L972" s="10"/>
      <c r="M972" s="11"/>
      <c r="N972" s="8"/>
      <c r="O972" s="7" t="str">
        <f aca="false">IF(L972="","",IFERROR(VLOOKUP(L972,Paramètres!$F$5:$G$8,2,FALSE()),""))</f>
        <v/>
      </c>
      <c r="P972" s="9" t="str">
        <f aca="false">IF(OR(B972="",O972=""),"",IF(N972="",B972,N972)+O972)</f>
        <v/>
      </c>
      <c r="Q972" s="10"/>
      <c r="R972" s="8"/>
      <c r="S972" s="7" t="str">
        <f aca="false">IF(OR(B972="",R972=""),"",R972-B972)</f>
        <v/>
      </c>
      <c r="T972" s="7" t="str">
        <f aca="true">IF(OR(B972="",P972=""),"",IF(R972&lt;&gt;"",IF(R972&gt;P972,"Traité hors délai","Non"),IF(Q972="Classé sans suite","Non",IF(TODAY()&gt;P972,"OUI","Non"))))</f>
        <v/>
      </c>
      <c r="U972" s="11"/>
    </row>
    <row r="973" customFormat="false" ht="15" hidden="false" customHeight="false" outlineLevel="0" collapsed="false">
      <c r="A973" s="7" t="str">
        <f aca="false">IF(B973="","",YEAR(B973)&amp;"/"&amp;TEXT(ROW()-4,"0000"))</f>
        <v/>
      </c>
      <c r="B973" s="8"/>
      <c r="C973" s="7" t="str">
        <f aca="false">IF(B973="","",INT((B973-DATE(YEAR(B973-WEEKDAY(B973-1)+4),1,3)+WEEKDAY(DATE(YEAR(B973-WEEKDAY(B973-1)+4),1,3))+5)/7))</f>
        <v/>
      </c>
      <c r="D973" s="9" t="str">
        <f aca="false">IF(B973="","",B973-WEEKDAY(B973,2)+1)</f>
        <v/>
      </c>
      <c r="E973" s="10"/>
      <c r="F973" s="8"/>
      <c r="G973" s="11"/>
      <c r="H973" s="10"/>
      <c r="I973" s="11"/>
      <c r="J973" s="10"/>
      <c r="K973" s="10"/>
      <c r="L973" s="10"/>
      <c r="M973" s="11"/>
      <c r="N973" s="8"/>
      <c r="O973" s="7" t="str">
        <f aca="false">IF(L973="","",IFERROR(VLOOKUP(L973,Paramètres!$F$5:$G$8,2,FALSE()),""))</f>
        <v/>
      </c>
      <c r="P973" s="9" t="str">
        <f aca="false">IF(OR(B973="",O973=""),"",IF(N973="",B973,N973)+O973)</f>
        <v/>
      </c>
      <c r="Q973" s="10"/>
      <c r="R973" s="8"/>
      <c r="S973" s="7" t="str">
        <f aca="false">IF(OR(B973="",R973=""),"",R973-B973)</f>
        <v/>
      </c>
      <c r="T973" s="7" t="str">
        <f aca="true">IF(OR(B973="",P973=""),"",IF(R973&lt;&gt;"",IF(R973&gt;P973,"Traité hors délai","Non"),IF(Q973="Classé sans suite","Non",IF(TODAY()&gt;P973,"OUI","Non"))))</f>
        <v/>
      </c>
      <c r="U973" s="11"/>
    </row>
    <row r="974" customFormat="false" ht="15" hidden="false" customHeight="false" outlineLevel="0" collapsed="false">
      <c r="A974" s="7" t="str">
        <f aca="false">IF(B974="","",YEAR(B974)&amp;"/"&amp;TEXT(ROW()-4,"0000"))</f>
        <v/>
      </c>
      <c r="B974" s="8"/>
      <c r="C974" s="7" t="str">
        <f aca="false">IF(B974="","",INT((B974-DATE(YEAR(B974-WEEKDAY(B974-1)+4),1,3)+WEEKDAY(DATE(YEAR(B974-WEEKDAY(B974-1)+4),1,3))+5)/7))</f>
        <v/>
      </c>
      <c r="D974" s="9" t="str">
        <f aca="false">IF(B974="","",B974-WEEKDAY(B974,2)+1)</f>
        <v/>
      </c>
      <c r="E974" s="10"/>
      <c r="F974" s="8"/>
      <c r="G974" s="11"/>
      <c r="H974" s="10"/>
      <c r="I974" s="11"/>
      <c r="J974" s="10"/>
      <c r="K974" s="10"/>
      <c r="L974" s="10"/>
      <c r="M974" s="11"/>
      <c r="N974" s="8"/>
      <c r="O974" s="7" t="str">
        <f aca="false">IF(L974="","",IFERROR(VLOOKUP(L974,Paramètres!$F$5:$G$8,2,FALSE()),""))</f>
        <v/>
      </c>
      <c r="P974" s="9" t="str">
        <f aca="false">IF(OR(B974="",O974=""),"",IF(N974="",B974,N974)+O974)</f>
        <v/>
      </c>
      <c r="Q974" s="10"/>
      <c r="R974" s="8"/>
      <c r="S974" s="7" t="str">
        <f aca="false">IF(OR(B974="",R974=""),"",R974-B974)</f>
        <v/>
      </c>
      <c r="T974" s="7" t="str">
        <f aca="true">IF(OR(B974="",P974=""),"",IF(R974&lt;&gt;"",IF(R974&gt;P974,"Traité hors délai","Non"),IF(Q974="Classé sans suite","Non",IF(TODAY()&gt;P974,"OUI","Non"))))</f>
        <v/>
      </c>
      <c r="U974" s="11"/>
    </row>
    <row r="975" customFormat="false" ht="15" hidden="false" customHeight="false" outlineLevel="0" collapsed="false">
      <c r="A975" s="7" t="str">
        <f aca="false">IF(B975="","",YEAR(B975)&amp;"/"&amp;TEXT(ROW()-4,"0000"))</f>
        <v/>
      </c>
      <c r="B975" s="8"/>
      <c r="C975" s="7" t="str">
        <f aca="false">IF(B975="","",INT((B975-DATE(YEAR(B975-WEEKDAY(B975-1)+4),1,3)+WEEKDAY(DATE(YEAR(B975-WEEKDAY(B975-1)+4),1,3))+5)/7))</f>
        <v/>
      </c>
      <c r="D975" s="9" t="str">
        <f aca="false">IF(B975="","",B975-WEEKDAY(B975,2)+1)</f>
        <v/>
      </c>
      <c r="E975" s="10"/>
      <c r="F975" s="8"/>
      <c r="G975" s="11"/>
      <c r="H975" s="10"/>
      <c r="I975" s="11"/>
      <c r="J975" s="10"/>
      <c r="K975" s="10"/>
      <c r="L975" s="10"/>
      <c r="M975" s="11"/>
      <c r="N975" s="8"/>
      <c r="O975" s="7" t="str">
        <f aca="false">IF(L975="","",IFERROR(VLOOKUP(L975,Paramètres!$F$5:$G$8,2,FALSE()),""))</f>
        <v/>
      </c>
      <c r="P975" s="9" t="str">
        <f aca="false">IF(OR(B975="",O975=""),"",IF(N975="",B975,N975)+O975)</f>
        <v/>
      </c>
      <c r="Q975" s="10"/>
      <c r="R975" s="8"/>
      <c r="S975" s="7" t="str">
        <f aca="false">IF(OR(B975="",R975=""),"",R975-B975)</f>
        <v/>
      </c>
      <c r="T975" s="7" t="str">
        <f aca="true">IF(OR(B975="",P975=""),"",IF(R975&lt;&gt;"",IF(R975&gt;P975,"Traité hors délai","Non"),IF(Q975="Classé sans suite","Non",IF(TODAY()&gt;P975,"OUI","Non"))))</f>
        <v/>
      </c>
      <c r="U975" s="11"/>
    </row>
    <row r="976" customFormat="false" ht="15" hidden="false" customHeight="false" outlineLevel="0" collapsed="false">
      <c r="A976" s="7" t="str">
        <f aca="false">IF(B976="","",YEAR(B976)&amp;"/"&amp;TEXT(ROW()-4,"0000"))</f>
        <v/>
      </c>
      <c r="B976" s="8"/>
      <c r="C976" s="7" t="str">
        <f aca="false">IF(B976="","",INT((B976-DATE(YEAR(B976-WEEKDAY(B976-1)+4),1,3)+WEEKDAY(DATE(YEAR(B976-WEEKDAY(B976-1)+4),1,3))+5)/7))</f>
        <v/>
      </c>
      <c r="D976" s="9" t="str">
        <f aca="false">IF(B976="","",B976-WEEKDAY(B976,2)+1)</f>
        <v/>
      </c>
      <c r="E976" s="10"/>
      <c r="F976" s="8"/>
      <c r="G976" s="11"/>
      <c r="H976" s="10"/>
      <c r="I976" s="11"/>
      <c r="J976" s="10"/>
      <c r="K976" s="10"/>
      <c r="L976" s="10"/>
      <c r="M976" s="11"/>
      <c r="N976" s="8"/>
      <c r="O976" s="7" t="str">
        <f aca="false">IF(L976="","",IFERROR(VLOOKUP(L976,Paramètres!$F$5:$G$8,2,FALSE()),""))</f>
        <v/>
      </c>
      <c r="P976" s="9" t="str">
        <f aca="false">IF(OR(B976="",O976=""),"",IF(N976="",B976,N976)+O976)</f>
        <v/>
      </c>
      <c r="Q976" s="10"/>
      <c r="R976" s="8"/>
      <c r="S976" s="7" t="str">
        <f aca="false">IF(OR(B976="",R976=""),"",R976-B976)</f>
        <v/>
      </c>
      <c r="T976" s="7" t="str">
        <f aca="true">IF(OR(B976="",P976=""),"",IF(R976&lt;&gt;"",IF(R976&gt;P976,"Traité hors délai","Non"),IF(Q976="Classé sans suite","Non",IF(TODAY()&gt;P976,"OUI","Non"))))</f>
        <v/>
      </c>
      <c r="U976" s="11"/>
    </row>
    <row r="977" customFormat="false" ht="15" hidden="false" customHeight="false" outlineLevel="0" collapsed="false">
      <c r="A977" s="7" t="str">
        <f aca="false">IF(B977="","",YEAR(B977)&amp;"/"&amp;TEXT(ROW()-4,"0000"))</f>
        <v/>
      </c>
      <c r="B977" s="8"/>
      <c r="C977" s="7" t="str">
        <f aca="false">IF(B977="","",INT((B977-DATE(YEAR(B977-WEEKDAY(B977-1)+4),1,3)+WEEKDAY(DATE(YEAR(B977-WEEKDAY(B977-1)+4),1,3))+5)/7))</f>
        <v/>
      </c>
      <c r="D977" s="9" t="str">
        <f aca="false">IF(B977="","",B977-WEEKDAY(B977,2)+1)</f>
        <v/>
      </c>
      <c r="E977" s="10"/>
      <c r="F977" s="8"/>
      <c r="G977" s="11"/>
      <c r="H977" s="10"/>
      <c r="I977" s="11"/>
      <c r="J977" s="10"/>
      <c r="K977" s="10"/>
      <c r="L977" s="10"/>
      <c r="M977" s="11"/>
      <c r="N977" s="8"/>
      <c r="O977" s="7" t="str">
        <f aca="false">IF(L977="","",IFERROR(VLOOKUP(L977,Paramètres!$F$5:$G$8,2,FALSE()),""))</f>
        <v/>
      </c>
      <c r="P977" s="9" t="str">
        <f aca="false">IF(OR(B977="",O977=""),"",IF(N977="",B977,N977)+O977)</f>
        <v/>
      </c>
      <c r="Q977" s="10"/>
      <c r="R977" s="8"/>
      <c r="S977" s="7" t="str">
        <f aca="false">IF(OR(B977="",R977=""),"",R977-B977)</f>
        <v/>
      </c>
      <c r="T977" s="7" t="str">
        <f aca="true">IF(OR(B977="",P977=""),"",IF(R977&lt;&gt;"",IF(R977&gt;P977,"Traité hors délai","Non"),IF(Q977="Classé sans suite","Non",IF(TODAY()&gt;P977,"OUI","Non"))))</f>
        <v/>
      </c>
      <c r="U977" s="11"/>
    </row>
    <row r="978" customFormat="false" ht="15" hidden="false" customHeight="false" outlineLevel="0" collapsed="false">
      <c r="A978" s="7" t="str">
        <f aca="false">IF(B978="","",YEAR(B978)&amp;"/"&amp;TEXT(ROW()-4,"0000"))</f>
        <v/>
      </c>
      <c r="B978" s="8"/>
      <c r="C978" s="7" t="str">
        <f aca="false">IF(B978="","",INT((B978-DATE(YEAR(B978-WEEKDAY(B978-1)+4),1,3)+WEEKDAY(DATE(YEAR(B978-WEEKDAY(B978-1)+4),1,3))+5)/7))</f>
        <v/>
      </c>
      <c r="D978" s="9" t="str">
        <f aca="false">IF(B978="","",B978-WEEKDAY(B978,2)+1)</f>
        <v/>
      </c>
      <c r="E978" s="10"/>
      <c r="F978" s="8"/>
      <c r="G978" s="11"/>
      <c r="H978" s="10"/>
      <c r="I978" s="11"/>
      <c r="J978" s="10"/>
      <c r="K978" s="10"/>
      <c r="L978" s="10"/>
      <c r="M978" s="11"/>
      <c r="N978" s="8"/>
      <c r="O978" s="7" t="str">
        <f aca="false">IF(L978="","",IFERROR(VLOOKUP(L978,Paramètres!$F$5:$G$8,2,FALSE()),""))</f>
        <v/>
      </c>
      <c r="P978" s="9" t="str">
        <f aca="false">IF(OR(B978="",O978=""),"",IF(N978="",B978,N978)+O978)</f>
        <v/>
      </c>
      <c r="Q978" s="10"/>
      <c r="R978" s="8"/>
      <c r="S978" s="7" t="str">
        <f aca="false">IF(OR(B978="",R978=""),"",R978-B978)</f>
        <v/>
      </c>
      <c r="T978" s="7" t="str">
        <f aca="true">IF(OR(B978="",P978=""),"",IF(R978&lt;&gt;"",IF(R978&gt;P978,"Traité hors délai","Non"),IF(Q978="Classé sans suite","Non",IF(TODAY()&gt;P978,"OUI","Non"))))</f>
        <v/>
      </c>
      <c r="U978" s="11"/>
    </row>
    <row r="979" customFormat="false" ht="15" hidden="false" customHeight="false" outlineLevel="0" collapsed="false">
      <c r="A979" s="7" t="str">
        <f aca="false">IF(B979="","",YEAR(B979)&amp;"/"&amp;TEXT(ROW()-4,"0000"))</f>
        <v/>
      </c>
      <c r="B979" s="8"/>
      <c r="C979" s="7" t="str">
        <f aca="false">IF(B979="","",INT((B979-DATE(YEAR(B979-WEEKDAY(B979-1)+4),1,3)+WEEKDAY(DATE(YEAR(B979-WEEKDAY(B979-1)+4),1,3))+5)/7))</f>
        <v/>
      </c>
      <c r="D979" s="9" t="str">
        <f aca="false">IF(B979="","",B979-WEEKDAY(B979,2)+1)</f>
        <v/>
      </c>
      <c r="E979" s="10"/>
      <c r="F979" s="8"/>
      <c r="G979" s="11"/>
      <c r="H979" s="10"/>
      <c r="I979" s="11"/>
      <c r="J979" s="10"/>
      <c r="K979" s="10"/>
      <c r="L979" s="10"/>
      <c r="M979" s="11"/>
      <c r="N979" s="8"/>
      <c r="O979" s="7" t="str">
        <f aca="false">IF(L979="","",IFERROR(VLOOKUP(L979,Paramètres!$F$5:$G$8,2,FALSE()),""))</f>
        <v/>
      </c>
      <c r="P979" s="9" t="str">
        <f aca="false">IF(OR(B979="",O979=""),"",IF(N979="",B979,N979)+O979)</f>
        <v/>
      </c>
      <c r="Q979" s="10"/>
      <c r="R979" s="8"/>
      <c r="S979" s="7" t="str">
        <f aca="false">IF(OR(B979="",R979=""),"",R979-B979)</f>
        <v/>
      </c>
      <c r="T979" s="7" t="str">
        <f aca="true">IF(OR(B979="",P979=""),"",IF(R979&lt;&gt;"",IF(R979&gt;P979,"Traité hors délai","Non"),IF(Q979="Classé sans suite","Non",IF(TODAY()&gt;P979,"OUI","Non"))))</f>
        <v/>
      </c>
      <c r="U979" s="11"/>
    </row>
    <row r="980" customFormat="false" ht="15" hidden="false" customHeight="false" outlineLevel="0" collapsed="false">
      <c r="A980" s="7" t="str">
        <f aca="false">IF(B980="","",YEAR(B980)&amp;"/"&amp;TEXT(ROW()-4,"0000"))</f>
        <v/>
      </c>
      <c r="B980" s="8"/>
      <c r="C980" s="7" t="str">
        <f aca="false">IF(B980="","",INT((B980-DATE(YEAR(B980-WEEKDAY(B980-1)+4),1,3)+WEEKDAY(DATE(YEAR(B980-WEEKDAY(B980-1)+4),1,3))+5)/7))</f>
        <v/>
      </c>
      <c r="D980" s="9" t="str">
        <f aca="false">IF(B980="","",B980-WEEKDAY(B980,2)+1)</f>
        <v/>
      </c>
      <c r="E980" s="10"/>
      <c r="F980" s="8"/>
      <c r="G980" s="11"/>
      <c r="H980" s="10"/>
      <c r="I980" s="11"/>
      <c r="J980" s="10"/>
      <c r="K980" s="10"/>
      <c r="L980" s="10"/>
      <c r="M980" s="11"/>
      <c r="N980" s="8"/>
      <c r="O980" s="7" t="str">
        <f aca="false">IF(L980="","",IFERROR(VLOOKUP(L980,Paramètres!$F$5:$G$8,2,FALSE()),""))</f>
        <v/>
      </c>
      <c r="P980" s="9" t="str">
        <f aca="false">IF(OR(B980="",O980=""),"",IF(N980="",B980,N980)+O980)</f>
        <v/>
      </c>
      <c r="Q980" s="10"/>
      <c r="R980" s="8"/>
      <c r="S980" s="7" t="str">
        <f aca="false">IF(OR(B980="",R980=""),"",R980-B980)</f>
        <v/>
      </c>
      <c r="T980" s="7" t="str">
        <f aca="true">IF(OR(B980="",P980=""),"",IF(R980&lt;&gt;"",IF(R980&gt;P980,"Traité hors délai","Non"),IF(Q980="Classé sans suite","Non",IF(TODAY()&gt;P980,"OUI","Non"))))</f>
        <v/>
      </c>
      <c r="U980" s="11"/>
    </row>
    <row r="981" customFormat="false" ht="15" hidden="false" customHeight="false" outlineLevel="0" collapsed="false">
      <c r="A981" s="7" t="str">
        <f aca="false">IF(B981="","",YEAR(B981)&amp;"/"&amp;TEXT(ROW()-4,"0000"))</f>
        <v/>
      </c>
      <c r="B981" s="8"/>
      <c r="C981" s="7" t="str">
        <f aca="false">IF(B981="","",INT((B981-DATE(YEAR(B981-WEEKDAY(B981-1)+4),1,3)+WEEKDAY(DATE(YEAR(B981-WEEKDAY(B981-1)+4),1,3))+5)/7))</f>
        <v/>
      </c>
      <c r="D981" s="9" t="str">
        <f aca="false">IF(B981="","",B981-WEEKDAY(B981,2)+1)</f>
        <v/>
      </c>
      <c r="E981" s="10"/>
      <c r="F981" s="8"/>
      <c r="G981" s="11"/>
      <c r="H981" s="10"/>
      <c r="I981" s="11"/>
      <c r="J981" s="10"/>
      <c r="K981" s="10"/>
      <c r="L981" s="10"/>
      <c r="M981" s="11"/>
      <c r="N981" s="8"/>
      <c r="O981" s="7" t="str">
        <f aca="false">IF(L981="","",IFERROR(VLOOKUP(L981,Paramètres!$F$5:$G$8,2,FALSE()),""))</f>
        <v/>
      </c>
      <c r="P981" s="9" t="str">
        <f aca="false">IF(OR(B981="",O981=""),"",IF(N981="",B981,N981)+O981)</f>
        <v/>
      </c>
      <c r="Q981" s="10"/>
      <c r="R981" s="8"/>
      <c r="S981" s="7" t="str">
        <f aca="false">IF(OR(B981="",R981=""),"",R981-B981)</f>
        <v/>
      </c>
      <c r="T981" s="7" t="str">
        <f aca="true">IF(OR(B981="",P981=""),"",IF(R981&lt;&gt;"",IF(R981&gt;P981,"Traité hors délai","Non"),IF(Q981="Classé sans suite","Non",IF(TODAY()&gt;P981,"OUI","Non"))))</f>
        <v/>
      </c>
      <c r="U981" s="11"/>
    </row>
    <row r="982" customFormat="false" ht="15" hidden="false" customHeight="false" outlineLevel="0" collapsed="false">
      <c r="A982" s="7" t="str">
        <f aca="false">IF(B982="","",YEAR(B982)&amp;"/"&amp;TEXT(ROW()-4,"0000"))</f>
        <v/>
      </c>
      <c r="B982" s="8"/>
      <c r="C982" s="7" t="str">
        <f aca="false">IF(B982="","",INT((B982-DATE(YEAR(B982-WEEKDAY(B982-1)+4),1,3)+WEEKDAY(DATE(YEAR(B982-WEEKDAY(B982-1)+4),1,3))+5)/7))</f>
        <v/>
      </c>
      <c r="D982" s="9" t="str">
        <f aca="false">IF(B982="","",B982-WEEKDAY(B982,2)+1)</f>
        <v/>
      </c>
      <c r="E982" s="10"/>
      <c r="F982" s="8"/>
      <c r="G982" s="11"/>
      <c r="H982" s="10"/>
      <c r="I982" s="11"/>
      <c r="J982" s="10"/>
      <c r="K982" s="10"/>
      <c r="L982" s="10"/>
      <c r="M982" s="11"/>
      <c r="N982" s="8"/>
      <c r="O982" s="7" t="str">
        <f aca="false">IF(L982="","",IFERROR(VLOOKUP(L982,Paramètres!$F$5:$G$8,2,FALSE()),""))</f>
        <v/>
      </c>
      <c r="P982" s="9" t="str">
        <f aca="false">IF(OR(B982="",O982=""),"",IF(N982="",B982,N982)+O982)</f>
        <v/>
      </c>
      <c r="Q982" s="10"/>
      <c r="R982" s="8"/>
      <c r="S982" s="7" t="str">
        <f aca="false">IF(OR(B982="",R982=""),"",R982-B982)</f>
        <v/>
      </c>
      <c r="T982" s="7" t="str">
        <f aca="true">IF(OR(B982="",P982=""),"",IF(R982&lt;&gt;"",IF(R982&gt;P982,"Traité hors délai","Non"),IF(Q982="Classé sans suite","Non",IF(TODAY()&gt;P982,"OUI","Non"))))</f>
        <v/>
      </c>
      <c r="U982" s="11"/>
    </row>
    <row r="983" customFormat="false" ht="15" hidden="false" customHeight="false" outlineLevel="0" collapsed="false">
      <c r="A983" s="7" t="str">
        <f aca="false">IF(B983="","",YEAR(B983)&amp;"/"&amp;TEXT(ROW()-4,"0000"))</f>
        <v/>
      </c>
      <c r="B983" s="8"/>
      <c r="C983" s="7" t="str">
        <f aca="false">IF(B983="","",INT((B983-DATE(YEAR(B983-WEEKDAY(B983-1)+4),1,3)+WEEKDAY(DATE(YEAR(B983-WEEKDAY(B983-1)+4),1,3))+5)/7))</f>
        <v/>
      </c>
      <c r="D983" s="9" t="str">
        <f aca="false">IF(B983="","",B983-WEEKDAY(B983,2)+1)</f>
        <v/>
      </c>
      <c r="E983" s="10"/>
      <c r="F983" s="8"/>
      <c r="G983" s="11"/>
      <c r="H983" s="10"/>
      <c r="I983" s="11"/>
      <c r="J983" s="10"/>
      <c r="K983" s="10"/>
      <c r="L983" s="10"/>
      <c r="M983" s="11"/>
      <c r="N983" s="8"/>
      <c r="O983" s="7" t="str">
        <f aca="false">IF(L983="","",IFERROR(VLOOKUP(L983,Paramètres!$F$5:$G$8,2,FALSE()),""))</f>
        <v/>
      </c>
      <c r="P983" s="9" t="str">
        <f aca="false">IF(OR(B983="",O983=""),"",IF(N983="",B983,N983)+O983)</f>
        <v/>
      </c>
      <c r="Q983" s="10"/>
      <c r="R983" s="8"/>
      <c r="S983" s="7" t="str">
        <f aca="false">IF(OR(B983="",R983=""),"",R983-B983)</f>
        <v/>
      </c>
      <c r="T983" s="7" t="str">
        <f aca="true">IF(OR(B983="",P983=""),"",IF(R983&lt;&gt;"",IF(R983&gt;P983,"Traité hors délai","Non"),IF(Q983="Classé sans suite","Non",IF(TODAY()&gt;P983,"OUI","Non"))))</f>
        <v/>
      </c>
      <c r="U983" s="11"/>
    </row>
    <row r="984" customFormat="false" ht="15" hidden="false" customHeight="false" outlineLevel="0" collapsed="false">
      <c r="A984" s="7" t="str">
        <f aca="false">IF(B984="","",YEAR(B984)&amp;"/"&amp;TEXT(ROW()-4,"0000"))</f>
        <v/>
      </c>
      <c r="B984" s="8"/>
      <c r="C984" s="7" t="str">
        <f aca="false">IF(B984="","",INT((B984-DATE(YEAR(B984-WEEKDAY(B984-1)+4),1,3)+WEEKDAY(DATE(YEAR(B984-WEEKDAY(B984-1)+4),1,3))+5)/7))</f>
        <v/>
      </c>
      <c r="D984" s="9" t="str">
        <f aca="false">IF(B984="","",B984-WEEKDAY(B984,2)+1)</f>
        <v/>
      </c>
      <c r="E984" s="10"/>
      <c r="F984" s="8"/>
      <c r="G984" s="11"/>
      <c r="H984" s="10"/>
      <c r="I984" s="11"/>
      <c r="J984" s="10"/>
      <c r="K984" s="10"/>
      <c r="L984" s="10"/>
      <c r="M984" s="11"/>
      <c r="N984" s="8"/>
      <c r="O984" s="7" t="str">
        <f aca="false">IF(L984="","",IFERROR(VLOOKUP(L984,Paramètres!$F$5:$G$8,2,FALSE()),""))</f>
        <v/>
      </c>
      <c r="P984" s="9" t="str">
        <f aca="false">IF(OR(B984="",O984=""),"",IF(N984="",B984,N984)+O984)</f>
        <v/>
      </c>
      <c r="Q984" s="10"/>
      <c r="R984" s="8"/>
      <c r="S984" s="7" t="str">
        <f aca="false">IF(OR(B984="",R984=""),"",R984-B984)</f>
        <v/>
      </c>
      <c r="T984" s="7" t="str">
        <f aca="true">IF(OR(B984="",P984=""),"",IF(R984&lt;&gt;"",IF(R984&gt;P984,"Traité hors délai","Non"),IF(Q984="Classé sans suite","Non",IF(TODAY()&gt;P984,"OUI","Non"))))</f>
        <v/>
      </c>
      <c r="U984" s="11"/>
    </row>
    <row r="985" customFormat="false" ht="15" hidden="false" customHeight="false" outlineLevel="0" collapsed="false">
      <c r="A985" s="7" t="str">
        <f aca="false">IF(B985="","",YEAR(B985)&amp;"/"&amp;TEXT(ROW()-4,"0000"))</f>
        <v/>
      </c>
      <c r="B985" s="8"/>
      <c r="C985" s="7" t="str">
        <f aca="false">IF(B985="","",INT((B985-DATE(YEAR(B985-WEEKDAY(B985-1)+4),1,3)+WEEKDAY(DATE(YEAR(B985-WEEKDAY(B985-1)+4),1,3))+5)/7))</f>
        <v/>
      </c>
      <c r="D985" s="9" t="str">
        <f aca="false">IF(B985="","",B985-WEEKDAY(B985,2)+1)</f>
        <v/>
      </c>
      <c r="E985" s="10"/>
      <c r="F985" s="8"/>
      <c r="G985" s="11"/>
      <c r="H985" s="10"/>
      <c r="I985" s="11"/>
      <c r="J985" s="10"/>
      <c r="K985" s="10"/>
      <c r="L985" s="10"/>
      <c r="M985" s="11"/>
      <c r="N985" s="8"/>
      <c r="O985" s="7" t="str">
        <f aca="false">IF(L985="","",IFERROR(VLOOKUP(L985,Paramètres!$F$5:$G$8,2,FALSE()),""))</f>
        <v/>
      </c>
      <c r="P985" s="9" t="str">
        <f aca="false">IF(OR(B985="",O985=""),"",IF(N985="",B985,N985)+O985)</f>
        <v/>
      </c>
      <c r="Q985" s="10"/>
      <c r="R985" s="8"/>
      <c r="S985" s="7" t="str">
        <f aca="false">IF(OR(B985="",R985=""),"",R985-B985)</f>
        <v/>
      </c>
      <c r="T985" s="7" t="str">
        <f aca="true">IF(OR(B985="",P985=""),"",IF(R985&lt;&gt;"",IF(R985&gt;P985,"Traité hors délai","Non"),IF(Q985="Classé sans suite","Non",IF(TODAY()&gt;P985,"OUI","Non"))))</f>
        <v/>
      </c>
      <c r="U985" s="11"/>
    </row>
    <row r="986" customFormat="false" ht="15" hidden="false" customHeight="false" outlineLevel="0" collapsed="false">
      <c r="A986" s="7" t="str">
        <f aca="false">IF(B986="","",YEAR(B986)&amp;"/"&amp;TEXT(ROW()-4,"0000"))</f>
        <v/>
      </c>
      <c r="B986" s="8"/>
      <c r="C986" s="7" t="str">
        <f aca="false">IF(B986="","",INT((B986-DATE(YEAR(B986-WEEKDAY(B986-1)+4),1,3)+WEEKDAY(DATE(YEAR(B986-WEEKDAY(B986-1)+4),1,3))+5)/7))</f>
        <v/>
      </c>
      <c r="D986" s="9" t="str">
        <f aca="false">IF(B986="","",B986-WEEKDAY(B986,2)+1)</f>
        <v/>
      </c>
      <c r="E986" s="10"/>
      <c r="F986" s="8"/>
      <c r="G986" s="11"/>
      <c r="H986" s="10"/>
      <c r="I986" s="11"/>
      <c r="J986" s="10"/>
      <c r="K986" s="10"/>
      <c r="L986" s="10"/>
      <c r="M986" s="11"/>
      <c r="N986" s="8"/>
      <c r="O986" s="7" t="str">
        <f aca="false">IF(L986="","",IFERROR(VLOOKUP(L986,Paramètres!$F$5:$G$8,2,FALSE()),""))</f>
        <v/>
      </c>
      <c r="P986" s="9" t="str">
        <f aca="false">IF(OR(B986="",O986=""),"",IF(N986="",B986,N986)+O986)</f>
        <v/>
      </c>
      <c r="Q986" s="10"/>
      <c r="R986" s="8"/>
      <c r="S986" s="7" t="str">
        <f aca="false">IF(OR(B986="",R986=""),"",R986-B986)</f>
        <v/>
      </c>
      <c r="T986" s="7" t="str">
        <f aca="true">IF(OR(B986="",P986=""),"",IF(R986&lt;&gt;"",IF(R986&gt;P986,"Traité hors délai","Non"),IF(Q986="Classé sans suite","Non",IF(TODAY()&gt;P986,"OUI","Non"))))</f>
        <v/>
      </c>
      <c r="U986" s="11"/>
    </row>
    <row r="987" customFormat="false" ht="15" hidden="false" customHeight="false" outlineLevel="0" collapsed="false">
      <c r="A987" s="7" t="str">
        <f aca="false">IF(B987="","",YEAR(B987)&amp;"/"&amp;TEXT(ROW()-4,"0000"))</f>
        <v/>
      </c>
      <c r="B987" s="8"/>
      <c r="C987" s="7" t="str">
        <f aca="false">IF(B987="","",INT((B987-DATE(YEAR(B987-WEEKDAY(B987-1)+4),1,3)+WEEKDAY(DATE(YEAR(B987-WEEKDAY(B987-1)+4),1,3))+5)/7))</f>
        <v/>
      </c>
      <c r="D987" s="9" t="str">
        <f aca="false">IF(B987="","",B987-WEEKDAY(B987,2)+1)</f>
        <v/>
      </c>
      <c r="E987" s="10"/>
      <c r="F987" s="8"/>
      <c r="G987" s="11"/>
      <c r="H987" s="10"/>
      <c r="I987" s="11"/>
      <c r="J987" s="10"/>
      <c r="K987" s="10"/>
      <c r="L987" s="10"/>
      <c r="M987" s="11"/>
      <c r="N987" s="8"/>
      <c r="O987" s="7" t="str">
        <f aca="false">IF(L987="","",IFERROR(VLOOKUP(L987,Paramètres!$F$5:$G$8,2,FALSE()),""))</f>
        <v/>
      </c>
      <c r="P987" s="9" t="str">
        <f aca="false">IF(OR(B987="",O987=""),"",IF(N987="",B987,N987)+O987)</f>
        <v/>
      </c>
      <c r="Q987" s="10"/>
      <c r="R987" s="8"/>
      <c r="S987" s="7" t="str">
        <f aca="false">IF(OR(B987="",R987=""),"",R987-B987)</f>
        <v/>
      </c>
      <c r="T987" s="7" t="str">
        <f aca="true">IF(OR(B987="",P987=""),"",IF(R987&lt;&gt;"",IF(R987&gt;P987,"Traité hors délai","Non"),IF(Q987="Classé sans suite","Non",IF(TODAY()&gt;P987,"OUI","Non"))))</f>
        <v/>
      </c>
      <c r="U987" s="11"/>
    </row>
    <row r="988" customFormat="false" ht="15" hidden="false" customHeight="false" outlineLevel="0" collapsed="false">
      <c r="A988" s="7" t="str">
        <f aca="false">IF(B988="","",YEAR(B988)&amp;"/"&amp;TEXT(ROW()-4,"0000"))</f>
        <v/>
      </c>
      <c r="B988" s="8"/>
      <c r="C988" s="7" t="str">
        <f aca="false">IF(B988="","",INT((B988-DATE(YEAR(B988-WEEKDAY(B988-1)+4),1,3)+WEEKDAY(DATE(YEAR(B988-WEEKDAY(B988-1)+4),1,3))+5)/7))</f>
        <v/>
      </c>
      <c r="D988" s="9" t="str">
        <f aca="false">IF(B988="","",B988-WEEKDAY(B988,2)+1)</f>
        <v/>
      </c>
      <c r="E988" s="10"/>
      <c r="F988" s="8"/>
      <c r="G988" s="11"/>
      <c r="H988" s="10"/>
      <c r="I988" s="11"/>
      <c r="J988" s="10"/>
      <c r="K988" s="10"/>
      <c r="L988" s="10"/>
      <c r="M988" s="11"/>
      <c r="N988" s="8"/>
      <c r="O988" s="7" t="str">
        <f aca="false">IF(L988="","",IFERROR(VLOOKUP(L988,Paramètres!$F$5:$G$8,2,FALSE()),""))</f>
        <v/>
      </c>
      <c r="P988" s="9" t="str">
        <f aca="false">IF(OR(B988="",O988=""),"",IF(N988="",B988,N988)+O988)</f>
        <v/>
      </c>
      <c r="Q988" s="10"/>
      <c r="R988" s="8"/>
      <c r="S988" s="7" t="str">
        <f aca="false">IF(OR(B988="",R988=""),"",R988-B988)</f>
        <v/>
      </c>
      <c r="T988" s="7" t="str">
        <f aca="true">IF(OR(B988="",P988=""),"",IF(R988&lt;&gt;"",IF(R988&gt;P988,"Traité hors délai","Non"),IF(Q988="Classé sans suite","Non",IF(TODAY()&gt;P988,"OUI","Non"))))</f>
        <v/>
      </c>
      <c r="U988" s="11"/>
    </row>
    <row r="989" customFormat="false" ht="15" hidden="false" customHeight="false" outlineLevel="0" collapsed="false">
      <c r="A989" s="7" t="str">
        <f aca="false">IF(B989="","",YEAR(B989)&amp;"/"&amp;TEXT(ROW()-4,"0000"))</f>
        <v/>
      </c>
      <c r="B989" s="8"/>
      <c r="C989" s="7" t="str">
        <f aca="false">IF(B989="","",INT((B989-DATE(YEAR(B989-WEEKDAY(B989-1)+4),1,3)+WEEKDAY(DATE(YEAR(B989-WEEKDAY(B989-1)+4),1,3))+5)/7))</f>
        <v/>
      </c>
      <c r="D989" s="9" t="str">
        <f aca="false">IF(B989="","",B989-WEEKDAY(B989,2)+1)</f>
        <v/>
      </c>
      <c r="E989" s="10"/>
      <c r="F989" s="8"/>
      <c r="G989" s="11"/>
      <c r="H989" s="10"/>
      <c r="I989" s="11"/>
      <c r="J989" s="10"/>
      <c r="K989" s="10"/>
      <c r="L989" s="10"/>
      <c r="M989" s="11"/>
      <c r="N989" s="8"/>
      <c r="O989" s="7" t="str">
        <f aca="false">IF(L989="","",IFERROR(VLOOKUP(L989,Paramètres!$F$5:$G$8,2,FALSE()),""))</f>
        <v/>
      </c>
      <c r="P989" s="9" t="str">
        <f aca="false">IF(OR(B989="",O989=""),"",IF(N989="",B989,N989)+O989)</f>
        <v/>
      </c>
      <c r="Q989" s="10"/>
      <c r="R989" s="8"/>
      <c r="S989" s="7" t="str">
        <f aca="false">IF(OR(B989="",R989=""),"",R989-B989)</f>
        <v/>
      </c>
      <c r="T989" s="7" t="str">
        <f aca="true">IF(OR(B989="",P989=""),"",IF(R989&lt;&gt;"",IF(R989&gt;P989,"Traité hors délai","Non"),IF(Q989="Classé sans suite","Non",IF(TODAY()&gt;P989,"OUI","Non"))))</f>
        <v/>
      </c>
      <c r="U989" s="11"/>
    </row>
    <row r="990" customFormat="false" ht="15" hidden="false" customHeight="false" outlineLevel="0" collapsed="false">
      <c r="A990" s="7" t="str">
        <f aca="false">IF(B990="","",YEAR(B990)&amp;"/"&amp;TEXT(ROW()-4,"0000"))</f>
        <v/>
      </c>
      <c r="B990" s="8"/>
      <c r="C990" s="7" t="str">
        <f aca="false">IF(B990="","",INT((B990-DATE(YEAR(B990-WEEKDAY(B990-1)+4),1,3)+WEEKDAY(DATE(YEAR(B990-WEEKDAY(B990-1)+4),1,3))+5)/7))</f>
        <v/>
      </c>
      <c r="D990" s="9" t="str">
        <f aca="false">IF(B990="","",B990-WEEKDAY(B990,2)+1)</f>
        <v/>
      </c>
      <c r="E990" s="10"/>
      <c r="F990" s="8"/>
      <c r="G990" s="11"/>
      <c r="H990" s="10"/>
      <c r="I990" s="11"/>
      <c r="J990" s="10"/>
      <c r="K990" s="10"/>
      <c r="L990" s="10"/>
      <c r="M990" s="11"/>
      <c r="N990" s="8"/>
      <c r="O990" s="7" t="str">
        <f aca="false">IF(L990="","",IFERROR(VLOOKUP(L990,Paramètres!$F$5:$G$8,2,FALSE()),""))</f>
        <v/>
      </c>
      <c r="P990" s="9" t="str">
        <f aca="false">IF(OR(B990="",O990=""),"",IF(N990="",B990,N990)+O990)</f>
        <v/>
      </c>
      <c r="Q990" s="10"/>
      <c r="R990" s="8"/>
      <c r="S990" s="7" t="str">
        <f aca="false">IF(OR(B990="",R990=""),"",R990-B990)</f>
        <v/>
      </c>
      <c r="T990" s="7" t="str">
        <f aca="true">IF(OR(B990="",P990=""),"",IF(R990&lt;&gt;"",IF(R990&gt;P990,"Traité hors délai","Non"),IF(Q990="Classé sans suite","Non",IF(TODAY()&gt;P990,"OUI","Non"))))</f>
        <v/>
      </c>
      <c r="U990" s="11"/>
    </row>
    <row r="991" customFormat="false" ht="15" hidden="false" customHeight="false" outlineLevel="0" collapsed="false">
      <c r="A991" s="7" t="str">
        <f aca="false">IF(B991="","",YEAR(B991)&amp;"/"&amp;TEXT(ROW()-4,"0000"))</f>
        <v/>
      </c>
      <c r="B991" s="8"/>
      <c r="C991" s="7" t="str">
        <f aca="false">IF(B991="","",INT((B991-DATE(YEAR(B991-WEEKDAY(B991-1)+4),1,3)+WEEKDAY(DATE(YEAR(B991-WEEKDAY(B991-1)+4),1,3))+5)/7))</f>
        <v/>
      </c>
      <c r="D991" s="9" t="str">
        <f aca="false">IF(B991="","",B991-WEEKDAY(B991,2)+1)</f>
        <v/>
      </c>
      <c r="E991" s="10"/>
      <c r="F991" s="8"/>
      <c r="G991" s="11"/>
      <c r="H991" s="10"/>
      <c r="I991" s="11"/>
      <c r="J991" s="10"/>
      <c r="K991" s="10"/>
      <c r="L991" s="10"/>
      <c r="M991" s="11"/>
      <c r="N991" s="8"/>
      <c r="O991" s="7" t="str">
        <f aca="false">IF(L991="","",IFERROR(VLOOKUP(L991,Paramètres!$F$5:$G$8,2,FALSE()),""))</f>
        <v/>
      </c>
      <c r="P991" s="9" t="str">
        <f aca="false">IF(OR(B991="",O991=""),"",IF(N991="",B991,N991)+O991)</f>
        <v/>
      </c>
      <c r="Q991" s="10"/>
      <c r="R991" s="8"/>
      <c r="S991" s="7" t="str">
        <f aca="false">IF(OR(B991="",R991=""),"",R991-B991)</f>
        <v/>
      </c>
      <c r="T991" s="7" t="str">
        <f aca="true">IF(OR(B991="",P991=""),"",IF(R991&lt;&gt;"",IF(R991&gt;P991,"Traité hors délai","Non"),IF(Q991="Classé sans suite","Non",IF(TODAY()&gt;P991,"OUI","Non"))))</f>
        <v/>
      </c>
      <c r="U991" s="11"/>
    </row>
    <row r="992" customFormat="false" ht="15" hidden="false" customHeight="false" outlineLevel="0" collapsed="false">
      <c r="A992" s="7" t="str">
        <f aca="false">IF(B992="","",YEAR(B992)&amp;"/"&amp;TEXT(ROW()-4,"0000"))</f>
        <v/>
      </c>
      <c r="B992" s="8"/>
      <c r="C992" s="7" t="str">
        <f aca="false">IF(B992="","",INT((B992-DATE(YEAR(B992-WEEKDAY(B992-1)+4),1,3)+WEEKDAY(DATE(YEAR(B992-WEEKDAY(B992-1)+4),1,3))+5)/7))</f>
        <v/>
      </c>
      <c r="D992" s="9" t="str">
        <f aca="false">IF(B992="","",B992-WEEKDAY(B992,2)+1)</f>
        <v/>
      </c>
      <c r="E992" s="10"/>
      <c r="F992" s="8"/>
      <c r="G992" s="11"/>
      <c r="H992" s="10"/>
      <c r="I992" s="11"/>
      <c r="J992" s="10"/>
      <c r="K992" s="10"/>
      <c r="L992" s="10"/>
      <c r="M992" s="11"/>
      <c r="N992" s="8"/>
      <c r="O992" s="7" t="str">
        <f aca="false">IF(L992="","",IFERROR(VLOOKUP(L992,Paramètres!$F$5:$G$8,2,FALSE()),""))</f>
        <v/>
      </c>
      <c r="P992" s="9" t="str">
        <f aca="false">IF(OR(B992="",O992=""),"",IF(N992="",B992,N992)+O992)</f>
        <v/>
      </c>
      <c r="Q992" s="10"/>
      <c r="R992" s="8"/>
      <c r="S992" s="7" t="str">
        <f aca="false">IF(OR(B992="",R992=""),"",R992-B992)</f>
        <v/>
      </c>
      <c r="T992" s="7" t="str">
        <f aca="true">IF(OR(B992="",P992=""),"",IF(R992&lt;&gt;"",IF(R992&gt;P992,"Traité hors délai","Non"),IF(Q992="Classé sans suite","Non",IF(TODAY()&gt;P992,"OUI","Non"))))</f>
        <v/>
      </c>
      <c r="U992" s="11"/>
    </row>
    <row r="993" customFormat="false" ht="15" hidden="false" customHeight="false" outlineLevel="0" collapsed="false">
      <c r="A993" s="7" t="str">
        <f aca="false">IF(B993="","",YEAR(B993)&amp;"/"&amp;TEXT(ROW()-4,"0000"))</f>
        <v/>
      </c>
      <c r="B993" s="8"/>
      <c r="C993" s="7" t="str">
        <f aca="false">IF(B993="","",INT((B993-DATE(YEAR(B993-WEEKDAY(B993-1)+4),1,3)+WEEKDAY(DATE(YEAR(B993-WEEKDAY(B993-1)+4),1,3))+5)/7))</f>
        <v/>
      </c>
      <c r="D993" s="9" t="str">
        <f aca="false">IF(B993="","",B993-WEEKDAY(B993,2)+1)</f>
        <v/>
      </c>
      <c r="E993" s="10"/>
      <c r="F993" s="8"/>
      <c r="G993" s="11"/>
      <c r="H993" s="10"/>
      <c r="I993" s="11"/>
      <c r="J993" s="10"/>
      <c r="K993" s="10"/>
      <c r="L993" s="10"/>
      <c r="M993" s="11"/>
      <c r="N993" s="8"/>
      <c r="O993" s="7" t="str">
        <f aca="false">IF(L993="","",IFERROR(VLOOKUP(L993,Paramètres!$F$5:$G$8,2,FALSE()),""))</f>
        <v/>
      </c>
      <c r="P993" s="9" t="str">
        <f aca="false">IF(OR(B993="",O993=""),"",IF(N993="",B993,N993)+O993)</f>
        <v/>
      </c>
      <c r="Q993" s="10"/>
      <c r="R993" s="8"/>
      <c r="S993" s="7" t="str">
        <f aca="false">IF(OR(B993="",R993=""),"",R993-B993)</f>
        <v/>
      </c>
      <c r="T993" s="7" t="str">
        <f aca="true">IF(OR(B993="",P993=""),"",IF(R993&lt;&gt;"",IF(R993&gt;P993,"Traité hors délai","Non"),IF(Q993="Classé sans suite","Non",IF(TODAY()&gt;P993,"OUI","Non"))))</f>
        <v/>
      </c>
      <c r="U993" s="11"/>
    </row>
    <row r="994" customFormat="false" ht="15" hidden="false" customHeight="false" outlineLevel="0" collapsed="false">
      <c r="A994" s="7" t="str">
        <f aca="false">IF(B994="","",YEAR(B994)&amp;"/"&amp;TEXT(ROW()-4,"0000"))</f>
        <v/>
      </c>
      <c r="B994" s="8"/>
      <c r="C994" s="7" t="str">
        <f aca="false">IF(B994="","",INT((B994-DATE(YEAR(B994-WEEKDAY(B994-1)+4),1,3)+WEEKDAY(DATE(YEAR(B994-WEEKDAY(B994-1)+4),1,3))+5)/7))</f>
        <v/>
      </c>
      <c r="D994" s="9" t="str">
        <f aca="false">IF(B994="","",B994-WEEKDAY(B994,2)+1)</f>
        <v/>
      </c>
      <c r="E994" s="10"/>
      <c r="F994" s="8"/>
      <c r="G994" s="11"/>
      <c r="H994" s="10"/>
      <c r="I994" s="11"/>
      <c r="J994" s="10"/>
      <c r="K994" s="10"/>
      <c r="L994" s="10"/>
      <c r="M994" s="11"/>
      <c r="N994" s="8"/>
      <c r="O994" s="7" t="str">
        <f aca="false">IF(L994="","",IFERROR(VLOOKUP(L994,Paramètres!$F$5:$G$8,2,FALSE()),""))</f>
        <v/>
      </c>
      <c r="P994" s="9" t="str">
        <f aca="false">IF(OR(B994="",O994=""),"",IF(N994="",B994,N994)+O994)</f>
        <v/>
      </c>
      <c r="Q994" s="10"/>
      <c r="R994" s="8"/>
      <c r="S994" s="7" t="str">
        <f aca="false">IF(OR(B994="",R994=""),"",R994-B994)</f>
        <v/>
      </c>
      <c r="T994" s="7" t="str">
        <f aca="true">IF(OR(B994="",P994=""),"",IF(R994&lt;&gt;"",IF(R994&gt;P994,"Traité hors délai","Non"),IF(Q994="Classé sans suite","Non",IF(TODAY()&gt;P994,"OUI","Non"))))</f>
        <v/>
      </c>
      <c r="U994" s="11"/>
    </row>
    <row r="995" customFormat="false" ht="15" hidden="false" customHeight="false" outlineLevel="0" collapsed="false">
      <c r="A995" s="7" t="str">
        <f aca="false">IF(B995="","",YEAR(B995)&amp;"/"&amp;TEXT(ROW()-4,"0000"))</f>
        <v/>
      </c>
      <c r="B995" s="8"/>
      <c r="C995" s="7" t="str">
        <f aca="false">IF(B995="","",INT((B995-DATE(YEAR(B995-WEEKDAY(B995-1)+4),1,3)+WEEKDAY(DATE(YEAR(B995-WEEKDAY(B995-1)+4),1,3))+5)/7))</f>
        <v/>
      </c>
      <c r="D995" s="9" t="str">
        <f aca="false">IF(B995="","",B995-WEEKDAY(B995,2)+1)</f>
        <v/>
      </c>
      <c r="E995" s="10"/>
      <c r="F995" s="8"/>
      <c r="G995" s="11"/>
      <c r="H995" s="10"/>
      <c r="I995" s="11"/>
      <c r="J995" s="10"/>
      <c r="K995" s="10"/>
      <c r="L995" s="10"/>
      <c r="M995" s="11"/>
      <c r="N995" s="8"/>
      <c r="O995" s="7" t="str">
        <f aca="false">IF(L995="","",IFERROR(VLOOKUP(L995,Paramètres!$F$5:$G$8,2,FALSE()),""))</f>
        <v/>
      </c>
      <c r="P995" s="9" t="str">
        <f aca="false">IF(OR(B995="",O995=""),"",IF(N995="",B995,N995)+O995)</f>
        <v/>
      </c>
      <c r="Q995" s="10"/>
      <c r="R995" s="8"/>
      <c r="S995" s="7" t="str">
        <f aca="false">IF(OR(B995="",R995=""),"",R995-B995)</f>
        <v/>
      </c>
      <c r="T995" s="7" t="str">
        <f aca="true">IF(OR(B995="",P995=""),"",IF(R995&lt;&gt;"",IF(R995&gt;P995,"Traité hors délai","Non"),IF(Q995="Classé sans suite","Non",IF(TODAY()&gt;P995,"OUI","Non"))))</f>
        <v/>
      </c>
      <c r="U995" s="11"/>
    </row>
    <row r="996" customFormat="false" ht="15" hidden="false" customHeight="false" outlineLevel="0" collapsed="false">
      <c r="A996" s="7" t="str">
        <f aca="false">IF(B996="","",YEAR(B996)&amp;"/"&amp;TEXT(ROW()-4,"0000"))</f>
        <v/>
      </c>
      <c r="B996" s="8"/>
      <c r="C996" s="7" t="str">
        <f aca="false">IF(B996="","",INT((B996-DATE(YEAR(B996-WEEKDAY(B996-1)+4),1,3)+WEEKDAY(DATE(YEAR(B996-WEEKDAY(B996-1)+4),1,3))+5)/7))</f>
        <v/>
      </c>
      <c r="D996" s="9" t="str">
        <f aca="false">IF(B996="","",B996-WEEKDAY(B996,2)+1)</f>
        <v/>
      </c>
      <c r="E996" s="10"/>
      <c r="F996" s="8"/>
      <c r="G996" s="11"/>
      <c r="H996" s="10"/>
      <c r="I996" s="11"/>
      <c r="J996" s="10"/>
      <c r="K996" s="10"/>
      <c r="L996" s="10"/>
      <c r="M996" s="11"/>
      <c r="N996" s="8"/>
      <c r="O996" s="7" t="str">
        <f aca="false">IF(L996="","",IFERROR(VLOOKUP(L996,Paramètres!$F$5:$G$8,2,FALSE()),""))</f>
        <v/>
      </c>
      <c r="P996" s="9" t="str">
        <f aca="false">IF(OR(B996="",O996=""),"",IF(N996="",B996,N996)+O996)</f>
        <v/>
      </c>
      <c r="Q996" s="10"/>
      <c r="R996" s="8"/>
      <c r="S996" s="7" t="str">
        <f aca="false">IF(OR(B996="",R996=""),"",R996-B996)</f>
        <v/>
      </c>
      <c r="T996" s="7" t="str">
        <f aca="true">IF(OR(B996="",P996=""),"",IF(R996&lt;&gt;"",IF(R996&gt;P996,"Traité hors délai","Non"),IF(Q996="Classé sans suite","Non",IF(TODAY()&gt;P996,"OUI","Non"))))</f>
        <v/>
      </c>
      <c r="U996" s="11"/>
    </row>
    <row r="997" customFormat="false" ht="15" hidden="false" customHeight="false" outlineLevel="0" collapsed="false">
      <c r="A997" s="7" t="str">
        <f aca="false">IF(B997="","",YEAR(B997)&amp;"/"&amp;TEXT(ROW()-4,"0000"))</f>
        <v/>
      </c>
      <c r="B997" s="8"/>
      <c r="C997" s="7" t="str">
        <f aca="false">IF(B997="","",INT((B997-DATE(YEAR(B997-WEEKDAY(B997-1)+4),1,3)+WEEKDAY(DATE(YEAR(B997-WEEKDAY(B997-1)+4),1,3))+5)/7))</f>
        <v/>
      </c>
      <c r="D997" s="9" t="str">
        <f aca="false">IF(B997="","",B997-WEEKDAY(B997,2)+1)</f>
        <v/>
      </c>
      <c r="E997" s="10"/>
      <c r="F997" s="8"/>
      <c r="G997" s="11"/>
      <c r="H997" s="10"/>
      <c r="I997" s="11"/>
      <c r="J997" s="10"/>
      <c r="K997" s="10"/>
      <c r="L997" s="10"/>
      <c r="M997" s="11"/>
      <c r="N997" s="8"/>
      <c r="O997" s="7" t="str">
        <f aca="false">IF(L997="","",IFERROR(VLOOKUP(L997,Paramètres!$F$5:$G$8,2,FALSE()),""))</f>
        <v/>
      </c>
      <c r="P997" s="9" t="str">
        <f aca="false">IF(OR(B997="",O997=""),"",IF(N997="",B997,N997)+O997)</f>
        <v/>
      </c>
      <c r="Q997" s="10"/>
      <c r="R997" s="8"/>
      <c r="S997" s="7" t="str">
        <f aca="false">IF(OR(B997="",R997=""),"",R997-B997)</f>
        <v/>
      </c>
      <c r="T997" s="7" t="str">
        <f aca="true">IF(OR(B997="",P997=""),"",IF(R997&lt;&gt;"",IF(R997&gt;P997,"Traité hors délai","Non"),IF(Q997="Classé sans suite","Non",IF(TODAY()&gt;P997,"OUI","Non"))))</f>
        <v/>
      </c>
      <c r="U997" s="11"/>
    </row>
    <row r="998" customFormat="false" ht="15" hidden="false" customHeight="false" outlineLevel="0" collapsed="false">
      <c r="A998" s="7" t="str">
        <f aca="false">IF(B998="","",YEAR(B998)&amp;"/"&amp;TEXT(ROW()-4,"0000"))</f>
        <v/>
      </c>
      <c r="B998" s="8"/>
      <c r="C998" s="7" t="str">
        <f aca="false">IF(B998="","",INT((B998-DATE(YEAR(B998-WEEKDAY(B998-1)+4),1,3)+WEEKDAY(DATE(YEAR(B998-WEEKDAY(B998-1)+4),1,3))+5)/7))</f>
        <v/>
      </c>
      <c r="D998" s="9" t="str">
        <f aca="false">IF(B998="","",B998-WEEKDAY(B998,2)+1)</f>
        <v/>
      </c>
      <c r="E998" s="10"/>
      <c r="F998" s="8"/>
      <c r="G998" s="11"/>
      <c r="H998" s="10"/>
      <c r="I998" s="11"/>
      <c r="J998" s="10"/>
      <c r="K998" s="10"/>
      <c r="L998" s="10"/>
      <c r="M998" s="11"/>
      <c r="N998" s="8"/>
      <c r="O998" s="7" t="str">
        <f aca="false">IF(L998="","",IFERROR(VLOOKUP(L998,Paramètres!$F$5:$G$8,2,FALSE()),""))</f>
        <v/>
      </c>
      <c r="P998" s="9" t="str">
        <f aca="false">IF(OR(B998="",O998=""),"",IF(N998="",B998,N998)+O998)</f>
        <v/>
      </c>
      <c r="Q998" s="10"/>
      <c r="R998" s="8"/>
      <c r="S998" s="7" t="str">
        <f aca="false">IF(OR(B998="",R998=""),"",R998-B998)</f>
        <v/>
      </c>
      <c r="T998" s="7" t="str">
        <f aca="true">IF(OR(B998="",P998=""),"",IF(R998&lt;&gt;"",IF(R998&gt;P998,"Traité hors délai","Non"),IF(Q998="Classé sans suite","Non",IF(TODAY()&gt;P998,"OUI","Non"))))</f>
        <v/>
      </c>
      <c r="U998" s="11"/>
    </row>
    <row r="999" customFormat="false" ht="15" hidden="false" customHeight="false" outlineLevel="0" collapsed="false">
      <c r="A999" s="7" t="str">
        <f aca="false">IF(B999="","",YEAR(B999)&amp;"/"&amp;TEXT(ROW()-4,"0000"))</f>
        <v/>
      </c>
      <c r="B999" s="8"/>
      <c r="C999" s="7" t="str">
        <f aca="false">IF(B999="","",INT((B999-DATE(YEAR(B999-WEEKDAY(B999-1)+4),1,3)+WEEKDAY(DATE(YEAR(B999-WEEKDAY(B999-1)+4),1,3))+5)/7))</f>
        <v/>
      </c>
      <c r="D999" s="9" t="str">
        <f aca="false">IF(B999="","",B999-WEEKDAY(B999,2)+1)</f>
        <v/>
      </c>
      <c r="E999" s="10"/>
      <c r="F999" s="8"/>
      <c r="G999" s="11"/>
      <c r="H999" s="10"/>
      <c r="I999" s="11"/>
      <c r="J999" s="10"/>
      <c r="K999" s="10"/>
      <c r="L999" s="10"/>
      <c r="M999" s="11"/>
      <c r="N999" s="8"/>
      <c r="O999" s="7" t="str">
        <f aca="false">IF(L999="","",IFERROR(VLOOKUP(L999,Paramètres!$F$5:$G$8,2,FALSE()),""))</f>
        <v/>
      </c>
      <c r="P999" s="9" t="str">
        <f aca="false">IF(OR(B999="",O999=""),"",IF(N999="",B999,N999)+O999)</f>
        <v/>
      </c>
      <c r="Q999" s="10"/>
      <c r="R999" s="8"/>
      <c r="S999" s="7" t="str">
        <f aca="false">IF(OR(B999="",R999=""),"",R999-B999)</f>
        <v/>
      </c>
      <c r="T999" s="7" t="str">
        <f aca="true">IF(OR(B999="",P999=""),"",IF(R999&lt;&gt;"",IF(R999&gt;P999,"Traité hors délai","Non"),IF(Q999="Classé sans suite","Non",IF(TODAY()&gt;P999,"OUI","Non"))))</f>
        <v/>
      </c>
      <c r="U999" s="11"/>
    </row>
    <row r="1000" customFormat="false" ht="15" hidden="false" customHeight="false" outlineLevel="0" collapsed="false">
      <c r="A1000" s="7" t="str">
        <f aca="false">IF(B1000="","",YEAR(B1000)&amp;"/"&amp;TEXT(ROW()-4,"0000"))</f>
        <v/>
      </c>
      <c r="B1000" s="8"/>
      <c r="C1000" s="7" t="str">
        <f aca="false">IF(B1000="","",INT((B1000-DATE(YEAR(B1000-WEEKDAY(B1000-1)+4),1,3)+WEEKDAY(DATE(YEAR(B1000-WEEKDAY(B1000-1)+4),1,3))+5)/7))</f>
        <v/>
      </c>
      <c r="D1000" s="9" t="str">
        <f aca="false">IF(B1000="","",B1000-WEEKDAY(B1000,2)+1)</f>
        <v/>
      </c>
      <c r="E1000" s="10"/>
      <c r="F1000" s="8"/>
      <c r="G1000" s="11"/>
      <c r="H1000" s="10"/>
      <c r="I1000" s="11"/>
      <c r="J1000" s="10"/>
      <c r="K1000" s="10"/>
      <c r="L1000" s="10"/>
      <c r="M1000" s="11"/>
      <c r="N1000" s="8"/>
      <c r="O1000" s="7" t="str">
        <f aca="false">IF(L1000="","",IFERROR(VLOOKUP(L1000,Paramètres!$F$5:$G$8,2,FALSE()),""))</f>
        <v/>
      </c>
      <c r="P1000" s="9" t="str">
        <f aca="false">IF(OR(B1000="",O1000=""),"",IF(N1000="",B1000,N1000)+O1000)</f>
        <v/>
      </c>
      <c r="Q1000" s="10"/>
      <c r="R1000" s="8"/>
      <c r="S1000" s="7" t="str">
        <f aca="false">IF(OR(B1000="",R1000=""),"",R1000-B1000)</f>
        <v/>
      </c>
      <c r="T1000" s="7" t="str">
        <f aca="true">IF(OR(B1000="",P1000=""),"",IF(R1000&lt;&gt;"",IF(R1000&gt;P1000,"Traité hors délai","Non"),IF(Q1000="Classé sans suite","Non",IF(TODAY()&gt;P1000,"OUI","Non"))))</f>
        <v/>
      </c>
      <c r="U1000" s="11"/>
    </row>
    <row r="1001" customFormat="false" ht="15" hidden="false" customHeight="false" outlineLevel="0" collapsed="false">
      <c r="A1001" s="7" t="str">
        <f aca="false">IF(B1001="","",YEAR(B1001)&amp;"/"&amp;TEXT(ROW()-4,"0000"))</f>
        <v/>
      </c>
      <c r="B1001" s="8"/>
      <c r="C1001" s="7" t="str">
        <f aca="false">IF(B1001="","",INT((B1001-DATE(YEAR(B1001-WEEKDAY(B1001-1)+4),1,3)+WEEKDAY(DATE(YEAR(B1001-WEEKDAY(B1001-1)+4),1,3))+5)/7))</f>
        <v/>
      </c>
      <c r="D1001" s="9" t="str">
        <f aca="false">IF(B1001="","",B1001-WEEKDAY(B1001,2)+1)</f>
        <v/>
      </c>
      <c r="E1001" s="10"/>
      <c r="F1001" s="8"/>
      <c r="G1001" s="11"/>
      <c r="H1001" s="10"/>
      <c r="I1001" s="11"/>
      <c r="J1001" s="10"/>
      <c r="K1001" s="10"/>
      <c r="L1001" s="10"/>
      <c r="M1001" s="11"/>
      <c r="N1001" s="8"/>
      <c r="O1001" s="7" t="str">
        <f aca="false">IF(L1001="","",IFERROR(VLOOKUP(L1001,Paramètres!$F$5:$G$8,2,FALSE()),""))</f>
        <v/>
      </c>
      <c r="P1001" s="9" t="str">
        <f aca="false">IF(OR(B1001="",O1001=""),"",IF(N1001="",B1001,N1001)+O1001)</f>
        <v/>
      </c>
      <c r="Q1001" s="10"/>
      <c r="R1001" s="8"/>
      <c r="S1001" s="7" t="str">
        <f aca="false">IF(OR(B1001="",R1001=""),"",R1001-B1001)</f>
        <v/>
      </c>
      <c r="T1001" s="7" t="str">
        <f aca="true">IF(OR(B1001="",P1001=""),"",IF(R1001&lt;&gt;"",IF(R1001&gt;P1001,"Traité hors délai","Non"),IF(Q1001="Classé sans suite","Non",IF(TODAY()&gt;P1001,"OUI","Non"))))</f>
        <v/>
      </c>
      <c r="U1001" s="11"/>
    </row>
    <row r="1002" customFormat="false" ht="15" hidden="false" customHeight="false" outlineLevel="0" collapsed="false">
      <c r="A1002" s="7" t="str">
        <f aca="false">IF(B1002="","",YEAR(B1002)&amp;"/"&amp;TEXT(ROW()-4,"0000"))</f>
        <v/>
      </c>
      <c r="B1002" s="8"/>
      <c r="C1002" s="7" t="str">
        <f aca="false">IF(B1002="","",INT((B1002-DATE(YEAR(B1002-WEEKDAY(B1002-1)+4),1,3)+WEEKDAY(DATE(YEAR(B1002-WEEKDAY(B1002-1)+4),1,3))+5)/7))</f>
        <v/>
      </c>
      <c r="D1002" s="9" t="str">
        <f aca="false">IF(B1002="","",B1002-WEEKDAY(B1002,2)+1)</f>
        <v/>
      </c>
      <c r="E1002" s="10"/>
      <c r="F1002" s="8"/>
      <c r="G1002" s="11"/>
      <c r="H1002" s="10"/>
      <c r="I1002" s="11"/>
      <c r="J1002" s="10"/>
      <c r="K1002" s="10"/>
      <c r="L1002" s="10"/>
      <c r="M1002" s="11"/>
      <c r="N1002" s="8"/>
      <c r="O1002" s="7" t="str">
        <f aca="false">IF(L1002="","",IFERROR(VLOOKUP(L1002,Paramètres!$F$5:$G$8,2,FALSE()),""))</f>
        <v/>
      </c>
      <c r="P1002" s="9" t="str">
        <f aca="false">IF(OR(B1002="",O1002=""),"",IF(N1002="",B1002,N1002)+O1002)</f>
        <v/>
      </c>
      <c r="Q1002" s="10"/>
      <c r="R1002" s="8"/>
      <c r="S1002" s="7" t="str">
        <f aca="false">IF(OR(B1002="",R1002=""),"",R1002-B1002)</f>
        <v/>
      </c>
      <c r="T1002" s="7" t="str">
        <f aca="true">IF(OR(B1002="",P1002=""),"",IF(R1002&lt;&gt;"",IF(R1002&gt;P1002,"Traité hors délai","Non"),IF(Q1002="Classé sans suite","Non",IF(TODAY()&gt;P1002,"OUI","Non"))))</f>
        <v/>
      </c>
      <c r="U1002" s="11"/>
    </row>
    <row r="1003" customFormat="false" ht="15" hidden="false" customHeight="false" outlineLevel="0" collapsed="false">
      <c r="A1003" s="7" t="str">
        <f aca="false">IF(B1003="","",YEAR(B1003)&amp;"/"&amp;TEXT(ROW()-4,"0000"))</f>
        <v/>
      </c>
      <c r="B1003" s="8"/>
      <c r="C1003" s="7" t="str">
        <f aca="false">IF(B1003="","",INT((B1003-DATE(YEAR(B1003-WEEKDAY(B1003-1)+4),1,3)+WEEKDAY(DATE(YEAR(B1003-WEEKDAY(B1003-1)+4),1,3))+5)/7))</f>
        <v/>
      </c>
      <c r="D1003" s="9" t="str">
        <f aca="false">IF(B1003="","",B1003-WEEKDAY(B1003,2)+1)</f>
        <v/>
      </c>
      <c r="E1003" s="10"/>
      <c r="F1003" s="8"/>
      <c r="G1003" s="11"/>
      <c r="H1003" s="10"/>
      <c r="I1003" s="11"/>
      <c r="J1003" s="10"/>
      <c r="K1003" s="10"/>
      <c r="L1003" s="10"/>
      <c r="M1003" s="11"/>
      <c r="N1003" s="8"/>
      <c r="O1003" s="7" t="str">
        <f aca="false">IF(L1003="","",IFERROR(VLOOKUP(L1003,Paramètres!$F$5:$G$8,2,FALSE()),""))</f>
        <v/>
      </c>
      <c r="P1003" s="9" t="str">
        <f aca="false">IF(OR(B1003="",O1003=""),"",IF(N1003="",B1003,N1003)+O1003)</f>
        <v/>
      </c>
      <c r="Q1003" s="10"/>
      <c r="R1003" s="8"/>
      <c r="S1003" s="7" t="str">
        <f aca="false">IF(OR(B1003="",R1003=""),"",R1003-B1003)</f>
        <v/>
      </c>
      <c r="T1003" s="7" t="str">
        <f aca="true">IF(OR(B1003="",P1003=""),"",IF(R1003&lt;&gt;"",IF(R1003&gt;P1003,"Traité hors délai","Non"),IF(Q1003="Classé sans suite","Non",IF(TODAY()&gt;P1003,"OUI","Non"))))</f>
        <v/>
      </c>
      <c r="U1003" s="11"/>
    </row>
    <row r="1004" customFormat="false" ht="15" hidden="false" customHeight="false" outlineLevel="0" collapsed="false">
      <c r="A1004" s="7" t="str">
        <f aca="false">IF(B1004="","",YEAR(B1004)&amp;"/"&amp;TEXT(ROW()-4,"0000"))</f>
        <v/>
      </c>
      <c r="B1004" s="8"/>
      <c r="C1004" s="7" t="str">
        <f aca="false">IF(B1004="","",INT((B1004-DATE(YEAR(B1004-WEEKDAY(B1004-1)+4),1,3)+WEEKDAY(DATE(YEAR(B1004-WEEKDAY(B1004-1)+4),1,3))+5)/7))</f>
        <v/>
      </c>
      <c r="D1004" s="9" t="str">
        <f aca="false">IF(B1004="","",B1004-WEEKDAY(B1004,2)+1)</f>
        <v/>
      </c>
      <c r="E1004" s="10"/>
      <c r="F1004" s="8"/>
      <c r="G1004" s="11"/>
      <c r="H1004" s="10"/>
      <c r="I1004" s="11"/>
      <c r="J1004" s="10"/>
      <c r="K1004" s="10"/>
      <c r="L1004" s="10"/>
      <c r="M1004" s="11"/>
      <c r="N1004" s="8"/>
      <c r="O1004" s="7" t="str">
        <f aca="false">IF(L1004="","",IFERROR(VLOOKUP(L1004,Paramètres!$F$5:$G$8,2,FALSE()),""))</f>
        <v/>
      </c>
      <c r="P1004" s="9" t="str">
        <f aca="false">IF(OR(B1004="",O1004=""),"",IF(N1004="",B1004,N1004)+O1004)</f>
        <v/>
      </c>
      <c r="Q1004" s="10"/>
      <c r="R1004" s="8"/>
      <c r="S1004" s="7" t="str">
        <f aca="false">IF(OR(B1004="",R1004=""),"",R1004-B1004)</f>
        <v/>
      </c>
      <c r="T1004" s="7" t="str">
        <f aca="true">IF(OR(B1004="",P1004=""),"",IF(R1004&lt;&gt;"",IF(R1004&gt;P1004,"Traité hors délai","Non"),IF(Q1004="Classé sans suite","Non",IF(TODAY()&gt;P1004,"OUI","Non"))))</f>
        <v/>
      </c>
      <c r="U1004" s="11"/>
    </row>
  </sheetData>
  <autoFilter ref="A4:U1004"/>
  <conditionalFormatting sqref="T5:T1004">
    <cfRule type="cellIs" priority="2" operator="equal" aboveAverage="0" equalAverage="0" bottom="0" percent="0" rank="0" text="" dxfId="9">
      <formula>"OUI"</formula>
    </cfRule>
    <cfRule type="cellIs" priority="3" operator="equal" aboveAverage="0" equalAverage="0" bottom="0" percent="0" rank="0" text="" dxfId="10">
      <formula>"Traité hors délai"</formula>
    </cfRule>
  </conditionalFormatting>
  <conditionalFormatting sqref="Q5:Q1004">
    <cfRule type="cellIs" priority="4" operator="equal" aboveAverage="0" equalAverage="0" bottom="0" percent="0" rank="0" text="" dxfId="11">
      <formula>"Traité"</formula>
    </cfRule>
  </conditionalFormatting>
  <conditionalFormatting sqref="L5:L1004">
    <cfRule type="cellIs" priority="5" operator="equal" aboveAverage="0" equalAverage="0" bottom="0" percent="0" rank="0" text="" dxfId="12">
      <formula>"Très urgent"</formula>
    </cfRule>
  </conditionalFormatting>
  <dataValidations count="7">
    <dataValidation allowBlank="true" error="Choisissez une valeur dans la liste (onglet Paramètres)." errorStyle="stop" errorTitle="Valeur non autorisée" operator="between" showDropDown="false" showErrorMessage="false" showInputMessage="false" sqref="H5:H1004" type="list">
      <formula1>Paramètres!$C$5:$C$24</formula1>
      <formula2>0</formula2>
    </dataValidation>
    <dataValidation allowBlank="true" error="Choisissez une valeur dans la liste (onglet Paramètres)." errorStyle="stop" errorTitle="Valeur non autorisée" operator="between" showDropDown="false" showErrorMessage="false" showInputMessage="false" sqref="J5:J1004" type="list">
      <formula1>Paramètres!$B$5:$B$24</formula1>
      <formula2>0</formula2>
    </dataValidation>
    <dataValidation allowBlank="true" error="Choisissez une valeur dans la liste (onglet Paramètres)." errorStyle="stop" errorTitle="Valeur non autorisée" operator="between" showDropDown="false" showErrorMessage="false" showInputMessage="false" sqref="K5:K1004" type="list">
      <formula1>Paramètres!$D$5:$D$24</formula1>
      <formula2>0</formula2>
    </dataValidation>
    <dataValidation allowBlank="true" error="Choisissez une valeur dans la liste (onglet Paramètres)." errorStyle="stop" errorTitle="Valeur non autorisée" operator="between" showDropDown="false" showErrorMessage="false" showInputMessage="false" sqref="L5:L1004" type="list">
      <formula1>Paramètres!$F$5:$F$8</formula1>
      <formula2>0</formula2>
    </dataValidation>
    <dataValidation allowBlank="true" error="Choisissez une valeur dans la liste (onglet Paramètres)." errorStyle="stop" errorTitle="Valeur non autorisée" operator="between" showDropDown="false" showErrorMessage="false" showInputMessage="false" sqref="M5:M1004" type="list">
      <formula1>Paramètres!$A$5:$A$24</formula1>
      <formula2>0</formula2>
    </dataValidation>
    <dataValidation allowBlank="true" error="Choisissez une valeur dans la liste (onglet Paramètres)." errorStyle="stop" errorTitle="Valeur non autorisée" operator="between" showDropDown="false" showErrorMessage="false" showInputMessage="false" sqref="Q5:Q1004" type="list">
      <formula1>Paramètres!$E$5:$E$24</formula1>
      <formula2>0</formula2>
    </dataValidation>
    <dataValidation allowBlank="true" error="Saisissez une date au format JJ/MM/AAAA." errorStyle="stop" operator="greaterThan" showDropDown="false" showErrorMessage="false" showInputMessage="false" sqref="B5:B1004 F5:F1004 N5:N1004 R5:R10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9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15"/>
    <col collapsed="false" customWidth="true" hidden="false" outlineLevel="0" max="6" min="6" style="0" width="44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114</v>
      </c>
    </row>
    <row r="3" customFormat="false" ht="15" hidden="false" customHeight="false" outlineLevel="0" collapsed="false">
      <c r="A3" s="5" t="s">
        <v>115</v>
      </c>
      <c r="D3" s="12" t="n">
        <v>46286</v>
      </c>
      <c r="F3" s="13" t="s">
        <v>116</v>
      </c>
    </row>
    <row r="4" customFormat="false" ht="15" hidden="false" customHeight="false" outlineLevel="0" collapsed="false">
      <c r="A4" s="14" t="s">
        <v>25</v>
      </c>
      <c r="D4" s="15" t="n">
        <f aca="false">INT((D3-DATE(YEAR(D3-WEEKDAY(D3-1)+4),1,3)+WEEKDAY(DATE(YEAR(D3-WEEKDAY(D3-1)+4),1,3))+5)/7)</f>
        <v>39</v>
      </c>
      <c r="F4" s="16" t="s">
        <v>117</v>
      </c>
      <c r="G4" s="17" t="n">
        <f aca="false">COUNTIFS(Registre!$B$5:$B$1004,"&gt;="&amp;$D$5,Registre!$B$5:$B$1004,"&lt;="&amp;$D$6)</f>
        <v>4</v>
      </c>
    </row>
    <row r="5" customFormat="false" ht="15" hidden="false" customHeight="false" outlineLevel="0" collapsed="false">
      <c r="A5" s="14" t="s">
        <v>118</v>
      </c>
      <c r="D5" s="18" t="n">
        <f aca="false">D3-WEEKDAY(D3,2)+1</f>
        <v>46286</v>
      </c>
      <c r="F5" s="16" t="s">
        <v>119</v>
      </c>
      <c r="G5" s="17" t="n">
        <f aca="false">COUNTIFS(Registre!$R$5:$R$1004,"&gt;="&amp;$D$5,Registre!$R$5:$R$1004,"&lt;="&amp;$D$6)</f>
        <v>1</v>
      </c>
    </row>
    <row r="6" customFormat="false" ht="15" hidden="false" customHeight="false" outlineLevel="0" collapsed="false">
      <c r="A6" s="14" t="s">
        <v>120</v>
      </c>
      <c r="D6" s="18" t="n">
        <f aca="false">D5+6</f>
        <v>46292</v>
      </c>
      <c r="F6" s="19" t="s">
        <v>121</v>
      </c>
      <c r="G6" s="17" t="n">
        <f aca="false">COUNTIFS(Registre!$B$5:$B$1004,"&gt;="&amp;$D$5,Registre!$B$5:$B$1004,"&lt;="&amp;$D$6,Registre!$R$5:$R$1004,"&gt;="&amp;$D$5,Registre!$R$5:$R$1004,"&lt;="&amp;$D$6)</f>
        <v>0</v>
      </c>
    </row>
    <row r="7" customFormat="false" ht="15" hidden="false" customHeight="false" outlineLevel="0" collapsed="false">
      <c r="A7" s="14" t="s">
        <v>122</v>
      </c>
      <c r="D7" s="18" t="n">
        <f aca="true">MIN(D6,TODAY())</f>
        <v>46292</v>
      </c>
      <c r="F7" s="16" t="s">
        <v>123</v>
      </c>
      <c r="G7" s="20" t="n">
        <f aca="false">IF(G4=0,0,G6/G4)</f>
        <v>0</v>
      </c>
    </row>
    <row r="8" customFormat="false" ht="15" hidden="false" customHeight="false" outlineLevel="0" collapsed="false">
      <c r="F8" s="16" t="s">
        <v>124</v>
      </c>
      <c r="G8" s="17" t="n">
        <f aca="false">(COUNTIFS(Registre!$B$5:$B$1004,"&lt;="&amp;$D$7,Registre!$R$5:$R$1004,"",Registre!$Q$5:$Q$1004,"&lt;&gt;Classé sans suite")+COUNTIFS(Registre!$B$5:$B$1004,"&lt;="&amp;$D$7,Registre!$R$5:$R$1004,"&gt;"&amp;$D$7))</f>
        <v>5</v>
      </c>
    </row>
    <row r="9" customFormat="false" ht="15" hidden="false" customHeight="false" outlineLevel="0" collapsed="false">
      <c r="F9" s="19" t="s">
        <v>125</v>
      </c>
      <c r="G9" s="17" t="n">
        <f aca="false">COUNTIFS(Registre!$B$5:$B$1004,"&lt;="&amp;$D$7,Registre!$R$5:$R$1004,"",Registre!$P$5:$P$1004,"&lt;"&amp;$D$7,Registre!$Q$5:$Q$1004,"&lt;&gt;Classé sans suite")+COUNTIFS(Registre!$B$5:$B$1004,"&lt;="&amp;$D$7,Registre!$R$5:$R$1004,"&gt;"&amp;$D$7,Registre!$P$5:$P$1004,"&lt;"&amp;$D$7)</f>
        <v>1</v>
      </c>
    </row>
    <row r="10" customFormat="false" ht="15" hidden="false" customHeight="false" outlineLevel="0" collapsed="false">
      <c r="F10" s="16" t="s">
        <v>126</v>
      </c>
      <c r="G10" s="17" t="n">
        <f aca="false">COUNTIFS(Registre!$B$5:$B$1004,"&gt;="&amp;$D$5,Registre!$B$5:$B$1004,"&lt;="&amp;$D$6,Registre!$L$5:$L$1004,"Très urgent")+COUNTIFS(Registre!$B$5:$B$1004,"&gt;="&amp;$D$5,Registre!$B$5:$B$1004,"&lt;="&amp;$D$6,Registre!$L$5:$L$1004,"Urgent")</f>
        <v>3</v>
      </c>
    </row>
    <row r="11" customFormat="false" ht="15" hidden="false" customHeight="false" outlineLevel="0" collapsed="false">
      <c r="F11" s="16" t="s">
        <v>127</v>
      </c>
      <c r="G11" s="21" t="n">
        <f aca="false">IFERROR(AVERAGEIFS(Registre!$S$5:$S$1004,Registre!$R$5:$R$1004,"&gt;="&amp;$D$5,Registre!$R$5:$R$1004,"&lt;="&amp;$D$6),0)</f>
        <v>10</v>
      </c>
    </row>
    <row r="12" customFormat="false" ht="15" hidden="false" customHeight="false" outlineLevel="0" collapsed="false">
      <c r="F12" s="16" t="s">
        <v>128</v>
      </c>
      <c r="G12" s="17" t="n">
        <f aca="false">COUNTIFS(Registre!$B$5:$B$1004,"&gt;="&amp;($D$5-7),Registre!$B$5:$B$1004,"&lt;="&amp;($D$6-7))</f>
        <v>5</v>
      </c>
    </row>
    <row r="13" customFormat="false" ht="15" hidden="false" customHeight="false" outlineLevel="0" collapsed="false">
      <c r="F13" s="16" t="s">
        <v>129</v>
      </c>
      <c r="G13" s="22" t="n">
        <f aca="false">IF(G12=0,0,G4/G12-1)</f>
        <v>-0.2</v>
      </c>
    </row>
    <row r="16" customFormat="false" ht="15" hidden="false" customHeight="false" outlineLevel="0" collapsed="false">
      <c r="A16" s="13" t="s">
        <v>130</v>
      </c>
    </row>
    <row r="17" customFormat="false" ht="23.85" hidden="false" customHeight="false" outlineLevel="0" collapsed="false">
      <c r="A17" s="6" t="s">
        <v>131</v>
      </c>
      <c r="B17" s="6" t="s">
        <v>132</v>
      </c>
      <c r="C17" s="6" t="s">
        <v>133</v>
      </c>
      <c r="D17" s="6" t="s">
        <v>134</v>
      </c>
      <c r="E17" s="6" t="s">
        <v>135</v>
      </c>
    </row>
    <row r="18" customFormat="false" ht="15" hidden="false" customHeight="false" outlineLevel="0" collapsed="false">
      <c r="A18" s="23" t="str">
        <f aca="false">IF(Paramètres!$A$5="","",Paramètres!$A$5)</f>
        <v>Cabinet du Ministre</v>
      </c>
      <c r="B18" s="24" t="n">
        <f aca="false">IF($A18="","",COUNTIFS(Registre!$B$5:$B$1004,"&gt;="&amp;$D$5,Registre!$B$5:$B$1004,"&lt;="&amp;$D$6,Registre!$M$5:$M$1004,$A18))</f>
        <v>0</v>
      </c>
      <c r="C18" s="24" t="n">
        <f aca="false">IF($A18="","",COUNTIFS(Registre!$M$5:$M$1004,$A18,Registre!$R$5:$R$1004,"&gt;="&amp;$D$5,Registre!$R$5:$R$1004,"&lt;="&amp;$D$6))</f>
        <v>0</v>
      </c>
      <c r="D18" s="24" t="n">
        <f aca="false">IF($A18="","",COUNTIFS(Registre!$M$5:$M$1004,$A18,Registre!$B$5:$B$1004,"&lt;="&amp;$D$7,Registre!$R$5:$R$1004,"",Registre!$Q$5:$Q$1004,"&lt;&gt;Classé sans suite")+COUNTIFS(Registre!$M$5:$M$1004,$A18,Registre!$B$5:$B$1004,"&lt;="&amp;$D$7,Registre!$R$5:$R$1004,"&gt;"&amp;$D$7))</f>
        <v>0</v>
      </c>
      <c r="E18" s="24" t="n">
        <f aca="false">IF($A18="","",COUNTIFS(Registre!$M$5:$M$1004,$A18,Registre!$B$5:$B$1004,"&lt;="&amp;$D$7,Registre!$R$5:$R$1004,"",Registre!$P$5:$P$1004,"&lt;"&amp;$D$7,Registre!$Q$5:$Q$1004,"&lt;&gt;Classé sans suite")+COUNTIFS(Registre!$M$5:$M$1004,$A18,Registre!$B$5:$B$1004,"&lt;="&amp;$D$7,Registre!$R$5:$R$1004,"&gt;"&amp;$D$7,Registre!$P$5:$P$1004,"&lt;"&amp;$D$7))</f>
        <v>0</v>
      </c>
    </row>
    <row r="19" customFormat="false" ht="15" hidden="false" customHeight="false" outlineLevel="0" collapsed="false">
      <c r="A19" s="23" t="str">
        <f aca="false">IF(Paramètres!$A$6="","",Paramètres!$A$6)</f>
        <v>Secrétariat Général</v>
      </c>
      <c r="B19" s="24" t="n">
        <f aca="false">IF($A19="","",COUNTIFS(Registre!$B$5:$B$1004,"&gt;="&amp;$D$5,Registre!$B$5:$B$1004,"&lt;="&amp;$D$6,Registre!$M$5:$M$1004,$A19))</f>
        <v>1</v>
      </c>
      <c r="C19" s="24" t="n">
        <f aca="false">IF($A19="","",COUNTIFS(Registre!$M$5:$M$1004,$A19,Registre!$R$5:$R$1004,"&gt;="&amp;$D$5,Registre!$R$5:$R$1004,"&lt;="&amp;$D$6))</f>
        <v>0</v>
      </c>
      <c r="D19" s="24" t="n">
        <f aca="false">IF($A19="","",COUNTIFS(Registre!$M$5:$M$1004,$A19,Registre!$B$5:$B$1004,"&lt;="&amp;$D$7,Registre!$R$5:$R$1004,"",Registre!$Q$5:$Q$1004,"&lt;&gt;Classé sans suite")+COUNTIFS(Registre!$M$5:$M$1004,$A19,Registre!$B$5:$B$1004,"&lt;="&amp;$D$7,Registre!$R$5:$R$1004,"&gt;"&amp;$D$7))</f>
        <v>1</v>
      </c>
      <c r="E19" s="24" t="n">
        <f aca="false">IF($A19="","",COUNTIFS(Registre!$M$5:$M$1004,$A19,Registre!$B$5:$B$1004,"&lt;="&amp;$D$7,Registre!$R$5:$R$1004,"",Registre!$P$5:$P$1004,"&lt;"&amp;$D$7,Registre!$Q$5:$Q$1004,"&lt;&gt;Classé sans suite")+COUNTIFS(Registre!$M$5:$M$1004,$A19,Registre!$B$5:$B$1004,"&lt;="&amp;$D$7,Registre!$R$5:$R$1004,"&gt;"&amp;$D$7,Registre!$P$5:$P$1004,"&lt;"&amp;$D$7))</f>
        <v>1</v>
      </c>
    </row>
    <row r="20" customFormat="false" ht="15" hidden="false" customHeight="false" outlineLevel="0" collapsed="false">
      <c r="A20" s="23" t="str">
        <f aca="false">IF(Paramètres!$A$7="","",Paramètres!$A$7)</f>
        <v>Direction des Affaires Administratives et Financières</v>
      </c>
      <c r="B20" s="24" t="n">
        <f aca="false">IF($A20="","",COUNTIFS(Registre!$B$5:$B$1004,"&gt;="&amp;$D$5,Registre!$B$5:$B$1004,"&lt;="&amp;$D$6,Registre!$M$5:$M$1004,$A20))</f>
        <v>0</v>
      </c>
      <c r="C20" s="24" t="n">
        <f aca="false">IF($A20="","",COUNTIFS(Registre!$M$5:$M$1004,$A20,Registre!$R$5:$R$1004,"&gt;="&amp;$D$5,Registre!$R$5:$R$1004,"&lt;="&amp;$D$6))</f>
        <v>0</v>
      </c>
      <c r="D20" s="24" t="n">
        <f aca="false">IF($A20="","",COUNTIFS(Registre!$M$5:$M$1004,$A20,Registre!$B$5:$B$1004,"&lt;="&amp;$D$7,Registre!$R$5:$R$1004,"",Registre!$Q$5:$Q$1004,"&lt;&gt;Classé sans suite")+COUNTIFS(Registre!$M$5:$M$1004,$A20,Registre!$B$5:$B$1004,"&lt;="&amp;$D$7,Registre!$R$5:$R$1004,"&gt;"&amp;$D$7))</f>
        <v>1</v>
      </c>
      <c r="E20" s="24" t="n">
        <f aca="false">IF($A20="","",COUNTIFS(Registre!$M$5:$M$1004,$A20,Registre!$B$5:$B$1004,"&lt;="&amp;$D$7,Registre!$R$5:$R$1004,"",Registre!$P$5:$P$1004,"&lt;"&amp;$D$7,Registre!$Q$5:$Q$1004,"&lt;&gt;Classé sans suite")+COUNTIFS(Registre!$M$5:$M$1004,$A20,Registre!$B$5:$B$1004,"&lt;="&amp;$D$7,Registre!$R$5:$R$1004,"&gt;"&amp;$D$7,Registre!$P$5:$P$1004,"&lt;"&amp;$D$7))</f>
        <v>0</v>
      </c>
    </row>
    <row r="21" customFormat="false" ht="15" hidden="false" customHeight="false" outlineLevel="0" collapsed="false">
      <c r="A21" s="23" t="str">
        <f aca="false">IF(Paramètres!$A$8="","",Paramètres!$A$8)</f>
        <v>Direction des Ressources Humaines</v>
      </c>
      <c r="B21" s="24" t="n">
        <f aca="false">IF($A21="","",COUNTIFS(Registre!$B$5:$B$1004,"&gt;="&amp;$D$5,Registre!$B$5:$B$1004,"&lt;="&amp;$D$6,Registre!$M$5:$M$1004,$A21))</f>
        <v>0</v>
      </c>
      <c r="C21" s="24" t="n">
        <f aca="false">IF($A21="","",COUNTIFS(Registre!$M$5:$M$1004,$A21,Registre!$R$5:$R$1004,"&gt;="&amp;$D$5,Registre!$R$5:$R$1004,"&lt;="&amp;$D$6))</f>
        <v>1</v>
      </c>
      <c r="D21" s="24" t="n">
        <f aca="false">IF($A21="","",COUNTIFS(Registre!$M$5:$M$1004,$A21,Registre!$B$5:$B$1004,"&lt;="&amp;$D$7,Registre!$R$5:$R$1004,"",Registre!$Q$5:$Q$1004,"&lt;&gt;Classé sans suite")+COUNTIFS(Registre!$M$5:$M$1004,$A21,Registre!$B$5:$B$1004,"&lt;="&amp;$D$7,Registre!$R$5:$R$1004,"&gt;"&amp;$D$7))</f>
        <v>0</v>
      </c>
      <c r="E21" s="24" t="n">
        <f aca="false">IF($A21="","",COUNTIFS(Registre!$M$5:$M$1004,$A21,Registre!$B$5:$B$1004,"&lt;="&amp;$D$7,Registre!$R$5:$R$1004,"",Registre!$P$5:$P$1004,"&lt;"&amp;$D$7,Registre!$Q$5:$Q$1004,"&lt;&gt;Classé sans suite")+COUNTIFS(Registre!$M$5:$M$1004,$A21,Registre!$B$5:$B$1004,"&lt;="&amp;$D$7,Registre!$R$5:$R$1004,"&gt;"&amp;$D$7,Registre!$P$5:$P$1004,"&lt;"&amp;$D$7))</f>
        <v>0</v>
      </c>
    </row>
    <row r="22" customFormat="false" ht="15" hidden="false" customHeight="false" outlineLevel="0" collapsed="false">
      <c r="A22" s="23" t="str">
        <f aca="false">IF(Paramètres!$A$9="","",Paramètres!$A$9)</f>
        <v>Direction de la Planification et des Études</v>
      </c>
      <c r="B22" s="24" t="n">
        <f aca="false">IF($A22="","",COUNTIFS(Registre!$B$5:$B$1004,"&gt;="&amp;$D$5,Registre!$B$5:$B$1004,"&lt;="&amp;$D$6,Registre!$M$5:$M$1004,$A22))</f>
        <v>0</v>
      </c>
      <c r="C22" s="24" t="n">
        <f aca="false">IF($A22="","",COUNTIFS(Registre!$M$5:$M$1004,$A22,Registre!$R$5:$R$1004,"&gt;="&amp;$D$5,Registre!$R$5:$R$1004,"&lt;="&amp;$D$6))</f>
        <v>0</v>
      </c>
      <c r="D22" s="24" t="n">
        <f aca="false">IF($A22="","",COUNTIFS(Registre!$M$5:$M$1004,$A22,Registre!$B$5:$B$1004,"&lt;="&amp;$D$7,Registre!$R$5:$R$1004,"",Registre!$Q$5:$Q$1004,"&lt;&gt;Classé sans suite")+COUNTIFS(Registre!$M$5:$M$1004,$A22,Registre!$B$5:$B$1004,"&lt;="&amp;$D$7,Registre!$R$5:$R$1004,"&gt;"&amp;$D$7))</f>
        <v>1</v>
      </c>
      <c r="E22" s="24" t="n">
        <f aca="false">IF($A22="","",COUNTIFS(Registre!$M$5:$M$1004,$A22,Registre!$B$5:$B$1004,"&lt;="&amp;$D$7,Registre!$R$5:$R$1004,"",Registre!$P$5:$P$1004,"&lt;"&amp;$D$7,Registre!$Q$5:$Q$1004,"&lt;&gt;Classé sans suite")+COUNTIFS(Registre!$M$5:$M$1004,$A22,Registre!$B$5:$B$1004,"&lt;="&amp;$D$7,Registre!$R$5:$R$1004,"&gt;"&amp;$D$7,Registre!$P$5:$P$1004,"&lt;"&amp;$D$7))</f>
        <v>0</v>
      </c>
    </row>
    <row r="23" customFormat="false" ht="15" hidden="false" customHeight="false" outlineLevel="0" collapsed="false">
      <c r="A23" s="23" t="str">
        <f aca="false">IF(Paramètres!$A$10="","",Paramètres!$A$10)</f>
        <v>Direction des Affaires Juridiques</v>
      </c>
      <c r="B23" s="24" t="n">
        <f aca="false">IF($A23="","",COUNTIFS(Registre!$B$5:$B$1004,"&gt;="&amp;$D$5,Registre!$B$5:$B$1004,"&lt;="&amp;$D$6,Registre!$M$5:$M$1004,$A23))</f>
        <v>1</v>
      </c>
      <c r="C23" s="24" t="n">
        <f aca="false">IF($A23="","",COUNTIFS(Registre!$M$5:$M$1004,$A23,Registre!$R$5:$R$1004,"&gt;="&amp;$D$5,Registre!$R$5:$R$1004,"&lt;="&amp;$D$6))</f>
        <v>0</v>
      </c>
      <c r="D23" s="24" t="n">
        <f aca="false">IF($A23="","",COUNTIFS(Registre!$M$5:$M$1004,$A23,Registre!$B$5:$B$1004,"&lt;="&amp;$D$7,Registre!$R$5:$R$1004,"",Registre!$Q$5:$Q$1004,"&lt;&gt;Classé sans suite")+COUNTIFS(Registre!$M$5:$M$1004,$A23,Registre!$B$5:$B$1004,"&lt;="&amp;$D$7,Registre!$R$5:$R$1004,"&gt;"&amp;$D$7))</f>
        <v>1</v>
      </c>
      <c r="E23" s="24" t="n">
        <f aca="false">IF($A23="","",COUNTIFS(Registre!$M$5:$M$1004,$A23,Registre!$B$5:$B$1004,"&lt;="&amp;$D$7,Registre!$R$5:$R$1004,"",Registre!$P$5:$P$1004,"&lt;"&amp;$D$7,Registre!$Q$5:$Q$1004,"&lt;&gt;Classé sans suite")+COUNTIFS(Registre!$M$5:$M$1004,$A23,Registre!$B$5:$B$1004,"&lt;="&amp;$D$7,Registre!$R$5:$R$1004,"&gt;"&amp;$D$7,Registre!$P$5:$P$1004,"&lt;"&amp;$D$7))</f>
        <v>0</v>
      </c>
    </row>
    <row r="24" customFormat="false" ht="15" hidden="false" customHeight="false" outlineLevel="0" collapsed="false">
      <c r="A24" s="23" t="str">
        <f aca="false">IF(Paramètres!$A$11="","",Paramètres!$A$11)</f>
        <v>Direction de la Communication</v>
      </c>
      <c r="B24" s="24" t="n">
        <f aca="false">IF($A24="","",COUNTIFS(Registre!$B$5:$B$1004,"&gt;="&amp;$D$5,Registre!$B$5:$B$1004,"&lt;="&amp;$D$6,Registre!$M$5:$M$1004,$A24))</f>
        <v>1</v>
      </c>
      <c r="C24" s="24" t="n">
        <f aca="false">IF($A24="","",COUNTIFS(Registre!$M$5:$M$1004,$A24,Registre!$R$5:$R$1004,"&gt;="&amp;$D$5,Registre!$R$5:$R$1004,"&lt;="&amp;$D$6))</f>
        <v>0</v>
      </c>
      <c r="D24" s="24" t="n">
        <f aca="false">IF($A24="","",COUNTIFS(Registre!$M$5:$M$1004,$A24,Registre!$B$5:$B$1004,"&lt;="&amp;$D$7,Registre!$R$5:$R$1004,"",Registre!$Q$5:$Q$1004,"&lt;&gt;Classé sans suite")+COUNTIFS(Registre!$M$5:$M$1004,$A24,Registre!$B$5:$B$1004,"&lt;="&amp;$D$7,Registre!$R$5:$R$1004,"&gt;"&amp;$D$7))</f>
        <v>0</v>
      </c>
      <c r="E24" s="24" t="n">
        <f aca="false">IF($A24="","",COUNTIFS(Registre!$M$5:$M$1004,$A24,Registre!$B$5:$B$1004,"&lt;="&amp;$D$7,Registre!$R$5:$R$1004,"",Registre!$P$5:$P$1004,"&lt;"&amp;$D$7,Registre!$Q$5:$Q$1004,"&lt;&gt;Classé sans suite")+COUNTIFS(Registre!$M$5:$M$1004,$A24,Registre!$B$5:$B$1004,"&lt;="&amp;$D$7,Registre!$R$5:$R$1004,"&gt;"&amp;$D$7,Registre!$P$5:$P$1004,"&lt;"&amp;$D$7))</f>
        <v>0</v>
      </c>
    </row>
    <row r="25" customFormat="false" ht="15" hidden="false" customHeight="false" outlineLevel="0" collapsed="false">
      <c r="A25" s="23" t="str">
        <f aca="false">IF(Paramètres!$A$12="","",Paramètres!$A$12)</f>
        <v>Inspection Générale</v>
      </c>
      <c r="B25" s="24" t="n">
        <f aca="false">IF($A25="","",COUNTIFS(Registre!$B$5:$B$1004,"&gt;="&amp;$D$5,Registre!$B$5:$B$1004,"&lt;="&amp;$D$6,Registre!$M$5:$M$1004,$A25))</f>
        <v>1</v>
      </c>
      <c r="C25" s="24" t="n">
        <f aca="false">IF($A25="","",COUNTIFS(Registre!$M$5:$M$1004,$A25,Registre!$R$5:$R$1004,"&gt;="&amp;$D$5,Registre!$R$5:$R$1004,"&lt;="&amp;$D$6))</f>
        <v>0</v>
      </c>
      <c r="D25" s="24" t="n">
        <f aca="false">IF($A25="","",COUNTIFS(Registre!$M$5:$M$1004,$A25,Registre!$B$5:$B$1004,"&lt;="&amp;$D$7,Registre!$R$5:$R$1004,"",Registre!$Q$5:$Q$1004,"&lt;&gt;Classé sans suite")+COUNTIFS(Registre!$M$5:$M$1004,$A25,Registre!$B$5:$B$1004,"&lt;="&amp;$D$7,Registre!$R$5:$R$1004,"&gt;"&amp;$D$7))</f>
        <v>1</v>
      </c>
      <c r="E25" s="24" t="n">
        <f aca="false">IF($A25="","",COUNTIFS(Registre!$M$5:$M$1004,$A25,Registre!$B$5:$B$1004,"&lt;="&amp;$D$7,Registre!$R$5:$R$1004,"",Registre!$P$5:$P$1004,"&lt;"&amp;$D$7,Registre!$Q$5:$Q$1004,"&lt;&gt;Classé sans suite")+COUNTIFS(Registre!$M$5:$M$1004,$A25,Registre!$B$5:$B$1004,"&lt;="&amp;$D$7,Registre!$R$5:$R$1004,"&gt;"&amp;$D$7,Registre!$P$5:$P$1004,"&lt;"&amp;$D$7))</f>
        <v>0</v>
      </c>
    </row>
    <row r="26" customFormat="false" ht="15" hidden="false" customHeight="false" outlineLevel="0" collapsed="false">
      <c r="A26" s="23" t="str">
        <f aca="false">IF(Paramètres!$A$13="","",Paramètres!$A$13)</f>
        <v/>
      </c>
      <c r="B26" s="24" t="str">
        <f aca="false">IF($A26="","",COUNTIFS(Registre!$B$5:$B$1004,"&gt;="&amp;$D$5,Registre!$B$5:$B$1004,"&lt;="&amp;$D$6,Registre!$M$5:$M$1004,$A26))</f>
        <v/>
      </c>
      <c r="C26" s="24" t="str">
        <f aca="false">IF($A26="","",COUNTIFS(Registre!$M$5:$M$1004,$A26,Registre!$R$5:$R$1004,"&gt;="&amp;$D$5,Registre!$R$5:$R$1004,"&lt;="&amp;$D$6))</f>
        <v/>
      </c>
      <c r="D26" s="24" t="str">
        <f aca="false">IF($A26="","",COUNTIFS(Registre!$M$5:$M$1004,$A26,Registre!$B$5:$B$1004,"&lt;="&amp;$D$7,Registre!$R$5:$R$1004,"",Registre!$Q$5:$Q$1004,"&lt;&gt;Classé sans suite")+COUNTIFS(Registre!$M$5:$M$1004,$A26,Registre!$B$5:$B$1004,"&lt;="&amp;$D$7,Registre!$R$5:$R$1004,"&gt;"&amp;$D$7))</f>
        <v/>
      </c>
      <c r="E26" s="24" t="str">
        <f aca="false">IF($A26="","",COUNTIFS(Registre!$M$5:$M$1004,$A26,Registre!$B$5:$B$1004,"&lt;="&amp;$D$7,Registre!$R$5:$R$1004,"",Registre!$P$5:$P$1004,"&lt;"&amp;$D$7,Registre!$Q$5:$Q$1004,"&lt;&gt;Classé sans suite")+COUNTIFS(Registre!$M$5:$M$1004,$A26,Registre!$B$5:$B$1004,"&lt;="&amp;$D$7,Registre!$R$5:$R$1004,"&gt;"&amp;$D$7,Registre!$P$5:$P$1004,"&lt;"&amp;$D$7))</f>
        <v/>
      </c>
    </row>
    <row r="27" customFormat="false" ht="15" hidden="false" customHeight="false" outlineLevel="0" collapsed="false">
      <c r="A27" s="23" t="str">
        <f aca="false">IF(Paramètres!$A$14="","",Paramètres!$A$14)</f>
        <v/>
      </c>
      <c r="B27" s="24" t="str">
        <f aca="false">IF($A27="","",COUNTIFS(Registre!$B$5:$B$1004,"&gt;="&amp;$D$5,Registre!$B$5:$B$1004,"&lt;="&amp;$D$6,Registre!$M$5:$M$1004,$A27))</f>
        <v/>
      </c>
      <c r="C27" s="24" t="str">
        <f aca="false">IF($A27="","",COUNTIFS(Registre!$M$5:$M$1004,$A27,Registre!$R$5:$R$1004,"&gt;="&amp;$D$5,Registre!$R$5:$R$1004,"&lt;="&amp;$D$6))</f>
        <v/>
      </c>
      <c r="D27" s="24" t="str">
        <f aca="false">IF($A27="","",COUNTIFS(Registre!$M$5:$M$1004,$A27,Registre!$B$5:$B$1004,"&lt;="&amp;$D$7,Registre!$R$5:$R$1004,"",Registre!$Q$5:$Q$1004,"&lt;&gt;Classé sans suite")+COUNTIFS(Registre!$M$5:$M$1004,$A27,Registre!$B$5:$B$1004,"&lt;="&amp;$D$7,Registre!$R$5:$R$1004,"&gt;"&amp;$D$7))</f>
        <v/>
      </c>
      <c r="E27" s="24" t="str">
        <f aca="false">IF($A27="","",COUNTIFS(Registre!$M$5:$M$1004,$A27,Registre!$B$5:$B$1004,"&lt;="&amp;$D$7,Registre!$R$5:$R$1004,"",Registre!$P$5:$P$1004,"&lt;"&amp;$D$7,Registre!$Q$5:$Q$1004,"&lt;&gt;Classé sans suite")+COUNTIFS(Registre!$M$5:$M$1004,$A27,Registre!$B$5:$B$1004,"&lt;="&amp;$D$7,Registre!$R$5:$R$1004,"&gt;"&amp;$D$7,Registre!$P$5:$P$1004,"&lt;"&amp;$D$7))</f>
        <v/>
      </c>
    </row>
    <row r="28" customFormat="false" ht="15" hidden="false" customHeight="false" outlineLevel="0" collapsed="false">
      <c r="A28" s="23" t="str">
        <f aca="false">IF(Paramètres!$A$15="","",Paramètres!$A$15)</f>
        <v/>
      </c>
      <c r="B28" s="24" t="str">
        <f aca="false">IF($A28="","",COUNTIFS(Registre!$B$5:$B$1004,"&gt;="&amp;$D$5,Registre!$B$5:$B$1004,"&lt;="&amp;$D$6,Registre!$M$5:$M$1004,$A28))</f>
        <v/>
      </c>
      <c r="C28" s="24" t="str">
        <f aca="false">IF($A28="","",COUNTIFS(Registre!$M$5:$M$1004,$A28,Registre!$R$5:$R$1004,"&gt;="&amp;$D$5,Registre!$R$5:$R$1004,"&lt;="&amp;$D$6))</f>
        <v/>
      </c>
      <c r="D28" s="24" t="str">
        <f aca="false">IF($A28="","",COUNTIFS(Registre!$M$5:$M$1004,$A28,Registre!$B$5:$B$1004,"&lt;="&amp;$D$7,Registre!$R$5:$R$1004,"",Registre!$Q$5:$Q$1004,"&lt;&gt;Classé sans suite")+COUNTIFS(Registre!$M$5:$M$1004,$A28,Registre!$B$5:$B$1004,"&lt;="&amp;$D$7,Registre!$R$5:$R$1004,"&gt;"&amp;$D$7))</f>
        <v/>
      </c>
      <c r="E28" s="24" t="str">
        <f aca="false">IF($A28="","",COUNTIFS(Registre!$M$5:$M$1004,$A28,Registre!$B$5:$B$1004,"&lt;="&amp;$D$7,Registre!$R$5:$R$1004,"",Registre!$P$5:$P$1004,"&lt;"&amp;$D$7,Registre!$Q$5:$Q$1004,"&lt;&gt;Classé sans suite")+COUNTIFS(Registre!$M$5:$M$1004,$A28,Registre!$B$5:$B$1004,"&lt;="&amp;$D$7,Registre!$R$5:$R$1004,"&gt;"&amp;$D$7,Registre!$P$5:$P$1004,"&lt;"&amp;$D$7))</f>
        <v/>
      </c>
    </row>
    <row r="29" customFormat="false" ht="15" hidden="false" customHeight="false" outlineLevel="0" collapsed="false">
      <c r="A29" s="23" t="str">
        <f aca="false">IF(Paramètres!$A$16="","",Paramètres!$A$16)</f>
        <v/>
      </c>
      <c r="B29" s="24" t="str">
        <f aca="false">IF($A29="","",COUNTIFS(Registre!$B$5:$B$1004,"&gt;="&amp;$D$5,Registre!$B$5:$B$1004,"&lt;="&amp;$D$6,Registre!$M$5:$M$1004,$A29))</f>
        <v/>
      </c>
      <c r="C29" s="24" t="str">
        <f aca="false">IF($A29="","",COUNTIFS(Registre!$M$5:$M$1004,$A29,Registre!$R$5:$R$1004,"&gt;="&amp;$D$5,Registre!$R$5:$R$1004,"&lt;="&amp;$D$6))</f>
        <v/>
      </c>
      <c r="D29" s="24" t="str">
        <f aca="false">IF($A29="","",COUNTIFS(Registre!$M$5:$M$1004,$A29,Registre!$B$5:$B$1004,"&lt;="&amp;$D$7,Registre!$R$5:$R$1004,"",Registre!$Q$5:$Q$1004,"&lt;&gt;Classé sans suite")+COUNTIFS(Registre!$M$5:$M$1004,$A29,Registre!$B$5:$B$1004,"&lt;="&amp;$D$7,Registre!$R$5:$R$1004,"&gt;"&amp;$D$7))</f>
        <v/>
      </c>
      <c r="E29" s="24" t="str">
        <f aca="false">IF($A29="","",COUNTIFS(Registre!$M$5:$M$1004,$A29,Registre!$B$5:$B$1004,"&lt;="&amp;$D$7,Registre!$R$5:$R$1004,"",Registre!$P$5:$P$1004,"&lt;"&amp;$D$7,Registre!$Q$5:$Q$1004,"&lt;&gt;Classé sans suite")+COUNTIFS(Registre!$M$5:$M$1004,$A29,Registre!$B$5:$B$1004,"&lt;="&amp;$D$7,Registre!$R$5:$R$1004,"&gt;"&amp;$D$7,Registre!$P$5:$P$1004,"&lt;"&amp;$D$7))</f>
        <v/>
      </c>
    </row>
    <row r="30" customFormat="false" ht="15" hidden="false" customHeight="false" outlineLevel="0" collapsed="false">
      <c r="A30" s="25" t="s">
        <v>136</v>
      </c>
      <c r="B30" s="17" t="n">
        <f aca="false">SUM(B18:B29)</f>
        <v>4</v>
      </c>
      <c r="C30" s="17" t="n">
        <f aca="false">SUM(C18:C29)</f>
        <v>1</v>
      </c>
      <c r="D30" s="17" t="n">
        <f aca="false">SUM(D18:D29)</f>
        <v>5</v>
      </c>
      <c r="E30" s="17" t="n">
        <f aca="false">SUM(E18:E29)</f>
        <v>1</v>
      </c>
    </row>
    <row r="31" customFormat="false" ht="15" hidden="false" customHeight="false" outlineLevel="0" collapsed="false">
      <c r="A31" s="26" t="s">
        <v>137</v>
      </c>
      <c r="B31" s="27" t="n">
        <f aca="false">COUNTIFS(Registre!$B$5:$B$1004,"&gt;="&amp;$D$5,Registre!$B$5:$B$1004,"&lt;="&amp;$D$6,Registre!$M$5:$M$1004,"")</f>
        <v>0</v>
      </c>
    </row>
    <row r="33" customFormat="false" ht="15" hidden="false" customHeight="false" outlineLevel="0" collapsed="false">
      <c r="A33" s="13" t="s">
        <v>138</v>
      </c>
    </row>
    <row r="34" customFormat="false" ht="15" hidden="false" customHeight="false" outlineLevel="0" collapsed="false">
      <c r="A34" s="6" t="s">
        <v>131</v>
      </c>
      <c r="B34" s="6" t="s">
        <v>132</v>
      </c>
      <c r="C34" s="6" t="s">
        <v>139</v>
      </c>
    </row>
    <row r="35" customFormat="false" ht="15" hidden="false" customHeight="false" outlineLevel="0" collapsed="false">
      <c r="A35" s="23" t="str">
        <f aca="false">IF(Paramètres!$B$5="","",Paramètres!$B$5)</f>
        <v>Lettre</v>
      </c>
      <c r="B35" s="24" t="n">
        <f aca="false">IF($A35="","",COUNTIFS(Registre!$B$5:$B$1004,"&gt;="&amp;$D$5,Registre!$B$5:$B$1004,"&lt;="&amp;$D$6,Registre!$J$5:$J$1004,$A35))</f>
        <v>0</v>
      </c>
      <c r="C35" s="28" t="n">
        <f aca="false">IF($A35="","",IF($B$45=0,0,COUNTIFS(Registre!$B$5:$B$1004,"&gt;="&amp;$D$5,Registre!$B$5:$B$1004,"&lt;="&amp;$D$6,Registre!$J$5:$J$1004,$A35)/$B$45))</f>
        <v>0</v>
      </c>
    </row>
    <row r="36" customFormat="false" ht="15" hidden="false" customHeight="false" outlineLevel="0" collapsed="false">
      <c r="A36" s="23" t="str">
        <f aca="false">IF(Paramètres!$B$6="","",Paramètres!$B$6)</f>
        <v>Note de service</v>
      </c>
      <c r="B36" s="24" t="n">
        <f aca="false">IF($A36="","",COUNTIFS(Registre!$B$5:$B$1004,"&gt;="&amp;$D$5,Registre!$B$5:$B$1004,"&lt;="&amp;$D$6,Registre!$J$5:$J$1004,$A36))</f>
        <v>0</v>
      </c>
      <c r="C36" s="28" t="n">
        <f aca="false">IF($A36="","",IF($B$45=0,0,COUNTIFS(Registre!$B$5:$B$1004,"&gt;="&amp;$D$5,Registre!$B$5:$B$1004,"&lt;="&amp;$D$6,Registre!$J$5:$J$1004,$A36)/$B$45))</f>
        <v>0</v>
      </c>
    </row>
    <row r="37" customFormat="false" ht="15" hidden="false" customHeight="false" outlineLevel="0" collapsed="false">
      <c r="A37" s="23" t="str">
        <f aca="false">IF(Paramètres!$B$7="","",Paramètres!$B$7)</f>
        <v>Demande</v>
      </c>
      <c r="B37" s="24" t="n">
        <f aca="false">IF($A37="","",COUNTIFS(Registre!$B$5:$B$1004,"&gt;="&amp;$D$5,Registre!$B$5:$B$1004,"&lt;="&amp;$D$6,Registre!$J$5:$J$1004,$A37))</f>
        <v>1</v>
      </c>
      <c r="C37" s="28" t="n">
        <f aca="false">IF($A37="","",IF($B$45=0,0,COUNTIFS(Registre!$B$5:$B$1004,"&gt;="&amp;$D$5,Registre!$B$5:$B$1004,"&lt;="&amp;$D$6,Registre!$J$5:$J$1004,$A37)/$B$45))</f>
        <v>0.25</v>
      </c>
    </row>
    <row r="38" customFormat="false" ht="15" hidden="false" customHeight="false" outlineLevel="0" collapsed="false">
      <c r="A38" s="23" t="str">
        <f aca="false">IF(Paramètres!$B$8="","",Paramètres!$B$8)</f>
        <v>Réclamation</v>
      </c>
      <c r="B38" s="24" t="n">
        <f aca="false">IF($A38="","",COUNTIFS(Registre!$B$5:$B$1004,"&gt;="&amp;$D$5,Registre!$B$5:$B$1004,"&lt;="&amp;$D$6,Registre!$J$5:$J$1004,$A38))</f>
        <v>1</v>
      </c>
      <c r="C38" s="28" t="n">
        <f aca="false">IF($A38="","",IF($B$45=0,0,COUNTIFS(Registre!$B$5:$B$1004,"&gt;="&amp;$D$5,Registre!$B$5:$B$1004,"&lt;="&amp;$D$6,Registre!$J$5:$J$1004,$A38)/$B$45))</f>
        <v>0.25</v>
      </c>
    </row>
    <row r="39" customFormat="false" ht="15" hidden="false" customHeight="false" outlineLevel="0" collapsed="false">
      <c r="A39" s="23" t="str">
        <f aca="false">IF(Paramètres!$B$9="","",Paramètres!$B$9)</f>
        <v>Invitation</v>
      </c>
      <c r="B39" s="24" t="n">
        <f aca="false">IF($A39="","",COUNTIFS(Registre!$B$5:$B$1004,"&gt;="&amp;$D$5,Registre!$B$5:$B$1004,"&lt;="&amp;$D$6,Registre!$J$5:$J$1004,$A39))</f>
        <v>1</v>
      </c>
      <c r="C39" s="28" t="n">
        <f aca="false">IF($A39="","",IF($B$45=0,0,COUNTIFS(Registre!$B$5:$B$1004,"&gt;="&amp;$D$5,Registre!$B$5:$B$1004,"&lt;="&amp;$D$6,Registre!$J$5:$J$1004,$A39)/$B$45))</f>
        <v>0.25</v>
      </c>
    </row>
    <row r="40" customFormat="false" ht="15" hidden="false" customHeight="false" outlineLevel="0" collapsed="false">
      <c r="A40" s="23" t="str">
        <f aca="false">IF(Paramètres!$B$10="","",Paramètres!$B$10)</f>
        <v>Rapport</v>
      </c>
      <c r="B40" s="24" t="n">
        <f aca="false">IF($A40="","",COUNTIFS(Registre!$B$5:$B$1004,"&gt;="&amp;$D$5,Registre!$B$5:$B$1004,"&lt;="&amp;$D$6,Registre!$J$5:$J$1004,$A40))</f>
        <v>0</v>
      </c>
      <c r="C40" s="28" t="n">
        <f aca="false">IF($A40="","",IF($B$45=0,0,COUNTIFS(Registre!$B$5:$B$1004,"&gt;="&amp;$D$5,Registre!$B$5:$B$1004,"&lt;="&amp;$D$6,Registre!$J$5:$J$1004,$A40)/$B$45))</f>
        <v>0</v>
      </c>
    </row>
    <row r="41" customFormat="false" ht="15" hidden="false" customHeight="false" outlineLevel="0" collapsed="false">
      <c r="A41" s="23" t="str">
        <f aca="false">IF(Paramètres!$B$11="","",Paramètres!$B$11)</f>
        <v>Facture</v>
      </c>
      <c r="B41" s="24" t="n">
        <f aca="false">IF($A41="","",COUNTIFS(Registre!$B$5:$B$1004,"&gt;="&amp;$D$5,Registre!$B$5:$B$1004,"&lt;="&amp;$D$6,Registre!$J$5:$J$1004,$A41))</f>
        <v>0</v>
      </c>
      <c r="C41" s="28" t="n">
        <f aca="false">IF($A41="","",IF($B$45=0,0,COUNTIFS(Registre!$B$5:$B$1004,"&gt;="&amp;$D$5,Registre!$B$5:$B$1004,"&lt;="&amp;$D$6,Registre!$J$5:$J$1004,$A41)/$B$45))</f>
        <v>0</v>
      </c>
    </row>
    <row r="42" customFormat="false" ht="15" hidden="false" customHeight="false" outlineLevel="0" collapsed="false">
      <c r="A42" s="23" t="str">
        <f aca="false">IF(Paramètres!$B$12="","",Paramètres!$B$12)</f>
        <v>Convocation</v>
      </c>
      <c r="B42" s="24" t="n">
        <f aca="false">IF($A42="","",COUNTIFS(Registre!$B$5:$B$1004,"&gt;="&amp;$D$5,Registre!$B$5:$B$1004,"&lt;="&amp;$D$6,Registre!$J$5:$J$1004,$A42))</f>
        <v>0</v>
      </c>
      <c r="C42" s="28" t="n">
        <f aca="false">IF($A42="","",IF($B$45=0,0,COUNTIFS(Registre!$B$5:$B$1004,"&gt;="&amp;$D$5,Registre!$B$5:$B$1004,"&lt;="&amp;$D$6,Registre!$J$5:$J$1004,$A42)/$B$45))</f>
        <v>0</v>
      </c>
    </row>
    <row r="43" customFormat="false" ht="15" hidden="false" customHeight="false" outlineLevel="0" collapsed="false">
      <c r="A43" s="23" t="str">
        <f aca="false">IF(Paramètres!$B$13="","",Paramètres!$B$13)</f>
        <v>Circulaire</v>
      </c>
      <c r="B43" s="24" t="n">
        <f aca="false">IF($A43="","",COUNTIFS(Registre!$B$5:$B$1004,"&gt;="&amp;$D$5,Registre!$B$5:$B$1004,"&lt;="&amp;$D$6,Registre!$J$5:$J$1004,$A43))</f>
        <v>1</v>
      </c>
      <c r="C43" s="28" t="n">
        <f aca="false">IF($A43="","",IF($B$45=0,0,COUNTIFS(Registre!$B$5:$B$1004,"&gt;="&amp;$D$5,Registre!$B$5:$B$1004,"&lt;="&amp;$D$6,Registre!$J$5:$J$1004,$A43)/$B$45))</f>
        <v>0.25</v>
      </c>
    </row>
    <row r="44" customFormat="false" ht="15" hidden="false" customHeight="false" outlineLevel="0" collapsed="false">
      <c r="A44" s="23" t="str">
        <f aca="false">IF(Paramètres!$B$14="","",Paramètres!$B$14)</f>
        <v>Autre</v>
      </c>
      <c r="B44" s="24" t="n">
        <f aca="false">IF($A44="","",COUNTIFS(Registre!$B$5:$B$1004,"&gt;="&amp;$D$5,Registre!$B$5:$B$1004,"&lt;="&amp;$D$6,Registre!$J$5:$J$1004,$A44))</f>
        <v>0</v>
      </c>
      <c r="C44" s="28" t="n">
        <f aca="false">IF($A44="","",IF($B$45=0,0,COUNTIFS(Registre!$B$5:$B$1004,"&gt;="&amp;$D$5,Registre!$B$5:$B$1004,"&lt;="&amp;$D$6,Registre!$J$5:$J$1004,$A44)/$B$45))</f>
        <v>0</v>
      </c>
    </row>
    <row r="45" customFormat="false" ht="15" hidden="false" customHeight="false" outlineLevel="0" collapsed="false">
      <c r="A45" s="25" t="s">
        <v>136</v>
      </c>
      <c r="B45" s="17" t="n">
        <f aca="false">SUM(B35:B44)</f>
        <v>4</v>
      </c>
      <c r="C45" s="20" t="n">
        <f aca="false">SUM(C35:C44)</f>
        <v>1</v>
      </c>
    </row>
    <row r="47" customFormat="false" ht="15" hidden="false" customHeight="false" outlineLevel="0" collapsed="false">
      <c r="A47" s="13" t="s">
        <v>140</v>
      </c>
    </row>
    <row r="48" customFormat="false" ht="15" hidden="false" customHeight="false" outlineLevel="0" collapsed="false">
      <c r="A48" s="6" t="s">
        <v>131</v>
      </c>
      <c r="B48" s="6" t="s">
        <v>132</v>
      </c>
      <c r="C48" s="6" t="s">
        <v>139</v>
      </c>
    </row>
    <row r="49" customFormat="false" ht="15" hidden="false" customHeight="false" outlineLevel="0" collapsed="false">
      <c r="A49" s="23" t="str">
        <f aca="false">IF(Paramètres!$F$5="","",Paramètres!$F$5)</f>
        <v>Très urgent</v>
      </c>
      <c r="B49" s="24" t="n">
        <f aca="false">IF($A49="","",COUNTIFS(Registre!$B$5:$B$1004,"&gt;="&amp;$D$5,Registre!$B$5:$B$1004,"&lt;="&amp;$D$6,Registre!$L$5:$L$1004,$A49))</f>
        <v>1</v>
      </c>
      <c r="C49" s="28" t="n">
        <f aca="false">IF($A49="","",IF($B$53=0,0,COUNTIFS(Registre!$B$5:$B$1004,"&gt;="&amp;$D$5,Registre!$B$5:$B$1004,"&lt;="&amp;$D$6,Registre!$L$5:$L$1004,$A49)/$B$53))</f>
        <v>0.25</v>
      </c>
    </row>
    <row r="50" customFormat="false" ht="15" hidden="false" customHeight="false" outlineLevel="0" collapsed="false">
      <c r="A50" s="23" t="str">
        <f aca="false">IF(Paramètres!$F$6="","",Paramètres!$F$6)</f>
        <v>Urgent</v>
      </c>
      <c r="B50" s="24" t="n">
        <f aca="false">IF($A50="","",COUNTIFS(Registre!$B$5:$B$1004,"&gt;="&amp;$D$5,Registre!$B$5:$B$1004,"&lt;="&amp;$D$6,Registre!$L$5:$L$1004,$A50))</f>
        <v>2</v>
      </c>
      <c r="C50" s="28" t="n">
        <f aca="false">IF($A50="","",IF($B$53=0,0,COUNTIFS(Registre!$B$5:$B$1004,"&gt;="&amp;$D$5,Registre!$B$5:$B$1004,"&lt;="&amp;$D$6,Registre!$L$5:$L$1004,$A50)/$B$53))</f>
        <v>0.5</v>
      </c>
    </row>
    <row r="51" customFormat="false" ht="15" hidden="false" customHeight="false" outlineLevel="0" collapsed="false">
      <c r="A51" s="23" t="str">
        <f aca="false">IF(Paramètres!$F$7="","",Paramètres!$F$7)</f>
        <v>Normal</v>
      </c>
      <c r="B51" s="24" t="n">
        <f aca="false">IF($A51="","",COUNTIFS(Registre!$B$5:$B$1004,"&gt;="&amp;$D$5,Registre!$B$5:$B$1004,"&lt;="&amp;$D$6,Registre!$L$5:$L$1004,$A51))</f>
        <v>0</v>
      </c>
      <c r="C51" s="28" t="n">
        <f aca="false">IF($A51="","",IF($B$53=0,0,COUNTIFS(Registre!$B$5:$B$1004,"&gt;="&amp;$D$5,Registre!$B$5:$B$1004,"&lt;="&amp;$D$6,Registre!$L$5:$L$1004,$A51)/$B$53))</f>
        <v>0</v>
      </c>
    </row>
    <row r="52" customFormat="false" ht="15" hidden="false" customHeight="false" outlineLevel="0" collapsed="false">
      <c r="A52" s="23" t="str">
        <f aca="false">IF(Paramètres!$F$8="","",Paramètres!$F$8)</f>
        <v>Pour information</v>
      </c>
      <c r="B52" s="24" t="n">
        <f aca="false">IF($A52="","",COUNTIFS(Registre!$B$5:$B$1004,"&gt;="&amp;$D$5,Registre!$B$5:$B$1004,"&lt;="&amp;$D$6,Registre!$L$5:$L$1004,$A52))</f>
        <v>1</v>
      </c>
      <c r="C52" s="28" t="n">
        <f aca="false">IF($A52="","",IF($B$53=0,0,COUNTIFS(Registre!$B$5:$B$1004,"&gt;="&amp;$D$5,Registre!$B$5:$B$1004,"&lt;="&amp;$D$6,Registre!$L$5:$L$1004,$A52)/$B$53))</f>
        <v>0.25</v>
      </c>
    </row>
    <row r="53" customFormat="false" ht="15" hidden="false" customHeight="false" outlineLevel="0" collapsed="false">
      <c r="A53" s="25" t="s">
        <v>136</v>
      </c>
      <c r="B53" s="17" t="n">
        <f aca="false">SUM(B49:B52)</f>
        <v>4</v>
      </c>
      <c r="C53" s="20" t="n">
        <f aca="false">SUM(C49:C52)</f>
        <v>1</v>
      </c>
    </row>
    <row r="56" customFormat="false" ht="15" hidden="false" customHeight="false" outlineLevel="0" collapsed="false">
      <c r="A56" s="13" t="s">
        <v>141</v>
      </c>
    </row>
    <row r="57" customFormat="false" ht="15" hidden="false" customHeight="false" outlineLevel="0" collapsed="false">
      <c r="A57" s="6" t="s">
        <v>131</v>
      </c>
      <c r="B57" s="6" t="s">
        <v>142</v>
      </c>
    </row>
    <row r="58" customFormat="false" ht="15" hidden="false" customHeight="false" outlineLevel="0" collapsed="false">
      <c r="A58" s="23" t="str">
        <f aca="false">IF(Paramètres!$E$5="","",Paramètres!$E$5)</f>
        <v>Reçu</v>
      </c>
      <c r="B58" s="24" t="n">
        <f aca="false">IF($A58="","",COUNTIFS(Registre!$B$5:$B$1004,"&gt;="&amp;$D$5,Registre!$B$5:$B$1004,"&lt;="&amp;$D$6,Registre!$Q$5:$Q$1004,$A58))</f>
        <v>0</v>
      </c>
    </row>
    <row r="59" customFormat="false" ht="15" hidden="false" customHeight="false" outlineLevel="0" collapsed="false">
      <c r="A59" s="23" t="str">
        <f aca="false">IF(Paramètres!$E$6="","",Paramètres!$E$6)</f>
        <v>Imputé</v>
      </c>
      <c r="B59" s="24" t="n">
        <f aca="false">IF($A59="","",COUNTIFS(Registre!$B$5:$B$1004,"&gt;="&amp;$D$5,Registre!$B$5:$B$1004,"&lt;="&amp;$D$6,Registre!$Q$5:$Q$1004,$A59))</f>
        <v>1</v>
      </c>
    </row>
    <row r="60" customFormat="false" ht="15" hidden="false" customHeight="false" outlineLevel="0" collapsed="false">
      <c r="A60" s="23" t="str">
        <f aca="false">IF(Paramètres!$E$7="","",Paramètres!$E$7)</f>
        <v>En cours</v>
      </c>
      <c r="B60" s="24" t="n">
        <f aca="false">IF($A60="","",COUNTIFS(Registre!$B$5:$B$1004,"&gt;="&amp;$D$5,Registre!$B$5:$B$1004,"&lt;="&amp;$D$6,Registre!$Q$5:$Q$1004,$A60))</f>
        <v>1</v>
      </c>
    </row>
    <row r="61" customFormat="false" ht="15" hidden="false" customHeight="false" outlineLevel="0" collapsed="false">
      <c r="A61" s="23" t="str">
        <f aca="false">IF(Paramètres!$E$8="","",Paramètres!$E$8)</f>
        <v>Traité</v>
      </c>
      <c r="B61" s="24" t="n">
        <f aca="false">IF($A61="","",COUNTIFS(Registre!$B$5:$B$1004,"&gt;="&amp;$D$5,Registre!$B$5:$B$1004,"&lt;="&amp;$D$6,Registre!$Q$5:$Q$1004,$A61))</f>
        <v>1</v>
      </c>
    </row>
    <row r="62" customFormat="false" ht="15" hidden="false" customHeight="false" outlineLevel="0" collapsed="false">
      <c r="A62" s="23" t="str">
        <f aca="false">IF(Paramètres!$E$9="","",Paramètres!$E$9)</f>
        <v>Classé sans suite</v>
      </c>
      <c r="B62" s="24" t="n">
        <f aca="false">IF($A62="","",COUNTIFS(Registre!$B$5:$B$1004,"&gt;="&amp;$D$5,Registre!$B$5:$B$1004,"&lt;="&amp;$D$6,Registre!$Q$5:$Q$1004,$A62))</f>
        <v>1</v>
      </c>
    </row>
    <row r="63" customFormat="false" ht="15" hidden="false" customHeight="false" outlineLevel="0" collapsed="false">
      <c r="A63" s="25" t="s">
        <v>136</v>
      </c>
      <c r="B63" s="17" t="n">
        <f aca="false">SUM(B58:B62)</f>
        <v>4</v>
      </c>
    </row>
    <row r="66" customFormat="false" ht="15" hidden="false" customHeight="false" outlineLevel="0" collapsed="false">
      <c r="A66" s="13" t="s">
        <v>143</v>
      </c>
    </row>
    <row r="67" customFormat="false" ht="15" hidden="false" customHeight="false" outlineLevel="0" collapsed="false">
      <c r="A67" s="6" t="s">
        <v>131</v>
      </c>
      <c r="B67" s="6" t="s">
        <v>132</v>
      </c>
    </row>
    <row r="68" customFormat="false" ht="15" hidden="false" customHeight="false" outlineLevel="0" collapsed="false">
      <c r="A68" s="23" t="str">
        <f aca="false">IF(Paramètres!$C$5="","",Paramètres!$C$5)</f>
        <v>Administration publique</v>
      </c>
      <c r="B68" s="24" t="n">
        <f aca="false">IF($A68="","",COUNTIFS(Registre!$B$5:$B$1004,"&gt;="&amp;$D$5,Registre!$B$5:$B$1004,"&lt;="&amp;$D$6,Registre!$H$5:$H$1004,$A68))</f>
        <v>2</v>
      </c>
    </row>
    <row r="69" customFormat="false" ht="15" hidden="false" customHeight="false" outlineLevel="0" collapsed="false">
      <c r="A69" s="23" t="str">
        <f aca="false">IF(Paramètres!$C$6="","",Paramètres!$C$6)</f>
        <v>Institution / Parlement</v>
      </c>
      <c r="B69" s="24" t="n">
        <f aca="false">IF($A69="","",COUNTIFS(Registre!$B$5:$B$1004,"&gt;="&amp;$D$5,Registre!$B$5:$B$1004,"&lt;="&amp;$D$6,Registre!$H$5:$H$1004,$A69))</f>
        <v>0</v>
      </c>
    </row>
    <row r="70" customFormat="false" ht="15" hidden="false" customHeight="false" outlineLevel="0" collapsed="false">
      <c r="A70" s="23" t="str">
        <f aca="false">IF(Paramètres!$C$7="","",Paramètres!$C$7)</f>
        <v>Partenaire technique et financier</v>
      </c>
      <c r="B70" s="24" t="n">
        <f aca="false">IF($A70="","",COUNTIFS(Registre!$B$5:$B$1004,"&gt;="&amp;$D$5,Registre!$B$5:$B$1004,"&lt;="&amp;$D$6,Registre!$H$5:$H$1004,$A70))</f>
        <v>0</v>
      </c>
    </row>
    <row r="71" customFormat="false" ht="15" hidden="false" customHeight="false" outlineLevel="0" collapsed="false">
      <c r="A71" s="23" t="str">
        <f aca="false">IF(Paramètres!$C$8="","",Paramètres!$C$8)</f>
        <v>Entreprise</v>
      </c>
      <c r="B71" s="24" t="n">
        <f aca="false">IF($A71="","",COUNTIFS(Registre!$B$5:$B$1004,"&gt;="&amp;$D$5,Registre!$B$5:$B$1004,"&lt;="&amp;$D$6,Registre!$H$5:$H$1004,$A71))</f>
        <v>0</v>
      </c>
    </row>
    <row r="72" customFormat="false" ht="15" hidden="false" customHeight="false" outlineLevel="0" collapsed="false">
      <c r="A72" s="23" t="str">
        <f aca="false">IF(Paramètres!$C$9="","",Paramètres!$C$9)</f>
        <v>Association / ONG</v>
      </c>
      <c r="B72" s="24" t="n">
        <f aca="false">IF($A72="","",COUNTIFS(Registre!$B$5:$B$1004,"&gt;="&amp;$D$5,Registre!$B$5:$B$1004,"&lt;="&amp;$D$6,Registre!$H$5:$H$1004,$A72))</f>
        <v>1</v>
      </c>
    </row>
    <row r="73" customFormat="false" ht="15" hidden="false" customHeight="false" outlineLevel="0" collapsed="false">
      <c r="A73" s="23" t="str">
        <f aca="false">IF(Paramètres!$C$10="","",Paramètres!$C$10)</f>
        <v>Particulier</v>
      </c>
      <c r="B73" s="24" t="n">
        <f aca="false">IF($A73="","",COUNTIFS(Registre!$B$5:$B$1004,"&gt;="&amp;$D$5,Registre!$B$5:$B$1004,"&lt;="&amp;$D$6,Registre!$H$5:$H$1004,$A73))</f>
        <v>1</v>
      </c>
    </row>
    <row r="74" customFormat="false" ht="15" hidden="false" customHeight="false" outlineLevel="0" collapsed="false">
      <c r="A74" s="23" t="str">
        <f aca="false">IF(Paramètres!$C$11="","",Paramètres!$C$11)</f>
        <v>Autre</v>
      </c>
      <c r="B74" s="24" t="n">
        <f aca="false">IF($A74="","",COUNTIFS(Registre!$B$5:$B$1004,"&gt;="&amp;$D$5,Registre!$B$5:$B$1004,"&lt;="&amp;$D$6,Registre!$H$5:$H$1004,$A74))</f>
        <v>0</v>
      </c>
    </row>
    <row r="75" customFormat="false" ht="15" hidden="false" customHeight="false" outlineLevel="0" collapsed="false">
      <c r="A75" s="25" t="s">
        <v>136</v>
      </c>
      <c r="B75" s="17" t="n">
        <f aca="false">SUM(B68:B74)</f>
        <v>4</v>
      </c>
    </row>
    <row r="78" customFormat="false" ht="15" hidden="false" customHeight="false" outlineLevel="0" collapsed="false">
      <c r="A78" s="13" t="s">
        <v>144</v>
      </c>
    </row>
    <row r="79" customFormat="false" ht="15" hidden="false" customHeight="false" outlineLevel="0" collapsed="false">
      <c r="A79" s="6" t="s">
        <v>131</v>
      </c>
      <c r="B79" s="6" t="s">
        <v>132</v>
      </c>
    </row>
    <row r="80" customFormat="false" ht="15" hidden="false" customHeight="false" outlineLevel="0" collapsed="false">
      <c r="A80" s="23" t="str">
        <f aca="false">IF(Paramètres!$D$5="","",Paramètres!$D$5)</f>
        <v>Dépôt physique</v>
      </c>
      <c r="B80" s="24" t="n">
        <f aca="false">IF($A80="","",COUNTIFS(Registre!$B$5:$B$1004,"&gt;="&amp;$D$5,Registre!$B$5:$B$1004,"&lt;="&amp;$D$6,Registre!$K$5:$K$1004,$A80))</f>
        <v>1</v>
      </c>
    </row>
    <row r="81" customFormat="false" ht="15" hidden="false" customHeight="false" outlineLevel="0" collapsed="false">
      <c r="A81" s="23" t="str">
        <f aca="false">IF(Paramètres!$D$6="","",Paramètres!$D$6)</f>
        <v>Courrier postal</v>
      </c>
      <c r="B81" s="24" t="n">
        <f aca="false">IF($A81="","",COUNTIFS(Registre!$B$5:$B$1004,"&gt;="&amp;$D$5,Registre!$B$5:$B$1004,"&lt;="&amp;$D$6,Registre!$K$5:$K$1004,$A81))</f>
        <v>1</v>
      </c>
    </row>
    <row r="82" customFormat="false" ht="15" hidden="false" customHeight="false" outlineLevel="0" collapsed="false">
      <c r="A82" s="23" t="str">
        <f aca="false">IF(Paramètres!$D$7="","",Paramètres!$D$7)</f>
        <v>Courriel</v>
      </c>
      <c r="B82" s="24" t="n">
        <f aca="false">IF($A82="","",COUNTIFS(Registre!$B$5:$B$1004,"&gt;="&amp;$D$5,Registre!$B$5:$B$1004,"&lt;="&amp;$D$6,Registre!$K$5:$K$1004,$A82))</f>
        <v>1</v>
      </c>
    </row>
    <row r="83" customFormat="false" ht="15" hidden="false" customHeight="false" outlineLevel="0" collapsed="false">
      <c r="A83" s="23" t="str">
        <f aca="false">IF(Paramètres!$D$8="","",Paramètres!$D$8)</f>
        <v>Valise / Coursier</v>
      </c>
      <c r="B83" s="24" t="n">
        <f aca="false">IF($A83="","",COUNTIFS(Registre!$B$5:$B$1004,"&gt;="&amp;$D$5,Registre!$B$5:$B$1004,"&lt;="&amp;$D$6,Registre!$K$5:$K$1004,$A83))</f>
        <v>1</v>
      </c>
    </row>
    <row r="84" customFormat="false" ht="15" hidden="false" customHeight="false" outlineLevel="0" collapsed="false">
      <c r="A84" s="23" t="str">
        <f aca="false">IF(Paramètres!$D$9="","",Paramètres!$D$9)</f>
        <v>Fax</v>
      </c>
      <c r="B84" s="24" t="n">
        <f aca="false">IF($A84="","",COUNTIFS(Registre!$B$5:$B$1004,"&gt;="&amp;$D$5,Registre!$B$5:$B$1004,"&lt;="&amp;$D$6,Registre!$K$5:$K$1004,$A84))</f>
        <v>0</v>
      </c>
    </row>
    <row r="85" customFormat="false" ht="15" hidden="false" customHeight="false" outlineLevel="0" collapsed="false">
      <c r="A85" s="25" t="s">
        <v>136</v>
      </c>
      <c r="B85" s="17" t="n">
        <f aca="false">SUM(B80:B84)</f>
        <v>4</v>
      </c>
    </row>
    <row r="88" customFormat="false" ht="15" hidden="false" customHeight="false" outlineLevel="0" collapsed="false">
      <c r="A88" s="13" t="s">
        <v>145</v>
      </c>
    </row>
    <row r="89" customFormat="false" ht="15" hidden="false" customHeight="false" outlineLevel="0" collapsed="false">
      <c r="A89" s="29"/>
      <c r="B89" s="29"/>
      <c r="C89" s="29"/>
      <c r="D89" s="29"/>
      <c r="E89" s="29"/>
      <c r="F89" s="29"/>
      <c r="G89" s="29"/>
    </row>
    <row r="90" customFormat="false" ht="15" hidden="false" customHeight="false" outlineLevel="0" collapsed="false">
      <c r="A90" s="29"/>
      <c r="B90" s="29"/>
      <c r="C90" s="29"/>
      <c r="D90" s="29"/>
      <c r="E90" s="29"/>
      <c r="F90" s="29"/>
      <c r="G90" s="29"/>
    </row>
    <row r="91" customFormat="false" ht="15" hidden="false" customHeight="false" outlineLevel="0" collapsed="false">
      <c r="A91" s="29"/>
      <c r="B91" s="29"/>
      <c r="C91" s="29"/>
      <c r="D91" s="29"/>
      <c r="E91" s="29"/>
      <c r="F91" s="29"/>
      <c r="G91" s="29"/>
    </row>
    <row r="92" customFormat="false" ht="15" hidden="false" customHeight="false" outlineLevel="0" collapsed="false">
      <c r="A92" s="29"/>
      <c r="B92" s="29"/>
      <c r="C92" s="29"/>
      <c r="D92" s="29"/>
      <c r="E92" s="29"/>
      <c r="F92" s="29"/>
      <c r="G92" s="29"/>
    </row>
    <row r="93" customFormat="false" ht="15" hidden="false" customHeight="false" outlineLevel="0" collapsed="false">
      <c r="A93" s="29"/>
      <c r="B93" s="29"/>
      <c r="C93" s="29"/>
      <c r="D93" s="29"/>
      <c r="E93" s="29"/>
      <c r="F93" s="29"/>
      <c r="G93" s="29"/>
    </row>
    <row r="95" customFormat="false" ht="15" hidden="false" customHeight="false" outlineLevel="0" collapsed="false">
      <c r="A95" s="5" t="s">
        <v>146</v>
      </c>
      <c r="D95" s="5" t="s">
        <v>147</v>
      </c>
    </row>
  </sheetData>
  <mergeCells count="1">
    <mergeCell ref="A89:G9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9" min="1" style="0" width="14"/>
  </cols>
  <sheetData>
    <row r="1" customFormat="false" ht="19.7" hidden="false" customHeight="false" outlineLevel="0" collapsed="false">
      <c r="A1" s="1" t="s">
        <v>148</v>
      </c>
    </row>
    <row r="2" customFormat="false" ht="15" hidden="false" customHeight="false" outlineLevel="0" collapsed="false">
      <c r="A2" s="4" t="str">
        <f aca="false">"Année "&amp;Paramètres!$G$12&amp;" (modifiable dans l'onglet Paramètres) – semaines ISO du lundi au dimanche"</f>
        <v>Année 2026 (modifiable dans l'onglet Paramètres) – semaines ISO du lundi au dimanche</v>
      </c>
    </row>
    <row r="4" customFormat="false" ht="42" hidden="false" customHeight="true" outlineLevel="0" collapsed="false">
      <c r="A4" s="6" t="s">
        <v>25</v>
      </c>
      <c r="B4" s="6" t="s">
        <v>149</v>
      </c>
      <c r="C4" s="6" t="s">
        <v>150</v>
      </c>
      <c r="D4" s="6" t="s">
        <v>132</v>
      </c>
      <c r="E4" s="6" t="s">
        <v>151</v>
      </c>
      <c r="F4" s="6" t="s">
        <v>152</v>
      </c>
      <c r="G4" s="6" t="s">
        <v>134</v>
      </c>
      <c r="H4" s="6" t="s">
        <v>135</v>
      </c>
      <c r="I4" s="6" t="s">
        <v>153</v>
      </c>
    </row>
    <row r="5" customFormat="false" ht="15" hidden="false" customHeight="false" outlineLevel="0" collapsed="false">
      <c r="A5" s="24" t="n">
        <v>1</v>
      </c>
      <c r="B5" s="30" t="n">
        <f aca="false">DATE(Paramètres!$G$12,1,4)-WEEKDAY(DATE(Paramètres!$G$12,1,4),2)+1+7*(A5-1)</f>
        <v>46020</v>
      </c>
      <c r="C5" s="30" t="n">
        <f aca="false">B5+6</f>
        <v>46026</v>
      </c>
      <c r="D5" s="24" t="n">
        <f aca="false">COUNTIFS(Registre!$B$5:$B$1004,"&gt;="&amp;$B5,Registre!$B$5:$B$1004,"&lt;="&amp;$C5)</f>
        <v>0</v>
      </c>
      <c r="E5" s="24" t="n">
        <f aca="false">COUNTIFS(Registre!$R$5:$R$1004,"&gt;="&amp;$B5,Registre!$R$5:$R$1004,"&lt;="&amp;$C5)</f>
        <v>0</v>
      </c>
      <c r="F5" s="24" t="n">
        <f aca="false">COUNTIFS(Registre!$B$5:$B$1004,"&gt;="&amp;$B5,Registre!$B$5:$B$1004,"&lt;="&amp;$C5,Registre!$L$5:$L$1004,"Très urgent")+COUNTIFS(Registre!$B$5:$B$1004,"&gt;="&amp;$B5,Registre!$B$5:$B$1004,"&lt;="&amp;$C5,Registre!$L$5:$L$1004,"Urgent")</f>
        <v>0</v>
      </c>
      <c r="G5" s="24" t="n">
        <f aca="true">IF($B5&gt;TODAY(),"",COUNTIFS(Registre!$B$5:$B$1004,"&lt;="&amp;MIN($C5,TODAY()),Registre!$R$5:$R$1004,"",Registre!$Q$5:$Q$1004,"&lt;&gt;Classé sans suite")+COUNTIFS(Registre!$B$5:$B$1004,"&lt;="&amp;MIN($C5,TODAY()),Registre!$R$5:$R$1004,"&gt;"&amp;MIN($C5,TODAY())))</f>
        <v>0</v>
      </c>
      <c r="H5" s="24" t="n">
        <f aca="true">IF($B5&gt;TODAY(),"",COUNTIFS(Registre!$B$5:$B$1004,"&lt;="&amp;MIN($C5,TODAY()),Registre!$R$5:$R$1004,"",Registre!$P$5:$P$1004,"&lt;"&amp;MIN($C5,TODAY()),Registre!$Q$5:$Q$1004,"&lt;&gt;Classé sans suite")+COUNTIFS(Registre!$B$5:$B$1004,"&lt;="&amp;MIN($C5,TODAY()),Registre!$R$5:$R$1004,"&gt;"&amp;MIN($C5,TODAY()),Registre!$P$5:$P$1004,"&lt;"&amp;MIN($C5,TODAY())))</f>
        <v>0</v>
      </c>
      <c r="I5" s="28" t="str">
        <f aca="false">IF(D5=0,"",COUNTIFS(Registre!$B$5:$B$1004,"&gt;="&amp;$B5,Registre!$B$5:$B$1004,"&lt;="&amp;$C5,Registre!$R$5:$R$1004,"&lt;&gt;")/D5)</f>
        <v/>
      </c>
    </row>
    <row r="6" customFormat="false" ht="15" hidden="false" customHeight="false" outlineLevel="0" collapsed="false">
      <c r="A6" s="24" t="n">
        <v>2</v>
      </c>
      <c r="B6" s="30" t="n">
        <f aca="false">DATE(Paramètres!$G$12,1,4)-WEEKDAY(DATE(Paramètres!$G$12,1,4),2)+1+7*(A6-1)</f>
        <v>46027</v>
      </c>
      <c r="C6" s="30" t="n">
        <f aca="false">B6+6</f>
        <v>46033</v>
      </c>
      <c r="D6" s="24" t="n">
        <f aca="false">COUNTIFS(Registre!$B$5:$B$1004,"&gt;="&amp;$B6,Registre!$B$5:$B$1004,"&lt;="&amp;$C6)</f>
        <v>0</v>
      </c>
      <c r="E6" s="24" t="n">
        <f aca="false">COUNTIFS(Registre!$R$5:$R$1004,"&gt;="&amp;$B6,Registre!$R$5:$R$1004,"&lt;="&amp;$C6)</f>
        <v>0</v>
      </c>
      <c r="F6" s="24" t="n">
        <f aca="false">COUNTIFS(Registre!$B$5:$B$1004,"&gt;="&amp;$B6,Registre!$B$5:$B$1004,"&lt;="&amp;$C6,Registre!$L$5:$L$1004,"Très urgent")+COUNTIFS(Registre!$B$5:$B$1004,"&gt;="&amp;$B6,Registre!$B$5:$B$1004,"&lt;="&amp;$C6,Registre!$L$5:$L$1004,"Urgent")</f>
        <v>0</v>
      </c>
      <c r="G6" s="24" t="n">
        <f aca="true">IF($B6&gt;TODAY(),"",COUNTIFS(Registre!$B$5:$B$1004,"&lt;="&amp;MIN($C6,TODAY()),Registre!$R$5:$R$1004,"",Registre!$Q$5:$Q$1004,"&lt;&gt;Classé sans suite")+COUNTIFS(Registre!$B$5:$B$1004,"&lt;="&amp;MIN($C6,TODAY()),Registre!$R$5:$R$1004,"&gt;"&amp;MIN($C6,TODAY())))</f>
        <v>0</v>
      </c>
      <c r="H6" s="24" t="n">
        <f aca="true">IF($B6&gt;TODAY(),"",COUNTIFS(Registre!$B$5:$B$1004,"&lt;="&amp;MIN($C6,TODAY()),Registre!$R$5:$R$1004,"",Registre!$P$5:$P$1004,"&lt;"&amp;MIN($C6,TODAY()),Registre!$Q$5:$Q$1004,"&lt;&gt;Classé sans suite")+COUNTIFS(Registre!$B$5:$B$1004,"&lt;="&amp;MIN($C6,TODAY()),Registre!$R$5:$R$1004,"&gt;"&amp;MIN($C6,TODAY()),Registre!$P$5:$P$1004,"&lt;"&amp;MIN($C6,TODAY())))</f>
        <v>0</v>
      </c>
      <c r="I6" s="28" t="str">
        <f aca="false">IF(D6=0,"",COUNTIFS(Registre!$B$5:$B$1004,"&gt;="&amp;$B6,Registre!$B$5:$B$1004,"&lt;="&amp;$C6,Registre!$R$5:$R$1004,"&lt;&gt;")/D6)</f>
        <v/>
      </c>
    </row>
    <row r="7" customFormat="false" ht="15" hidden="false" customHeight="false" outlineLevel="0" collapsed="false">
      <c r="A7" s="24" t="n">
        <v>3</v>
      </c>
      <c r="B7" s="30" t="n">
        <f aca="false">DATE(Paramètres!$G$12,1,4)-WEEKDAY(DATE(Paramètres!$G$12,1,4),2)+1+7*(A7-1)</f>
        <v>46034</v>
      </c>
      <c r="C7" s="30" t="n">
        <f aca="false">B7+6</f>
        <v>46040</v>
      </c>
      <c r="D7" s="24" t="n">
        <f aca="false">COUNTIFS(Registre!$B$5:$B$1004,"&gt;="&amp;$B7,Registre!$B$5:$B$1004,"&lt;="&amp;$C7)</f>
        <v>0</v>
      </c>
      <c r="E7" s="24" t="n">
        <f aca="false">COUNTIFS(Registre!$R$5:$R$1004,"&gt;="&amp;$B7,Registre!$R$5:$R$1004,"&lt;="&amp;$C7)</f>
        <v>0</v>
      </c>
      <c r="F7" s="24" t="n">
        <f aca="false">COUNTIFS(Registre!$B$5:$B$1004,"&gt;="&amp;$B7,Registre!$B$5:$B$1004,"&lt;="&amp;$C7,Registre!$L$5:$L$1004,"Très urgent")+COUNTIFS(Registre!$B$5:$B$1004,"&gt;="&amp;$B7,Registre!$B$5:$B$1004,"&lt;="&amp;$C7,Registre!$L$5:$L$1004,"Urgent")</f>
        <v>0</v>
      </c>
      <c r="G7" s="24" t="n">
        <f aca="true">IF($B7&gt;TODAY(),"",COUNTIFS(Registre!$B$5:$B$1004,"&lt;="&amp;MIN($C7,TODAY()),Registre!$R$5:$R$1004,"",Registre!$Q$5:$Q$1004,"&lt;&gt;Classé sans suite")+COUNTIFS(Registre!$B$5:$B$1004,"&lt;="&amp;MIN($C7,TODAY()),Registre!$R$5:$R$1004,"&gt;"&amp;MIN($C7,TODAY())))</f>
        <v>0</v>
      </c>
      <c r="H7" s="24" t="n">
        <f aca="true">IF($B7&gt;TODAY(),"",COUNTIFS(Registre!$B$5:$B$1004,"&lt;="&amp;MIN($C7,TODAY()),Registre!$R$5:$R$1004,"",Registre!$P$5:$P$1004,"&lt;"&amp;MIN($C7,TODAY()),Registre!$Q$5:$Q$1004,"&lt;&gt;Classé sans suite")+COUNTIFS(Registre!$B$5:$B$1004,"&lt;="&amp;MIN($C7,TODAY()),Registre!$R$5:$R$1004,"&gt;"&amp;MIN($C7,TODAY()),Registre!$P$5:$P$1004,"&lt;"&amp;MIN($C7,TODAY())))</f>
        <v>0</v>
      </c>
      <c r="I7" s="28" t="str">
        <f aca="false">IF(D7=0,"",COUNTIFS(Registre!$B$5:$B$1004,"&gt;="&amp;$B7,Registre!$B$5:$B$1004,"&lt;="&amp;$C7,Registre!$R$5:$R$1004,"&lt;&gt;")/D7)</f>
        <v/>
      </c>
    </row>
    <row r="8" customFormat="false" ht="15" hidden="false" customHeight="false" outlineLevel="0" collapsed="false">
      <c r="A8" s="24" t="n">
        <v>4</v>
      </c>
      <c r="B8" s="30" t="n">
        <f aca="false">DATE(Paramètres!$G$12,1,4)-WEEKDAY(DATE(Paramètres!$G$12,1,4),2)+1+7*(A8-1)</f>
        <v>46041</v>
      </c>
      <c r="C8" s="30" t="n">
        <f aca="false">B8+6</f>
        <v>46047</v>
      </c>
      <c r="D8" s="24" t="n">
        <f aca="false">COUNTIFS(Registre!$B$5:$B$1004,"&gt;="&amp;$B8,Registre!$B$5:$B$1004,"&lt;="&amp;$C8)</f>
        <v>0</v>
      </c>
      <c r="E8" s="24" t="n">
        <f aca="false">COUNTIFS(Registre!$R$5:$R$1004,"&gt;="&amp;$B8,Registre!$R$5:$R$1004,"&lt;="&amp;$C8)</f>
        <v>0</v>
      </c>
      <c r="F8" s="24" t="n">
        <f aca="false">COUNTIFS(Registre!$B$5:$B$1004,"&gt;="&amp;$B8,Registre!$B$5:$B$1004,"&lt;="&amp;$C8,Registre!$L$5:$L$1004,"Très urgent")+COUNTIFS(Registre!$B$5:$B$1004,"&gt;="&amp;$B8,Registre!$B$5:$B$1004,"&lt;="&amp;$C8,Registre!$L$5:$L$1004,"Urgent")</f>
        <v>0</v>
      </c>
      <c r="G8" s="24" t="n">
        <f aca="true">IF($B8&gt;TODAY(),"",COUNTIFS(Registre!$B$5:$B$1004,"&lt;="&amp;MIN($C8,TODAY()),Registre!$R$5:$R$1004,"",Registre!$Q$5:$Q$1004,"&lt;&gt;Classé sans suite")+COUNTIFS(Registre!$B$5:$B$1004,"&lt;="&amp;MIN($C8,TODAY()),Registre!$R$5:$R$1004,"&gt;"&amp;MIN($C8,TODAY())))</f>
        <v>0</v>
      </c>
      <c r="H8" s="24" t="n">
        <f aca="true">IF($B8&gt;TODAY(),"",COUNTIFS(Registre!$B$5:$B$1004,"&lt;="&amp;MIN($C8,TODAY()),Registre!$R$5:$R$1004,"",Registre!$P$5:$P$1004,"&lt;"&amp;MIN($C8,TODAY()),Registre!$Q$5:$Q$1004,"&lt;&gt;Classé sans suite")+COUNTIFS(Registre!$B$5:$B$1004,"&lt;="&amp;MIN($C8,TODAY()),Registre!$R$5:$R$1004,"&gt;"&amp;MIN($C8,TODAY()),Registre!$P$5:$P$1004,"&lt;"&amp;MIN($C8,TODAY())))</f>
        <v>0</v>
      </c>
      <c r="I8" s="28" t="str">
        <f aca="false">IF(D8=0,"",COUNTIFS(Registre!$B$5:$B$1004,"&gt;="&amp;$B8,Registre!$B$5:$B$1004,"&lt;="&amp;$C8,Registre!$R$5:$R$1004,"&lt;&gt;")/D8)</f>
        <v/>
      </c>
    </row>
    <row r="9" customFormat="false" ht="15" hidden="false" customHeight="false" outlineLevel="0" collapsed="false">
      <c r="A9" s="24" t="n">
        <v>5</v>
      </c>
      <c r="B9" s="30" t="n">
        <f aca="false">DATE(Paramètres!$G$12,1,4)-WEEKDAY(DATE(Paramètres!$G$12,1,4),2)+1+7*(A9-1)</f>
        <v>46048</v>
      </c>
      <c r="C9" s="30" t="n">
        <f aca="false">B9+6</f>
        <v>46054</v>
      </c>
      <c r="D9" s="24" t="n">
        <f aca="false">COUNTIFS(Registre!$B$5:$B$1004,"&gt;="&amp;$B9,Registre!$B$5:$B$1004,"&lt;="&amp;$C9)</f>
        <v>0</v>
      </c>
      <c r="E9" s="24" t="n">
        <f aca="false">COUNTIFS(Registre!$R$5:$R$1004,"&gt;="&amp;$B9,Registre!$R$5:$R$1004,"&lt;="&amp;$C9)</f>
        <v>0</v>
      </c>
      <c r="F9" s="24" t="n">
        <f aca="false">COUNTIFS(Registre!$B$5:$B$1004,"&gt;="&amp;$B9,Registre!$B$5:$B$1004,"&lt;="&amp;$C9,Registre!$L$5:$L$1004,"Très urgent")+COUNTIFS(Registre!$B$5:$B$1004,"&gt;="&amp;$B9,Registre!$B$5:$B$1004,"&lt;="&amp;$C9,Registre!$L$5:$L$1004,"Urgent")</f>
        <v>0</v>
      </c>
      <c r="G9" s="24" t="n">
        <f aca="true">IF($B9&gt;TODAY(),"",COUNTIFS(Registre!$B$5:$B$1004,"&lt;="&amp;MIN($C9,TODAY()),Registre!$R$5:$R$1004,"",Registre!$Q$5:$Q$1004,"&lt;&gt;Classé sans suite")+COUNTIFS(Registre!$B$5:$B$1004,"&lt;="&amp;MIN($C9,TODAY()),Registre!$R$5:$R$1004,"&gt;"&amp;MIN($C9,TODAY())))</f>
        <v>0</v>
      </c>
      <c r="H9" s="24" t="n">
        <f aca="true">IF($B9&gt;TODAY(),"",COUNTIFS(Registre!$B$5:$B$1004,"&lt;="&amp;MIN($C9,TODAY()),Registre!$R$5:$R$1004,"",Registre!$P$5:$P$1004,"&lt;"&amp;MIN($C9,TODAY()),Registre!$Q$5:$Q$1004,"&lt;&gt;Classé sans suite")+COUNTIFS(Registre!$B$5:$B$1004,"&lt;="&amp;MIN($C9,TODAY()),Registre!$R$5:$R$1004,"&gt;"&amp;MIN($C9,TODAY()),Registre!$P$5:$P$1004,"&lt;"&amp;MIN($C9,TODAY())))</f>
        <v>0</v>
      </c>
      <c r="I9" s="28" t="str">
        <f aca="false">IF(D9=0,"",COUNTIFS(Registre!$B$5:$B$1004,"&gt;="&amp;$B9,Registre!$B$5:$B$1004,"&lt;="&amp;$C9,Registre!$R$5:$R$1004,"&lt;&gt;")/D9)</f>
        <v/>
      </c>
    </row>
    <row r="10" customFormat="false" ht="15" hidden="false" customHeight="false" outlineLevel="0" collapsed="false">
      <c r="A10" s="24" t="n">
        <v>6</v>
      </c>
      <c r="B10" s="30" t="n">
        <f aca="false">DATE(Paramètres!$G$12,1,4)-WEEKDAY(DATE(Paramètres!$G$12,1,4),2)+1+7*(A10-1)</f>
        <v>46055</v>
      </c>
      <c r="C10" s="30" t="n">
        <f aca="false">B10+6</f>
        <v>46061</v>
      </c>
      <c r="D10" s="24" t="n">
        <f aca="false">COUNTIFS(Registre!$B$5:$B$1004,"&gt;="&amp;$B10,Registre!$B$5:$B$1004,"&lt;="&amp;$C10)</f>
        <v>0</v>
      </c>
      <c r="E10" s="24" t="n">
        <f aca="false">COUNTIFS(Registre!$R$5:$R$1004,"&gt;="&amp;$B10,Registre!$R$5:$R$1004,"&lt;="&amp;$C10)</f>
        <v>0</v>
      </c>
      <c r="F10" s="24" t="n">
        <f aca="false">COUNTIFS(Registre!$B$5:$B$1004,"&gt;="&amp;$B10,Registre!$B$5:$B$1004,"&lt;="&amp;$C10,Registre!$L$5:$L$1004,"Très urgent")+COUNTIFS(Registre!$B$5:$B$1004,"&gt;="&amp;$B10,Registre!$B$5:$B$1004,"&lt;="&amp;$C10,Registre!$L$5:$L$1004,"Urgent")</f>
        <v>0</v>
      </c>
      <c r="G10" s="24" t="n">
        <f aca="true">IF($B10&gt;TODAY(),"",COUNTIFS(Registre!$B$5:$B$1004,"&lt;="&amp;MIN($C10,TODAY()),Registre!$R$5:$R$1004,"",Registre!$Q$5:$Q$1004,"&lt;&gt;Classé sans suite")+COUNTIFS(Registre!$B$5:$B$1004,"&lt;="&amp;MIN($C10,TODAY()),Registre!$R$5:$R$1004,"&gt;"&amp;MIN($C10,TODAY())))</f>
        <v>0</v>
      </c>
      <c r="H10" s="24" t="n">
        <f aca="true">IF($B10&gt;TODAY(),"",COUNTIFS(Registre!$B$5:$B$1004,"&lt;="&amp;MIN($C10,TODAY()),Registre!$R$5:$R$1004,"",Registre!$P$5:$P$1004,"&lt;"&amp;MIN($C10,TODAY()),Registre!$Q$5:$Q$1004,"&lt;&gt;Classé sans suite")+COUNTIFS(Registre!$B$5:$B$1004,"&lt;="&amp;MIN($C10,TODAY()),Registre!$R$5:$R$1004,"&gt;"&amp;MIN($C10,TODAY()),Registre!$P$5:$P$1004,"&lt;"&amp;MIN($C10,TODAY())))</f>
        <v>0</v>
      </c>
      <c r="I10" s="28" t="str">
        <f aca="false">IF(D10=0,"",COUNTIFS(Registre!$B$5:$B$1004,"&gt;="&amp;$B10,Registre!$B$5:$B$1004,"&lt;="&amp;$C10,Registre!$R$5:$R$1004,"&lt;&gt;")/D10)</f>
        <v/>
      </c>
    </row>
    <row r="11" customFormat="false" ht="15" hidden="false" customHeight="false" outlineLevel="0" collapsed="false">
      <c r="A11" s="24" t="n">
        <v>7</v>
      </c>
      <c r="B11" s="30" t="n">
        <f aca="false">DATE(Paramètres!$G$12,1,4)-WEEKDAY(DATE(Paramètres!$G$12,1,4),2)+1+7*(A11-1)</f>
        <v>46062</v>
      </c>
      <c r="C11" s="30" t="n">
        <f aca="false">B11+6</f>
        <v>46068</v>
      </c>
      <c r="D11" s="24" t="n">
        <f aca="false">COUNTIFS(Registre!$B$5:$B$1004,"&gt;="&amp;$B11,Registre!$B$5:$B$1004,"&lt;="&amp;$C11)</f>
        <v>0</v>
      </c>
      <c r="E11" s="24" t="n">
        <f aca="false">COUNTIFS(Registre!$R$5:$R$1004,"&gt;="&amp;$B11,Registre!$R$5:$R$1004,"&lt;="&amp;$C11)</f>
        <v>0</v>
      </c>
      <c r="F11" s="24" t="n">
        <f aca="false">COUNTIFS(Registre!$B$5:$B$1004,"&gt;="&amp;$B11,Registre!$B$5:$B$1004,"&lt;="&amp;$C11,Registre!$L$5:$L$1004,"Très urgent")+COUNTIFS(Registre!$B$5:$B$1004,"&gt;="&amp;$B11,Registre!$B$5:$B$1004,"&lt;="&amp;$C11,Registre!$L$5:$L$1004,"Urgent")</f>
        <v>0</v>
      </c>
      <c r="G11" s="24" t="n">
        <f aca="true">IF($B11&gt;TODAY(),"",COUNTIFS(Registre!$B$5:$B$1004,"&lt;="&amp;MIN($C11,TODAY()),Registre!$R$5:$R$1004,"",Registre!$Q$5:$Q$1004,"&lt;&gt;Classé sans suite")+COUNTIFS(Registre!$B$5:$B$1004,"&lt;="&amp;MIN($C11,TODAY()),Registre!$R$5:$R$1004,"&gt;"&amp;MIN($C11,TODAY())))</f>
        <v>0</v>
      </c>
      <c r="H11" s="24" t="n">
        <f aca="true">IF($B11&gt;TODAY(),"",COUNTIFS(Registre!$B$5:$B$1004,"&lt;="&amp;MIN($C11,TODAY()),Registre!$R$5:$R$1004,"",Registre!$P$5:$P$1004,"&lt;"&amp;MIN($C11,TODAY()),Registre!$Q$5:$Q$1004,"&lt;&gt;Classé sans suite")+COUNTIFS(Registre!$B$5:$B$1004,"&lt;="&amp;MIN($C11,TODAY()),Registre!$R$5:$R$1004,"&gt;"&amp;MIN($C11,TODAY()),Registre!$P$5:$P$1004,"&lt;"&amp;MIN($C11,TODAY())))</f>
        <v>0</v>
      </c>
      <c r="I11" s="28" t="str">
        <f aca="false">IF(D11=0,"",COUNTIFS(Registre!$B$5:$B$1004,"&gt;="&amp;$B11,Registre!$B$5:$B$1004,"&lt;="&amp;$C11,Registre!$R$5:$R$1004,"&lt;&gt;")/D11)</f>
        <v/>
      </c>
    </row>
    <row r="12" customFormat="false" ht="15" hidden="false" customHeight="false" outlineLevel="0" collapsed="false">
      <c r="A12" s="24" t="n">
        <v>8</v>
      </c>
      <c r="B12" s="30" t="n">
        <f aca="false">DATE(Paramètres!$G$12,1,4)-WEEKDAY(DATE(Paramètres!$G$12,1,4),2)+1+7*(A12-1)</f>
        <v>46069</v>
      </c>
      <c r="C12" s="30" t="n">
        <f aca="false">B12+6</f>
        <v>46075</v>
      </c>
      <c r="D12" s="24" t="n">
        <f aca="false">COUNTIFS(Registre!$B$5:$B$1004,"&gt;="&amp;$B12,Registre!$B$5:$B$1004,"&lt;="&amp;$C12)</f>
        <v>0</v>
      </c>
      <c r="E12" s="24" t="n">
        <f aca="false">COUNTIFS(Registre!$R$5:$R$1004,"&gt;="&amp;$B12,Registre!$R$5:$R$1004,"&lt;="&amp;$C12)</f>
        <v>0</v>
      </c>
      <c r="F12" s="24" t="n">
        <f aca="false">COUNTIFS(Registre!$B$5:$B$1004,"&gt;="&amp;$B12,Registre!$B$5:$B$1004,"&lt;="&amp;$C12,Registre!$L$5:$L$1004,"Très urgent")+COUNTIFS(Registre!$B$5:$B$1004,"&gt;="&amp;$B12,Registre!$B$5:$B$1004,"&lt;="&amp;$C12,Registre!$L$5:$L$1004,"Urgent")</f>
        <v>0</v>
      </c>
      <c r="G12" s="24" t="n">
        <f aca="true">IF($B12&gt;TODAY(),"",COUNTIFS(Registre!$B$5:$B$1004,"&lt;="&amp;MIN($C12,TODAY()),Registre!$R$5:$R$1004,"",Registre!$Q$5:$Q$1004,"&lt;&gt;Classé sans suite")+COUNTIFS(Registre!$B$5:$B$1004,"&lt;="&amp;MIN($C12,TODAY()),Registre!$R$5:$R$1004,"&gt;"&amp;MIN($C12,TODAY())))</f>
        <v>0</v>
      </c>
      <c r="H12" s="24" t="n">
        <f aca="true">IF($B12&gt;TODAY(),"",COUNTIFS(Registre!$B$5:$B$1004,"&lt;="&amp;MIN($C12,TODAY()),Registre!$R$5:$R$1004,"",Registre!$P$5:$P$1004,"&lt;"&amp;MIN($C12,TODAY()),Registre!$Q$5:$Q$1004,"&lt;&gt;Classé sans suite")+COUNTIFS(Registre!$B$5:$B$1004,"&lt;="&amp;MIN($C12,TODAY()),Registre!$R$5:$R$1004,"&gt;"&amp;MIN($C12,TODAY()),Registre!$P$5:$P$1004,"&lt;"&amp;MIN($C12,TODAY())))</f>
        <v>0</v>
      </c>
      <c r="I12" s="28" t="str">
        <f aca="false">IF(D12=0,"",COUNTIFS(Registre!$B$5:$B$1004,"&gt;="&amp;$B12,Registre!$B$5:$B$1004,"&lt;="&amp;$C12,Registre!$R$5:$R$1004,"&lt;&gt;")/D12)</f>
        <v/>
      </c>
    </row>
    <row r="13" customFormat="false" ht="15" hidden="false" customHeight="false" outlineLevel="0" collapsed="false">
      <c r="A13" s="24" t="n">
        <v>9</v>
      </c>
      <c r="B13" s="30" t="n">
        <f aca="false">DATE(Paramètres!$G$12,1,4)-WEEKDAY(DATE(Paramètres!$G$12,1,4),2)+1+7*(A13-1)</f>
        <v>46076</v>
      </c>
      <c r="C13" s="30" t="n">
        <f aca="false">B13+6</f>
        <v>46082</v>
      </c>
      <c r="D13" s="24" t="n">
        <f aca="false">COUNTIFS(Registre!$B$5:$B$1004,"&gt;="&amp;$B13,Registre!$B$5:$B$1004,"&lt;="&amp;$C13)</f>
        <v>0</v>
      </c>
      <c r="E13" s="24" t="n">
        <f aca="false">COUNTIFS(Registre!$R$5:$R$1004,"&gt;="&amp;$B13,Registre!$R$5:$R$1004,"&lt;="&amp;$C13)</f>
        <v>0</v>
      </c>
      <c r="F13" s="24" t="n">
        <f aca="false">COUNTIFS(Registre!$B$5:$B$1004,"&gt;="&amp;$B13,Registre!$B$5:$B$1004,"&lt;="&amp;$C13,Registre!$L$5:$L$1004,"Très urgent")+COUNTIFS(Registre!$B$5:$B$1004,"&gt;="&amp;$B13,Registre!$B$5:$B$1004,"&lt;="&amp;$C13,Registre!$L$5:$L$1004,"Urgent")</f>
        <v>0</v>
      </c>
      <c r="G13" s="24" t="n">
        <f aca="true">IF($B13&gt;TODAY(),"",COUNTIFS(Registre!$B$5:$B$1004,"&lt;="&amp;MIN($C13,TODAY()),Registre!$R$5:$R$1004,"",Registre!$Q$5:$Q$1004,"&lt;&gt;Classé sans suite")+COUNTIFS(Registre!$B$5:$B$1004,"&lt;="&amp;MIN($C13,TODAY()),Registre!$R$5:$R$1004,"&gt;"&amp;MIN($C13,TODAY())))</f>
        <v>0</v>
      </c>
      <c r="H13" s="24" t="n">
        <f aca="true">IF($B13&gt;TODAY(),"",COUNTIFS(Registre!$B$5:$B$1004,"&lt;="&amp;MIN($C13,TODAY()),Registre!$R$5:$R$1004,"",Registre!$P$5:$P$1004,"&lt;"&amp;MIN($C13,TODAY()),Registre!$Q$5:$Q$1004,"&lt;&gt;Classé sans suite")+COUNTIFS(Registre!$B$5:$B$1004,"&lt;="&amp;MIN($C13,TODAY()),Registre!$R$5:$R$1004,"&gt;"&amp;MIN($C13,TODAY()),Registre!$P$5:$P$1004,"&lt;"&amp;MIN($C13,TODAY())))</f>
        <v>0</v>
      </c>
      <c r="I13" s="28" t="str">
        <f aca="false">IF(D13=0,"",COUNTIFS(Registre!$B$5:$B$1004,"&gt;="&amp;$B13,Registre!$B$5:$B$1004,"&lt;="&amp;$C13,Registre!$R$5:$R$1004,"&lt;&gt;")/D13)</f>
        <v/>
      </c>
    </row>
    <row r="14" customFormat="false" ht="15" hidden="false" customHeight="false" outlineLevel="0" collapsed="false">
      <c r="A14" s="24" t="n">
        <v>10</v>
      </c>
      <c r="B14" s="30" t="n">
        <f aca="false">DATE(Paramètres!$G$12,1,4)-WEEKDAY(DATE(Paramètres!$G$12,1,4),2)+1+7*(A14-1)</f>
        <v>46083</v>
      </c>
      <c r="C14" s="30" t="n">
        <f aca="false">B14+6</f>
        <v>46089</v>
      </c>
      <c r="D14" s="24" t="n">
        <f aca="false">COUNTIFS(Registre!$B$5:$B$1004,"&gt;="&amp;$B14,Registre!$B$5:$B$1004,"&lt;="&amp;$C14)</f>
        <v>0</v>
      </c>
      <c r="E14" s="24" t="n">
        <f aca="false">COUNTIFS(Registre!$R$5:$R$1004,"&gt;="&amp;$B14,Registre!$R$5:$R$1004,"&lt;="&amp;$C14)</f>
        <v>0</v>
      </c>
      <c r="F14" s="24" t="n">
        <f aca="false">COUNTIFS(Registre!$B$5:$B$1004,"&gt;="&amp;$B14,Registre!$B$5:$B$1004,"&lt;="&amp;$C14,Registre!$L$5:$L$1004,"Très urgent")+COUNTIFS(Registre!$B$5:$B$1004,"&gt;="&amp;$B14,Registre!$B$5:$B$1004,"&lt;="&amp;$C14,Registre!$L$5:$L$1004,"Urgent")</f>
        <v>0</v>
      </c>
      <c r="G14" s="24" t="n">
        <f aca="true">IF($B14&gt;TODAY(),"",COUNTIFS(Registre!$B$5:$B$1004,"&lt;="&amp;MIN($C14,TODAY()),Registre!$R$5:$R$1004,"",Registre!$Q$5:$Q$1004,"&lt;&gt;Classé sans suite")+COUNTIFS(Registre!$B$5:$B$1004,"&lt;="&amp;MIN($C14,TODAY()),Registre!$R$5:$R$1004,"&gt;"&amp;MIN($C14,TODAY())))</f>
        <v>0</v>
      </c>
      <c r="H14" s="24" t="n">
        <f aca="true">IF($B14&gt;TODAY(),"",COUNTIFS(Registre!$B$5:$B$1004,"&lt;="&amp;MIN($C14,TODAY()),Registre!$R$5:$R$1004,"",Registre!$P$5:$P$1004,"&lt;"&amp;MIN($C14,TODAY()),Registre!$Q$5:$Q$1004,"&lt;&gt;Classé sans suite")+COUNTIFS(Registre!$B$5:$B$1004,"&lt;="&amp;MIN($C14,TODAY()),Registre!$R$5:$R$1004,"&gt;"&amp;MIN($C14,TODAY()),Registre!$P$5:$P$1004,"&lt;"&amp;MIN($C14,TODAY())))</f>
        <v>0</v>
      </c>
      <c r="I14" s="28" t="str">
        <f aca="false">IF(D14=0,"",COUNTIFS(Registre!$B$5:$B$1004,"&gt;="&amp;$B14,Registre!$B$5:$B$1004,"&lt;="&amp;$C14,Registre!$R$5:$R$1004,"&lt;&gt;")/D14)</f>
        <v/>
      </c>
    </row>
    <row r="15" customFormat="false" ht="15" hidden="false" customHeight="false" outlineLevel="0" collapsed="false">
      <c r="A15" s="24" t="n">
        <v>11</v>
      </c>
      <c r="B15" s="30" t="n">
        <f aca="false">DATE(Paramètres!$G$12,1,4)-WEEKDAY(DATE(Paramètres!$G$12,1,4),2)+1+7*(A15-1)</f>
        <v>46090</v>
      </c>
      <c r="C15" s="30" t="n">
        <f aca="false">B15+6</f>
        <v>46096</v>
      </c>
      <c r="D15" s="24" t="n">
        <f aca="false">COUNTIFS(Registre!$B$5:$B$1004,"&gt;="&amp;$B15,Registre!$B$5:$B$1004,"&lt;="&amp;$C15)</f>
        <v>0</v>
      </c>
      <c r="E15" s="24" t="n">
        <f aca="false">COUNTIFS(Registre!$R$5:$R$1004,"&gt;="&amp;$B15,Registre!$R$5:$R$1004,"&lt;="&amp;$C15)</f>
        <v>0</v>
      </c>
      <c r="F15" s="24" t="n">
        <f aca="false">COUNTIFS(Registre!$B$5:$B$1004,"&gt;="&amp;$B15,Registre!$B$5:$B$1004,"&lt;="&amp;$C15,Registre!$L$5:$L$1004,"Très urgent")+COUNTIFS(Registre!$B$5:$B$1004,"&gt;="&amp;$B15,Registre!$B$5:$B$1004,"&lt;="&amp;$C15,Registre!$L$5:$L$1004,"Urgent")</f>
        <v>0</v>
      </c>
      <c r="G15" s="24" t="n">
        <f aca="true">IF($B15&gt;TODAY(),"",COUNTIFS(Registre!$B$5:$B$1004,"&lt;="&amp;MIN($C15,TODAY()),Registre!$R$5:$R$1004,"",Registre!$Q$5:$Q$1004,"&lt;&gt;Classé sans suite")+COUNTIFS(Registre!$B$5:$B$1004,"&lt;="&amp;MIN($C15,TODAY()),Registre!$R$5:$R$1004,"&gt;"&amp;MIN($C15,TODAY())))</f>
        <v>0</v>
      </c>
      <c r="H15" s="24" t="n">
        <f aca="true">IF($B15&gt;TODAY(),"",COUNTIFS(Registre!$B$5:$B$1004,"&lt;="&amp;MIN($C15,TODAY()),Registre!$R$5:$R$1004,"",Registre!$P$5:$P$1004,"&lt;"&amp;MIN($C15,TODAY()),Registre!$Q$5:$Q$1004,"&lt;&gt;Classé sans suite")+COUNTIFS(Registre!$B$5:$B$1004,"&lt;="&amp;MIN($C15,TODAY()),Registre!$R$5:$R$1004,"&gt;"&amp;MIN($C15,TODAY()),Registre!$P$5:$P$1004,"&lt;"&amp;MIN($C15,TODAY())))</f>
        <v>0</v>
      </c>
      <c r="I15" s="28" t="str">
        <f aca="false">IF(D15=0,"",COUNTIFS(Registre!$B$5:$B$1004,"&gt;="&amp;$B15,Registre!$B$5:$B$1004,"&lt;="&amp;$C15,Registre!$R$5:$R$1004,"&lt;&gt;")/D15)</f>
        <v/>
      </c>
    </row>
    <row r="16" customFormat="false" ht="15" hidden="false" customHeight="false" outlineLevel="0" collapsed="false">
      <c r="A16" s="24" t="n">
        <v>12</v>
      </c>
      <c r="B16" s="30" t="n">
        <f aca="false">DATE(Paramètres!$G$12,1,4)-WEEKDAY(DATE(Paramètres!$G$12,1,4),2)+1+7*(A16-1)</f>
        <v>46097</v>
      </c>
      <c r="C16" s="30" t="n">
        <f aca="false">B16+6</f>
        <v>46103</v>
      </c>
      <c r="D16" s="24" t="n">
        <f aca="false">COUNTIFS(Registre!$B$5:$B$1004,"&gt;="&amp;$B16,Registre!$B$5:$B$1004,"&lt;="&amp;$C16)</f>
        <v>0</v>
      </c>
      <c r="E16" s="24" t="n">
        <f aca="false">COUNTIFS(Registre!$R$5:$R$1004,"&gt;="&amp;$B16,Registre!$R$5:$R$1004,"&lt;="&amp;$C16)</f>
        <v>0</v>
      </c>
      <c r="F16" s="24" t="n">
        <f aca="false">COUNTIFS(Registre!$B$5:$B$1004,"&gt;="&amp;$B16,Registre!$B$5:$B$1004,"&lt;="&amp;$C16,Registre!$L$5:$L$1004,"Très urgent")+COUNTIFS(Registre!$B$5:$B$1004,"&gt;="&amp;$B16,Registre!$B$5:$B$1004,"&lt;="&amp;$C16,Registre!$L$5:$L$1004,"Urgent")</f>
        <v>0</v>
      </c>
      <c r="G16" s="24" t="n">
        <f aca="true">IF($B16&gt;TODAY(),"",COUNTIFS(Registre!$B$5:$B$1004,"&lt;="&amp;MIN($C16,TODAY()),Registre!$R$5:$R$1004,"",Registre!$Q$5:$Q$1004,"&lt;&gt;Classé sans suite")+COUNTIFS(Registre!$B$5:$B$1004,"&lt;="&amp;MIN($C16,TODAY()),Registre!$R$5:$R$1004,"&gt;"&amp;MIN($C16,TODAY())))</f>
        <v>0</v>
      </c>
      <c r="H16" s="24" t="n">
        <f aca="true">IF($B16&gt;TODAY(),"",COUNTIFS(Registre!$B$5:$B$1004,"&lt;="&amp;MIN($C16,TODAY()),Registre!$R$5:$R$1004,"",Registre!$P$5:$P$1004,"&lt;"&amp;MIN($C16,TODAY()),Registre!$Q$5:$Q$1004,"&lt;&gt;Classé sans suite")+COUNTIFS(Registre!$B$5:$B$1004,"&lt;="&amp;MIN($C16,TODAY()),Registre!$R$5:$R$1004,"&gt;"&amp;MIN($C16,TODAY()),Registre!$P$5:$P$1004,"&lt;"&amp;MIN($C16,TODAY())))</f>
        <v>0</v>
      </c>
      <c r="I16" s="28" t="str">
        <f aca="false">IF(D16=0,"",COUNTIFS(Registre!$B$5:$B$1004,"&gt;="&amp;$B16,Registre!$B$5:$B$1004,"&lt;="&amp;$C16,Registre!$R$5:$R$1004,"&lt;&gt;")/D16)</f>
        <v/>
      </c>
    </row>
    <row r="17" customFormat="false" ht="15" hidden="false" customHeight="false" outlineLevel="0" collapsed="false">
      <c r="A17" s="24" t="n">
        <v>13</v>
      </c>
      <c r="B17" s="30" t="n">
        <f aca="false">DATE(Paramètres!$G$12,1,4)-WEEKDAY(DATE(Paramètres!$G$12,1,4),2)+1+7*(A17-1)</f>
        <v>46104</v>
      </c>
      <c r="C17" s="30" t="n">
        <f aca="false">B17+6</f>
        <v>46110</v>
      </c>
      <c r="D17" s="24" t="n">
        <f aca="false">COUNTIFS(Registre!$B$5:$B$1004,"&gt;="&amp;$B17,Registre!$B$5:$B$1004,"&lt;="&amp;$C17)</f>
        <v>0</v>
      </c>
      <c r="E17" s="24" t="n">
        <f aca="false">COUNTIFS(Registre!$R$5:$R$1004,"&gt;="&amp;$B17,Registre!$R$5:$R$1004,"&lt;="&amp;$C17)</f>
        <v>0</v>
      </c>
      <c r="F17" s="24" t="n">
        <f aca="false">COUNTIFS(Registre!$B$5:$B$1004,"&gt;="&amp;$B17,Registre!$B$5:$B$1004,"&lt;="&amp;$C17,Registre!$L$5:$L$1004,"Très urgent")+COUNTIFS(Registre!$B$5:$B$1004,"&gt;="&amp;$B17,Registre!$B$5:$B$1004,"&lt;="&amp;$C17,Registre!$L$5:$L$1004,"Urgent")</f>
        <v>0</v>
      </c>
      <c r="G17" s="24" t="n">
        <f aca="true">IF($B17&gt;TODAY(),"",COUNTIFS(Registre!$B$5:$B$1004,"&lt;="&amp;MIN($C17,TODAY()),Registre!$R$5:$R$1004,"",Registre!$Q$5:$Q$1004,"&lt;&gt;Classé sans suite")+COUNTIFS(Registre!$B$5:$B$1004,"&lt;="&amp;MIN($C17,TODAY()),Registre!$R$5:$R$1004,"&gt;"&amp;MIN($C17,TODAY())))</f>
        <v>0</v>
      </c>
      <c r="H17" s="24" t="n">
        <f aca="true">IF($B17&gt;TODAY(),"",COUNTIFS(Registre!$B$5:$B$1004,"&lt;="&amp;MIN($C17,TODAY()),Registre!$R$5:$R$1004,"",Registre!$P$5:$P$1004,"&lt;"&amp;MIN($C17,TODAY()),Registre!$Q$5:$Q$1004,"&lt;&gt;Classé sans suite")+COUNTIFS(Registre!$B$5:$B$1004,"&lt;="&amp;MIN($C17,TODAY()),Registre!$R$5:$R$1004,"&gt;"&amp;MIN($C17,TODAY()),Registre!$P$5:$P$1004,"&lt;"&amp;MIN($C17,TODAY())))</f>
        <v>0</v>
      </c>
      <c r="I17" s="28" t="str">
        <f aca="false">IF(D17=0,"",COUNTIFS(Registre!$B$5:$B$1004,"&gt;="&amp;$B17,Registre!$B$5:$B$1004,"&lt;="&amp;$C17,Registre!$R$5:$R$1004,"&lt;&gt;")/D17)</f>
        <v/>
      </c>
    </row>
    <row r="18" customFormat="false" ht="15" hidden="false" customHeight="false" outlineLevel="0" collapsed="false">
      <c r="A18" s="24" t="n">
        <v>14</v>
      </c>
      <c r="B18" s="30" t="n">
        <f aca="false">DATE(Paramètres!$G$12,1,4)-WEEKDAY(DATE(Paramètres!$G$12,1,4),2)+1+7*(A18-1)</f>
        <v>46111</v>
      </c>
      <c r="C18" s="30" t="n">
        <f aca="false">B18+6</f>
        <v>46117</v>
      </c>
      <c r="D18" s="24" t="n">
        <f aca="false">COUNTIFS(Registre!$B$5:$B$1004,"&gt;="&amp;$B18,Registre!$B$5:$B$1004,"&lt;="&amp;$C18)</f>
        <v>0</v>
      </c>
      <c r="E18" s="24" t="n">
        <f aca="false">COUNTIFS(Registre!$R$5:$R$1004,"&gt;="&amp;$B18,Registre!$R$5:$R$1004,"&lt;="&amp;$C18)</f>
        <v>0</v>
      </c>
      <c r="F18" s="24" t="n">
        <f aca="false">COUNTIFS(Registre!$B$5:$B$1004,"&gt;="&amp;$B18,Registre!$B$5:$B$1004,"&lt;="&amp;$C18,Registre!$L$5:$L$1004,"Très urgent")+COUNTIFS(Registre!$B$5:$B$1004,"&gt;="&amp;$B18,Registre!$B$5:$B$1004,"&lt;="&amp;$C18,Registre!$L$5:$L$1004,"Urgent")</f>
        <v>0</v>
      </c>
      <c r="G18" s="24" t="n">
        <f aca="true">IF($B18&gt;TODAY(),"",COUNTIFS(Registre!$B$5:$B$1004,"&lt;="&amp;MIN($C18,TODAY()),Registre!$R$5:$R$1004,"",Registre!$Q$5:$Q$1004,"&lt;&gt;Classé sans suite")+COUNTIFS(Registre!$B$5:$B$1004,"&lt;="&amp;MIN($C18,TODAY()),Registre!$R$5:$R$1004,"&gt;"&amp;MIN($C18,TODAY())))</f>
        <v>0</v>
      </c>
      <c r="H18" s="24" t="n">
        <f aca="true">IF($B18&gt;TODAY(),"",COUNTIFS(Registre!$B$5:$B$1004,"&lt;="&amp;MIN($C18,TODAY()),Registre!$R$5:$R$1004,"",Registre!$P$5:$P$1004,"&lt;"&amp;MIN($C18,TODAY()),Registre!$Q$5:$Q$1004,"&lt;&gt;Classé sans suite")+COUNTIFS(Registre!$B$5:$B$1004,"&lt;="&amp;MIN($C18,TODAY()),Registre!$R$5:$R$1004,"&gt;"&amp;MIN($C18,TODAY()),Registre!$P$5:$P$1004,"&lt;"&amp;MIN($C18,TODAY())))</f>
        <v>0</v>
      </c>
      <c r="I18" s="28" t="str">
        <f aca="false">IF(D18=0,"",COUNTIFS(Registre!$B$5:$B$1004,"&gt;="&amp;$B18,Registre!$B$5:$B$1004,"&lt;="&amp;$C18,Registre!$R$5:$R$1004,"&lt;&gt;")/D18)</f>
        <v/>
      </c>
    </row>
    <row r="19" customFormat="false" ht="15" hidden="false" customHeight="false" outlineLevel="0" collapsed="false">
      <c r="A19" s="24" t="n">
        <v>15</v>
      </c>
      <c r="B19" s="30" t="n">
        <f aca="false">DATE(Paramètres!$G$12,1,4)-WEEKDAY(DATE(Paramètres!$G$12,1,4),2)+1+7*(A19-1)</f>
        <v>46118</v>
      </c>
      <c r="C19" s="30" t="n">
        <f aca="false">B19+6</f>
        <v>46124</v>
      </c>
      <c r="D19" s="24" t="n">
        <f aca="false">COUNTIFS(Registre!$B$5:$B$1004,"&gt;="&amp;$B19,Registre!$B$5:$B$1004,"&lt;="&amp;$C19)</f>
        <v>0</v>
      </c>
      <c r="E19" s="24" t="n">
        <f aca="false">COUNTIFS(Registre!$R$5:$R$1004,"&gt;="&amp;$B19,Registre!$R$5:$R$1004,"&lt;="&amp;$C19)</f>
        <v>0</v>
      </c>
      <c r="F19" s="24" t="n">
        <f aca="false">COUNTIFS(Registre!$B$5:$B$1004,"&gt;="&amp;$B19,Registre!$B$5:$B$1004,"&lt;="&amp;$C19,Registre!$L$5:$L$1004,"Très urgent")+COUNTIFS(Registre!$B$5:$B$1004,"&gt;="&amp;$B19,Registre!$B$5:$B$1004,"&lt;="&amp;$C19,Registre!$L$5:$L$1004,"Urgent")</f>
        <v>0</v>
      </c>
      <c r="G19" s="24" t="n">
        <f aca="true">IF($B19&gt;TODAY(),"",COUNTIFS(Registre!$B$5:$B$1004,"&lt;="&amp;MIN($C19,TODAY()),Registre!$R$5:$R$1004,"",Registre!$Q$5:$Q$1004,"&lt;&gt;Classé sans suite")+COUNTIFS(Registre!$B$5:$B$1004,"&lt;="&amp;MIN($C19,TODAY()),Registre!$R$5:$R$1004,"&gt;"&amp;MIN($C19,TODAY())))</f>
        <v>0</v>
      </c>
      <c r="H19" s="24" t="n">
        <f aca="true">IF($B19&gt;TODAY(),"",COUNTIFS(Registre!$B$5:$B$1004,"&lt;="&amp;MIN($C19,TODAY()),Registre!$R$5:$R$1004,"",Registre!$P$5:$P$1004,"&lt;"&amp;MIN($C19,TODAY()),Registre!$Q$5:$Q$1004,"&lt;&gt;Classé sans suite")+COUNTIFS(Registre!$B$5:$B$1004,"&lt;="&amp;MIN($C19,TODAY()),Registre!$R$5:$R$1004,"&gt;"&amp;MIN($C19,TODAY()),Registre!$P$5:$P$1004,"&lt;"&amp;MIN($C19,TODAY())))</f>
        <v>0</v>
      </c>
      <c r="I19" s="28" t="str">
        <f aca="false">IF(D19=0,"",COUNTIFS(Registre!$B$5:$B$1004,"&gt;="&amp;$B19,Registre!$B$5:$B$1004,"&lt;="&amp;$C19,Registre!$R$5:$R$1004,"&lt;&gt;")/D19)</f>
        <v/>
      </c>
    </row>
    <row r="20" customFormat="false" ht="15" hidden="false" customHeight="false" outlineLevel="0" collapsed="false">
      <c r="A20" s="24" t="n">
        <v>16</v>
      </c>
      <c r="B20" s="30" t="n">
        <f aca="false">DATE(Paramètres!$G$12,1,4)-WEEKDAY(DATE(Paramètres!$G$12,1,4),2)+1+7*(A20-1)</f>
        <v>46125</v>
      </c>
      <c r="C20" s="30" t="n">
        <f aca="false">B20+6</f>
        <v>46131</v>
      </c>
      <c r="D20" s="24" t="n">
        <f aca="false">COUNTIFS(Registre!$B$5:$B$1004,"&gt;="&amp;$B20,Registre!$B$5:$B$1004,"&lt;="&amp;$C20)</f>
        <v>0</v>
      </c>
      <c r="E20" s="24" t="n">
        <f aca="false">COUNTIFS(Registre!$R$5:$R$1004,"&gt;="&amp;$B20,Registre!$R$5:$R$1004,"&lt;="&amp;$C20)</f>
        <v>0</v>
      </c>
      <c r="F20" s="24" t="n">
        <f aca="false">COUNTIFS(Registre!$B$5:$B$1004,"&gt;="&amp;$B20,Registre!$B$5:$B$1004,"&lt;="&amp;$C20,Registre!$L$5:$L$1004,"Très urgent")+COUNTIFS(Registre!$B$5:$B$1004,"&gt;="&amp;$B20,Registre!$B$5:$B$1004,"&lt;="&amp;$C20,Registre!$L$5:$L$1004,"Urgent")</f>
        <v>0</v>
      </c>
      <c r="G20" s="24" t="n">
        <f aca="true">IF($B20&gt;TODAY(),"",COUNTIFS(Registre!$B$5:$B$1004,"&lt;="&amp;MIN($C20,TODAY()),Registre!$R$5:$R$1004,"",Registre!$Q$5:$Q$1004,"&lt;&gt;Classé sans suite")+COUNTIFS(Registre!$B$5:$B$1004,"&lt;="&amp;MIN($C20,TODAY()),Registre!$R$5:$R$1004,"&gt;"&amp;MIN($C20,TODAY())))</f>
        <v>0</v>
      </c>
      <c r="H20" s="24" t="n">
        <f aca="true">IF($B20&gt;TODAY(),"",COUNTIFS(Registre!$B$5:$B$1004,"&lt;="&amp;MIN($C20,TODAY()),Registre!$R$5:$R$1004,"",Registre!$P$5:$P$1004,"&lt;"&amp;MIN($C20,TODAY()),Registre!$Q$5:$Q$1004,"&lt;&gt;Classé sans suite")+COUNTIFS(Registre!$B$5:$B$1004,"&lt;="&amp;MIN($C20,TODAY()),Registre!$R$5:$R$1004,"&gt;"&amp;MIN($C20,TODAY()),Registre!$P$5:$P$1004,"&lt;"&amp;MIN($C20,TODAY())))</f>
        <v>0</v>
      </c>
      <c r="I20" s="28" t="str">
        <f aca="false">IF(D20=0,"",COUNTIFS(Registre!$B$5:$B$1004,"&gt;="&amp;$B20,Registre!$B$5:$B$1004,"&lt;="&amp;$C20,Registre!$R$5:$R$1004,"&lt;&gt;")/D20)</f>
        <v/>
      </c>
    </row>
    <row r="21" customFormat="false" ht="15" hidden="false" customHeight="false" outlineLevel="0" collapsed="false">
      <c r="A21" s="24" t="n">
        <v>17</v>
      </c>
      <c r="B21" s="30" t="n">
        <f aca="false">DATE(Paramètres!$G$12,1,4)-WEEKDAY(DATE(Paramètres!$G$12,1,4),2)+1+7*(A21-1)</f>
        <v>46132</v>
      </c>
      <c r="C21" s="30" t="n">
        <f aca="false">B21+6</f>
        <v>46138</v>
      </c>
      <c r="D21" s="24" t="n">
        <f aca="false">COUNTIFS(Registre!$B$5:$B$1004,"&gt;="&amp;$B21,Registre!$B$5:$B$1004,"&lt;="&amp;$C21)</f>
        <v>0</v>
      </c>
      <c r="E21" s="24" t="n">
        <f aca="false">COUNTIFS(Registre!$R$5:$R$1004,"&gt;="&amp;$B21,Registre!$R$5:$R$1004,"&lt;="&amp;$C21)</f>
        <v>0</v>
      </c>
      <c r="F21" s="24" t="n">
        <f aca="false">COUNTIFS(Registre!$B$5:$B$1004,"&gt;="&amp;$B21,Registre!$B$5:$B$1004,"&lt;="&amp;$C21,Registre!$L$5:$L$1004,"Très urgent")+COUNTIFS(Registre!$B$5:$B$1004,"&gt;="&amp;$B21,Registre!$B$5:$B$1004,"&lt;="&amp;$C21,Registre!$L$5:$L$1004,"Urgent")</f>
        <v>0</v>
      </c>
      <c r="G21" s="24" t="n">
        <f aca="true">IF($B21&gt;TODAY(),"",COUNTIFS(Registre!$B$5:$B$1004,"&lt;="&amp;MIN($C21,TODAY()),Registre!$R$5:$R$1004,"",Registre!$Q$5:$Q$1004,"&lt;&gt;Classé sans suite")+COUNTIFS(Registre!$B$5:$B$1004,"&lt;="&amp;MIN($C21,TODAY()),Registre!$R$5:$R$1004,"&gt;"&amp;MIN($C21,TODAY())))</f>
        <v>0</v>
      </c>
      <c r="H21" s="24" t="n">
        <f aca="true">IF($B21&gt;TODAY(),"",COUNTIFS(Registre!$B$5:$B$1004,"&lt;="&amp;MIN($C21,TODAY()),Registre!$R$5:$R$1004,"",Registre!$P$5:$P$1004,"&lt;"&amp;MIN($C21,TODAY()),Registre!$Q$5:$Q$1004,"&lt;&gt;Classé sans suite")+COUNTIFS(Registre!$B$5:$B$1004,"&lt;="&amp;MIN($C21,TODAY()),Registre!$R$5:$R$1004,"&gt;"&amp;MIN($C21,TODAY()),Registre!$P$5:$P$1004,"&lt;"&amp;MIN($C21,TODAY())))</f>
        <v>0</v>
      </c>
      <c r="I21" s="28" t="str">
        <f aca="false">IF(D21=0,"",COUNTIFS(Registre!$B$5:$B$1004,"&gt;="&amp;$B21,Registre!$B$5:$B$1004,"&lt;="&amp;$C21,Registre!$R$5:$R$1004,"&lt;&gt;")/D21)</f>
        <v/>
      </c>
    </row>
    <row r="22" customFormat="false" ht="15" hidden="false" customHeight="false" outlineLevel="0" collapsed="false">
      <c r="A22" s="24" t="n">
        <v>18</v>
      </c>
      <c r="B22" s="30" t="n">
        <f aca="false">DATE(Paramètres!$G$12,1,4)-WEEKDAY(DATE(Paramètres!$G$12,1,4),2)+1+7*(A22-1)</f>
        <v>46139</v>
      </c>
      <c r="C22" s="30" t="n">
        <f aca="false">B22+6</f>
        <v>46145</v>
      </c>
      <c r="D22" s="24" t="n">
        <f aca="false">COUNTIFS(Registre!$B$5:$B$1004,"&gt;="&amp;$B22,Registre!$B$5:$B$1004,"&lt;="&amp;$C22)</f>
        <v>0</v>
      </c>
      <c r="E22" s="24" t="n">
        <f aca="false">COUNTIFS(Registre!$R$5:$R$1004,"&gt;="&amp;$B22,Registre!$R$5:$R$1004,"&lt;="&amp;$C22)</f>
        <v>0</v>
      </c>
      <c r="F22" s="24" t="n">
        <f aca="false">COUNTIFS(Registre!$B$5:$B$1004,"&gt;="&amp;$B22,Registre!$B$5:$B$1004,"&lt;="&amp;$C22,Registre!$L$5:$L$1004,"Très urgent")+COUNTIFS(Registre!$B$5:$B$1004,"&gt;="&amp;$B22,Registre!$B$5:$B$1004,"&lt;="&amp;$C22,Registre!$L$5:$L$1004,"Urgent")</f>
        <v>0</v>
      </c>
      <c r="G22" s="24" t="n">
        <f aca="true">IF($B22&gt;TODAY(),"",COUNTIFS(Registre!$B$5:$B$1004,"&lt;="&amp;MIN($C22,TODAY()),Registre!$R$5:$R$1004,"",Registre!$Q$5:$Q$1004,"&lt;&gt;Classé sans suite")+COUNTIFS(Registre!$B$5:$B$1004,"&lt;="&amp;MIN($C22,TODAY()),Registre!$R$5:$R$1004,"&gt;"&amp;MIN($C22,TODAY())))</f>
        <v>0</v>
      </c>
      <c r="H22" s="24" t="n">
        <f aca="true">IF($B22&gt;TODAY(),"",COUNTIFS(Registre!$B$5:$B$1004,"&lt;="&amp;MIN($C22,TODAY()),Registre!$R$5:$R$1004,"",Registre!$P$5:$P$1004,"&lt;"&amp;MIN($C22,TODAY()),Registre!$Q$5:$Q$1004,"&lt;&gt;Classé sans suite")+COUNTIFS(Registre!$B$5:$B$1004,"&lt;="&amp;MIN($C22,TODAY()),Registre!$R$5:$R$1004,"&gt;"&amp;MIN($C22,TODAY()),Registre!$P$5:$P$1004,"&lt;"&amp;MIN($C22,TODAY())))</f>
        <v>0</v>
      </c>
      <c r="I22" s="28" t="str">
        <f aca="false">IF(D22=0,"",COUNTIFS(Registre!$B$5:$B$1004,"&gt;="&amp;$B22,Registre!$B$5:$B$1004,"&lt;="&amp;$C22,Registre!$R$5:$R$1004,"&lt;&gt;")/D22)</f>
        <v/>
      </c>
    </row>
    <row r="23" customFormat="false" ht="15" hidden="false" customHeight="false" outlineLevel="0" collapsed="false">
      <c r="A23" s="24" t="n">
        <v>19</v>
      </c>
      <c r="B23" s="30" t="n">
        <f aca="false">DATE(Paramètres!$G$12,1,4)-WEEKDAY(DATE(Paramètres!$G$12,1,4),2)+1+7*(A23-1)</f>
        <v>46146</v>
      </c>
      <c r="C23" s="30" t="n">
        <f aca="false">B23+6</f>
        <v>46152</v>
      </c>
      <c r="D23" s="24" t="n">
        <f aca="false">COUNTIFS(Registre!$B$5:$B$1004,"&gt;="&amp;$B23,Registre!$B$5:$B$1004,"&lt;="&amp;$C23)</f>
        <v>0</v>
      </c>
      <c r="E23" s="24" t="n">
        <f aca="false">COUNTIFS(Registre!$R$5:$R$1004,"&gt;="&amp;$B23,Registre!$R$5:$R$1004,"&lt;="&amp;$C23)</f>
        <v>0</v>
      </c>
      <c r="F23" s="24" t="n">
        <f aca="false">COUNTIFS(Registre!$B$5:$B$1004,"&gt;="&amp;$B23,Registre!$B$5:$B$1004,"&lt;="&amp;$C23,Registre!$L$5:$L$1004,"Très urgent")+COUNTIFS(Registre!$B$5:$B$1004,"&gt;="&amp;$B23,Registre!$B$5:$B$1004,"&lt;="&amp;$C23,Registre!$L$5:$L$1004,"Urgent")</f>
        <v>0</v>
      </c>
      <c r="G23" s="24" t="n">
        <f aca="true">IF($B23&gt;TODAY(),"",COUNTIFS(Registre!$B$5:$B$1004,"&lt;="&amp;MIN($C23,TODAY()),Registre!$R$5:$R$1004,"",Registre!$Q$5:$Q$1004,"&lt;&gt;Classé sans suite")+COUNTIFS(Registre!$B$5:$B$1004,"&lt;="&amp;MIN($C23,TODAY()),Registre!$R$5:$R$1004,"&gt;"&amp;MIN($C23,TODAY())))</f>
        <v>0</v>
      </c>
      <c r="H23" s="24" t="n">
        <f aca="true">IF($B23&gt;TODAY(),"",COUNTIFS(Registre!$B$5:$B$1004,"&lt;="&amp;MIN($C23,TODAY()),Registre!$R$5:$R$1004,"",Registre!$P$5:$P$1004,"&lt;"&amp;MIN($C23,TODAY()),Registre!$Q$5:$Q$1004,"&lt;&gt;Classé sans suite")+COUNTIFS(Registre!$B$5:$B$1004,"&lt;="&amp;MIN($C23,TODAY()),Registre!$R$5:$R$1004,"&gt;"&amp;MIN($C23,TODAY()),Registre!$P$5:$P$1004,"&lt;"&amp;MIN($C23,TODAY())))</f>
        <v>0</v>
      </c>
      <c r="I23" s="28" t="str">
        <f aca="false">IF(D23=0,"",COUNTIFS(Registre!$B$5:$B$1004,"&gt;="&amp;$B23,Registre!$B$5:$B$1004,"&lt;="&amp;$C23,Registre!$R$5:$R$1004,"&lt;&gt;")/D23)</f>
        <v/>
      </c>
    </row>
    <row r="24" customFormat="false" ht="15" hidden="false" customHeight="false" outlineLevel="0" collapsed="false">
      <c r="A24" s="24" t="n">
        <v>20</v>
      </c>
      <c r="B24" s="30" t="n">
        <f aca="false">DATE(Paramètres!$G$12,1,4)-WEEKDAY(DATE(Paramètres!$G$12,1,4),2)+1+7*(A24-1)</f>
        <v>46153</v>
      </c>
      <c r="C24" s="30" t="n">
        <f aca="false">B24+6</f>
        <v>46159</v>
      </c>
      <c r="D24" s="24" t="n">
        <f aca="false">COUNTIFS(Registre!$B$5:$B$1004,"&gt;="&amp;$B24,Registre!$B$5:$B$1004,"&lt;="&amp;$C24)</f>
        <v>0</v>
      </c>
      <c r="E24" s="24" t="n">
        <f aca="false">COUNTIFS(Registre!$R$5:$R$1004,"&gt;="&amp;$B24,Registre!$R$5:$R$1004,"&lt;="&amp;$C24)</f>
        <v>0</v>
      </c>
      <c r="F24" s="24" t="n">
        <f aca="false">COUNTIFS(Registre!$B$5:$B$1004,"&gt;="&amp;$B24,Registre!$B$5:$B$1004,"&lt;="&amp;$C24,Registre!$L$5:$L$1004,"Très urgent")+COUNTIFS(Registre!$B$5:$B$1004,"&gt;="&amp;$B24,Registre!$B$5:$B$1004,"&lt;="&amp;$C24,Registre!$L$5:$L$1004,"Urgent")</f>
        <v>0</v>
      </c>
      <c r="G24" s="24" t="n">
        <f aca="true">IF($B24&gt;TODAY(),"",COUNTIFS(Registre!$B$5:$B$1004,"&lt;="&amp;MIN($C24,TODAY()),Registre!$R$5:$R$1004,"",Registre!$Q$5:$Q$1004,"&lt;&gt;Classé sans suite")+COUNTIFS(Registre!$B$5:$B$1004,"&lt;="&amp;MIN($C24,TODAY()),Registre!$R$5:$R$1004,"&gt;"&amp;MIN($C24,TODAY())))</f>
        <v>0</v>
      </c>
      <c r="H24" s="24" t="n">
        <f aca="true">IF($B24&gt;TODAY(),"",COUNTIFS(Registre!$B$5:$B$1004,"&lt;="&amp;MIN($C24,TODAY()),Registre!$R$5:$R$1004,"",Registre!$P$5:$P$1004,"&lt;"&amp;MIN($C24,TODAY()),Registre!$Q$5:$Q$1004,"&lt;&gt;Classé sans suite")+COUNTIFS(Registre!$B$5:$B$1004,"&lt;="&amp;MIN($C24,TODAY()),Registre!$R$5:$R$1004,"&gt;"&amp;MIN($C24,TODAY()),Registre!$P$5:$P$1004,"&lt;"&amp;MIN($C24,TODAY())))</f>
        <v>0</v>
      </c>
      <c r="I24" s="28" t="str">
        <f aca="false">IF(D24=0,"",COUNTIFS(Registre!$B$5:$B$1004,"&gt;="&amp;$B24,Registre!$B$5:$B$1004,"&lt;="&amp;$C24,Registre!$R$5:$R$1004,"&lt;&gt;")/D24)</f>
        <v/>
      </c>
    </row>
    <row r="25" customFormat="false" ht="15" hidden="false" customHeight="false" outlineLevel="0" collapsed="false">
      <c r="A25" s="24" t="n">
        <v>21</v>
      </c>
      <c r="B25" s="30" t="n">
        <f aca="false">DATE(Paramètres!$G$12,1,4)-WEEKDAY(DATE(Paramètres!$G$12,1,4),2)+1+7*(A25-1)</f>
        <v>46160</v>
      </c>
      <c r="C25" s="30" t="n">
        <f aca="false">B25+6</f>
        <v>46166</v>
      </c>
      <c r="D25" s="24" t="n">
        <f aca="false">COUNTIFS(Registre!$B$5:$B$1004,"&gt;="&amp;$B25,Registre!$B$5:$B$1004,"&lt;="&amp;$C25)</f>
        <v>0</v>
      </c>
      <c r="E25" s="24" t="n">
        <f aca="false">COUNTIFS(Registre!$R$5:$R$1004,"&gt;="&amp;$B25,Registre!$R$5:$R$1004,"&lt;="&amp;$C25)</f>
        <v>0</v>
      </c>
      <c r="F25" s="24" t="n">
        <f aca="false">COUNTIFS(Registre!$B$5:$B$1004,"&gt;="&amp;$B25,Registre!$B$5:$B$1004,"&lt;="&amp;$C25,Registre!$L$5:$L$1004,"Très urgent")+COUNTIFS(Registre!$B$5:$B$1004,"&gt;="&amp;$B25,Registre!$B$5:$B$1004,"&lt;="&amp;$C25,Registre!$L$5:$L$1004,"Urgent")</f>
        <v>0</v>
      </c>
      <c r="G25" s="24" t="n">
        <f aca="true">IF($B25&gt;TODAY(),"",COUNTIFS(Registre!$B$5:$B$1004,"&lt;="&amp;MIN($C25,TODAY()),Registre!$R$5:$R$1004,"",Registre!$Q$5:$Q$1004,"&lt;&gt;Classé sans suite")+COUNTIFS(Registre!$B$5:$B$1004,"&lt;="&amp;MIN($C25,TODAY()),Registre!$R$5:$R$1004,"&gt;"&amp;MIN($C25,TODAY())))</f>
        <v>0</v>
      </c>
      <c r="H25" s="24" t="n">
        <f aca="true">IF($B25&gt;TODAY(),"",COUNTIFS(Registre!$B$5:$B$1004,"&lt;="&amp;MIN($C25,TODAY()),Registre!$R$5:$R$1004,"",Registre!$P$5:$P$1004,"&lt;"&amp;MIN($C25,TODAY()),Registre!$Q$5:$Q$1004,"&lt;&gt;Classé sans suite")+COUNTIFS(Registre!$B$5:$B$1004,"&lt;="&amp;MIN($C25,TODAY()),Registre!$R$5:$R$1004,"&gt;"&amp;MIN($C25,TODAY()),Registre!$P$5:$P$1004,"&lt;"&amp;MIN($C25,TODAY())))</f>
        <v>0</v>
      </c>
      <c r="I25" s="28" t="str">
        <f aca="false">IF(D25=0,"",COUNTIFS(Registre!$B$5:$B$1004,"&gt;="&amp;$B25,Registre!$B$5:$B$1004,"&lt;="&amp;$C25,Registre!$R$5:$R$1004,"&lt;&gt;")/D25)</f>
        <v/>
      </c>
    </row>
    <row r="26" customFormat="false" ht="15" hidden="false" customHeight="false" outlineLevel="0" collapsed="false">
      <c r="A26" s="24" t="n">
        <v>22</v>
      </c>
      <c r="B26" s="30" t="n">
        <f aca="false">DATE(Paramètres!$G$12,1,4)-WEEKDAY(DATE(Paramètres!$G$12,1,4),2)+1+7*(A26-1)</f>
        <v>46167</v>
      </c>
      <c r="C26" s="30" t="n">
        <f aca="false">B26+6</f>
        <v>46173</v>
      </c>
      <c r="D26" s="24" t="n">
        <f aca="false">COUNTIFS(Registre!$B$5:$B$1004,"&gt;="&amp;$B26,Registre!$B$5:$B$1004,"&lt;="&amp;$C26)</f>
        <v>0</v>
      </c>
      <c r="E26" s="24" t="n">
        <f aca="false">COUNTIFS(Registre!$R$5:$R$1004,"&gt;="&amp;$B26,Registre!$R$5:$R$1004,"&lt;="&amp;$C26)</f>
        <v>0</v>
      </c>
      <c r="F26" s="24" t="n">
        <f aca="false">COUNTIFS(Registre!$B$5:$B$1004,"&gt;="&amp;$B26,Registre!$B$5:$B$1004,"&lt;="&amp;$C26,Registre!$L$5:$L$1004,"Très urgent")+COUNTIFS(Registre!$B$5:$B$1004,"&gt;="&amp;$B26,Registre!$B$5:$B$1004,"&lt;="&amp;$C26,Registre!$L$5:$L$1004,"Urgent")</f>
        <v>0</v>
      </c>
      <c r="G26" s="24" t="n">
        <f aca="true">IF($B26&gt;TODAY(),"",COUNTIFS(Registre!$B$5:$B$1004,"&lt;="&amp;MIN($C26,TODAY()),Registre!$R$5:$R$1004,"",Registre!$Q$5:$Q$1004,"&lt;&gt;Classé sans suite")+COUNTIFS(Registre!$B$5:$B$1004,"&lt;="&amp;MIN($C26,TODAY()),Registre!$R$5:$R$1004,"&gt;"&amp;MIN($C26,TODAY())))</f>
        <v>0</v>
      </c>
      <c r="H26" s="24" t="n">
        <f aca="true">IF($B26&gt;TODAY(),"",COUNTIFS(Registre!$B$5:$B$1004,"&lt;="&amp;MIN($C26,TODAY()),Registre!$R$5:$R$1004,"",Registre!$P$5:$P$1004,"&lt;"&amp;MIN($C26,TODAY()),Registre!$Q$5:$Q$1004,"&lt;&gt;Classé sans suite")+COUNTIFS(Registre!$B$5:$B$1004,"&lt;="&amp;MIN($C26,TODAY()),Registre!$R$5:$R$1004,"&gt;"&amp;MIN($C26,TODAY()),Registre!$P$5:$P$1004,"&lt;"&amp;MIN($C26,TODAY())))</f>
        <v>0</v>
      </c>
      <c r="I26" s="28" t="str">
        <f aca="false">IF(D26=0,"",COUNTIFS(Registre!$B$5:$B$1004,"&gt;="&amp;$B26,Registre!$B$5:$B$1004,"&lt;="&amp;$C26,Registre!$R$5:$R$1004,"&lt;&gt;")/D26)</f>
        <v/>
      </c>
    </row>
    <row r="27" customFormat="false" ht="15" hidden="false" customHeight="false" outlineLevel="0" collapsed="false">
      <c r="A27" s="24" t="n">
        <v>23</v>
      </c>
      <c r="B27" s="30" t="n">
        <f aca="false">DATE(Paramètres!$G$12,1,4)-WEEKDAY(DATE(Paramètres!$G$12,1,4),2)+1+7*(A27-1)</f>
        <v>46174</v>
      </c>
      <c r="C27" s="30" t="n">
        <f aca="false">B27+6</f>
        <v>46180</v>
      </c>
      <c r="D27" s="24" t="n">
        <f aca="false">COUNTIFS(Registre!$B$5:$B$1004,"&gt;="&amp;$B27,Registre!$B$5:$B$1004,"&lt;="&amp;$C27)</f>
        <v>0</v>
      </c>
      <c r="E27" s="24" t="n">
        <f aca="false">COUNTIFS(Registre!$R$5:$R$1004,"&gt;="&amp;$B27,Registre!$R$5:$R$1004,"&lt;="&amp;$C27)</f>
        <v>0</v>
      </c>
      <c r="F27" s="24" t="n">
        <f aca="false">COUNTIFS(Registre!$B$5:$B$1004,"&gt;="&amp;$B27,Registre!$B$5:$B$1004,"&lt;="&amp;$C27,Registre!$L$5:$L$1004,"Très urgent")+COUNTIFS(Registre!$B$5:$B$1004,"&gt;="&amp;$B27,Registre!$B$5:$B$1004,"&lt;="&amp;$C27,Registre!$L$5:$L$1004,"Urgent")</f>
        <v>0</v>
      </c>
      <c r="G27" s="24" t="n">
        <f aca="true">IF($B27&gt;TODAY(),"",COUNTIFS(Registre!$B$5:$B$1004,"&lt;="&amp;MIN($C27,TODAY()),Registre!$R$5:$R$1004,"",Registre!$Q$5:$Q$1004,"&lt;&gt;Classé sans suite")+COUNTIFS(Registre!$B$5:$B$1004,"&lt;="&amp;MIN($C27,TODAY()),Registre!$R$5:$R$1004,"&gt;"&amp;MIN($C27,TODAY())))</f>
        <v>0</v>
      </c>
      <c r="H27" s="24" t="n">
        <f aca="true">IF($B27&gt;TODAY(),"",COUNTIFS(Registre!$B$5:$B$1004,"&lt;="&amp;MIN($C27,TODAY()),Registre!$R$5:$R$1004,"",Registre!$P$5:$P$1004,"&lt;"&amp;MIN($C27,TODAY()),Registre!$Q$5:$Q$1004,"&lt;&gt;Classé sans suite")+COUNTIFS(Registre!$B$5:$B$1004,"&lt;="&amp;MIN($C27,TODAY()),Registre!$R$5:$R$1004,"&gt;"&amp;MIN($C27,TODAY()),Registre!$P$5:$P$1004,"&lt;"&amp;MIN($C27,TODAY())))</f>
        <v>0</v>
      </c>
      <c r="I27" s="28" t="str">
        <f aca="false">IF(D27=0,"",COUNTIFS(Registre!$B$5:$B$1004,"&gt;="&amp;$B27,Registre!$B$5:$B$1004,"&lt;="&amp;$C27,Registre!$R$5:$R$1004,"&lt;&gt;")/D27)</f>
        <v/>
      </c>
    </row>
    <row r="28" customFormat="false" ht="15" hidden="false" customHeight="false" outlineLevel="0" collapsed="false">
      <c r="A28" s="24" t="n">
        <v>24</v>
      </c>
      <c r="B28" s="30" t="n">
        <f aca="false">DATE(Paramètres!$G$12,1,4)-WEEKDAY(DATE(Paramètres!$G$12,1,4),2)+1+7*(A28-1)</f>
        <v>46181</v>
      </c>
      <c r="C28" s="30" t="n">
        <f aca="false">B28+6</f>
        <v>46187</v>
      </c>
      <c r="D28" s="24" t="n">
        <f aca="false">COUNTIFS(Registre!$B$5:$B$1004,"&gt;="&amp;$B28,Registre!$B$5:$B$1004,"&lt;="&amp;$C28)</f>
        <v>0</v>
      </c>
      <c r="E28" s="24" t="n">
        <f aca="false">COUNTIFS(Registre!$R$5:$R$1004,"&gt;="&amp;$B28,Registre!$R$5:$R$1004,"&lt;="&amp;$C28)</f>
        <v>0</v>
      </c>
      <c r="F28" s="24" t="n">
        <f aca="false">COUNTIFS(Registre!$B$5:$B$1004,"&gt;="&amp;$B28,Registre!$B$5:$B$1004,"&lt;="&amp;$C28,Registre!$L$5:$L$1004,"Très urgent")+COUNTIFS(Registre!$B$5:$B$1004,"&gt;="&amp;$B28,Registre!$B$5:$B$1004,"&lt;="&amp;$C28,Registre!$L$5:$L$1004,"Urgent")</f>
        <v>0</v>
      </c>
      <c r="G28" s="24" t="n">
        <f aca="true">IF($B28&gt;TODAY(),"",COUNTIFS(Registre!$B$5:$B$1004,"&lt;="&amp;MIN($C28,TODAY()),Registre!$R$5:$R$1004,"",Registre!$Q$5:$Q$1004,"&lt;&gt;Classé sans suite")+COUNTIFS(Registre!$B$5:$B$1004,"&lt;="&amp;MIN($C28,TODAY()),Registre!$R$5:$R$1004,"&gt;"&amp;MIN($C28,TODAY())))</f>
        <v>0</v>
      </c>
      <c r="H28" s="24" t="n">
        <f aca="true">IF($B28&gt;TODAY(),"",COUNTIFS(Registre!$B$5:$B$1004,"&lt;="&amp;MIN($C28,TODAY()),Registre!$R$5:$R$1004,"",Registre!$P$5:$P$1004,"&lt;"&amp;MIN($C28,TODAY()),Registre!$Q$5:$Q$1004,"&lt;&gt;Classé sans suite")+COUNTIFS(Registre!$B$5:$B$1004,"&lt;="&amp;MIN($C28,TODAY()),Registre!$R$5:$R$1004,"&gt;"&amp;MIN($C28,TODAY()),Registre!$P$5:$P$1004,"&lt;"&amp;MIN($C28,TODAY())))</f>
        <v>0</v>
      </c>
      <c r="I28" s="28" t="str">
        <f aca="false">IF(D28=0,"",COUNTIFS(Registre!$B$5:$B$1004,"&gt;="&amp;$B28,Registre!$B$5:$B$1004,"&lt;="&amp;$C28,Registre!$R$5:$R$1004,"&lt;&gt;")/D28)</f>
        <v/>
      </c>
    </row>
    <row r="29" customFormat="false" ht="15" hidden="false" customHeight="false" outlineLevel="0" collapsed="false">
      <c r="A29" s="24" t="n">
        <v>25</v>
      </c>
      <c r="B29" s="30" t="n">
        <f aca="false">DATE(Paramètres!$G$12,1,4)-WEEKDAY(DATE(Paramètres!$G$12,1,4),2)+1+7*(A29-1)</f>
        <v>46188</v>
      </c>
      <c r="C29" s="30" t="n">
        <f aca="false">B29+6</f>
        <v>46194</v>
      </c>
      <c r="D29" s="24" t="n">
        <f aca="false">COUNTIFS(Registre!$B$5:$B$1004,"&gt;="&amp;$B29,Registre!$B$5:$B$1004,"&lt;="&amp;$C29)</f>
        <v>0</v>
      </c>
      <c r="E29" s="24" t="n">
        <f aca="false">COUNTIFS(Registre!$R$5:$R$1004,"&gt;="&amp;$B29,Registre!$R$5:$R$1004,"&lt;="&amp;$C29)</f>
        <v>0</v>
      </c>
      <c r="F29" s="24" t="n">
        <f aca="false">COUNTIFS(Registre!$B$5:$B$1004,"&gt;="&amp;$B29,Registre!$B$5:$B$1004,"&lt;="&amp;$C29,Registre!$L$5:$L$1004,"Très urgent")+COUNTIFS(Registre!$B$5:$B$1004,"&gt;="&amp;$B29,Registre!$B$5:$B$1004,"&lt;="&amp;$C29,Registre!$L$5:$L$1004,"Urgent")</f>
        <v>0</v>
      </c>
      <c r="G29" s="24" t="n">
        <f aca="true">IF($B29&gt;TODAY(),"",COUNTIFS(Registre!$B$5:$B$1004,"&lt;="&amp;MIN($C29,TODAY()),Registre!$R$5:$R$1004,"",Registre!$Q$5:$Q$1004,"&lt;&gt;Classé sans suite")+COUNTIFS(Registre!$B$5:$B$1004,"&lt;="&amp;MIN($C29,TODAY()),Registre!$R$5:$R$1004,"&gt;"&amp;MIN($C29,TODAY())))</f>
        <v>0</v>
      </c>
      <c r="H29" s="24" t="n">
        <f aca="true">IF($B29&gt;TODAY(),"",COUNTIFS(Registre!$B$5:$B$1004,"&lt;="&amp;MIN($C29,TODAY()),Registre!$R$5:$R$1004,"",Registre!$P$5:$P$1004,"&lt;"&amp;MIN($C29,TODAY()),Registre!$Q$5:$Q$1004,"&lt;&gt;Classé sans suite")+COUNTIFS(Registre!$B$5:$B$1004,"&lt;="&amp;MIN($C29,TODAY()),Registre!$R$5:$R$1004,"&gt;"&amp;MIN($C29,TODAY()),Registre!$P$5:$P$1004,"&lt;"&amp;MIN($C29,TODAY())))</f>
        <v>0</v>
      </c>
      <c r="I29" s="28" t="str">
        <f aca="false">IF(D29=0,"",COUNTIFS(Registre!$B$5:$B$1004,"&gt;="&amp;$B29,Registre!$B$5:$B$1004,"&lt;="&amp;$C29,Registre!$R$5:$R$1004,"&lt;&gt;")/D29)</f>
        <v/>
      </c>
    </row>
    <row r="30" customFormat="false" ht="15" hidden="false" customHeight="false" outlineLevel="0" collapsed="false">
      <c r="A30" s="24" t="n">
        <v>26</v>
      </c>
      <c r="B30" s="30" t="n">
        <f aca="false">DATE(Paramètres!$G$12,1,4)-WEEKDAY(DATE(Paramètres!$G$12,1,4),2)+1+7*(A30-1)</f>
        <v>46195</v>
      </c>
      <c r="C30" s="30" t="n">
        <f aca="false">B30+6</f>
        <v>46201</v>
      </c>
      <c r="D30" s="24" t="n">
        <f aca="false">COUNTIFS(Registre!$B$5:$B$1004,"&gt;="&amp;$B30,Registre!$B$5:$B$1004,"&lt;="&amp;$C30)</f>
        <v>0</v>
      </c>
      <c r="E30" s="24" t="n">
        <f aca="false">COUNTIFS(Registre!$R$5:$R$1004,"&gt;="&amp;$B30,Registre!$R$5:$R$1004,"&lt;="&amp;$C30)</f>
        <v>0</v>
      </c>
      <c r="F30" s="24" t="n">
        <f aca="false">COUNTIFS(Registre!$B$5:$B$1004,"&gt;="&amp;$B30,Registre!$B$5:$B$1004,"&lt;="&amp;$C30,Registre!$L$5:$L$1004,"Très urgent")+COUNTIFS(Registre!$B$5:$B$1004,"&gt;="&amp;$B30,Registre!$B$5:$B$1004,"&lt;="&amp;$C30,Registre!$L$5:$L$1004,"Urgent")</f>
        <v>0</v>
      </c>
      <c r="G30" s="24" t="n">
        <f aca="true">IF($B30&gt;TODAY(),"",COUNTIFS(Registre!$B$5:$B$1004,"&lt;="&amp;MIN($C30,TODAY()),Registre!$R$5:$R$1004,"",Registre!$Q$5:$Q$1004,"&lt;&gt;Classé sans suite")+COUNTIFS(Registre!$B$5:$B$1004,"&lt;="&amp;MIN($C30,TODAY()),Registre!$R$5:$R$1004,"&gt;"&amp;MIN($C30,TODAY())))</f>
        <v>0</v>
      </c>
      <c r="H30" s="24" t="n">
        <f aca="true">IF($B30&gt;TODAY(),"",COUNTIFS(Registre!$B$5:$B$1004,"&lt;="&amp;MIN($C30,TODAY()),Registre!$R$5:$R$1004,"",Registre!$P$5:$P$1004,"&lt;"&amp;MIN($C30,TODAY()),Registre!$Q$5:$Q$1004,"&lt;&gt;Classé sans suite")+COUNTIFS(Registre!$B$5:$B$1004,"&lt;="&amp;MIN($C30,TODAY()),Registre!$R$5:$R$1004,"&gt;"&amp;MIN($C30,TODAY()),Registre!$P$5:$P$1004,"&lt;"&amp;MIN($C30,TODAY())))</f>
        <v>0</v>
      </c>
      <c r="I30" s="28" t="str">
        <f aca="false">IF(D30=0,"",COUNTIFS(Registre!$B$5:$B$1004,"&gt;="&amp;$B30,Registre!$B$5:$B$1004,"&lt;="&amp;$C30,Registre!$R$5:$R$1004,"&lt;&gt;")/D30)</f>
        <v/>
      </c>
    </row>
    <row r="31" customFormat="false" ht="15" hidden="false" customHeight="false" outlineLevel="0" collapsed="false">
      <c r="A31" s="24" t="n">
        <v>27</v>
      </c>
      <c r="B31" s="30" t="n">
        <f aca="false">DATE(Paramètres!$G$12,1,4)-WEEKDAY(DATE(Paramètres!$G$12,1,4),2)+1+7*(A31-1)</f>
        <v>46202</v>
      </c>
      <c r="C31" s="30" t="n">
        <f aca="false">B31+6</f>
        <v>46208</v>
      </c>
      <c r="D31" s="24" t="n">
        <f aca="false">COUNTIFS(Registre!$B$5:$B$1004,"&gt;="&amp;$B31,Registre!$B$5:$B$1004,"&lt;="&amp;$C31)</f>
        <v>0</v>
      </c>
      <c r="E31" s="24" t="n">
        <f aca="false">COUNTIFS(Registre!$R$5:$R$1004,"&gt;="&amp;$B31,Registre!$R$5:$R$1004,"&lt;="&amp;$C31)</f>
        <v>0</v>
      </c>
      <c r="F31" s="24" t="n">
        <f aca="false">COUNTIFS(Registre!$B$5:$B$1004,"&gt;="&amp;$B31,Registre!$B$5:$B$1004,"&lt;="&amp;$C31,Registre!$L$5:$L$1004,"Très urgent")+COUNTIFS(Registre!$B$5:$B$1004,"&gt;="&amp;$B31,Registre!$B$5:$B$1004,"&lt;="&amp;$C31,Registre!$L$5:$L$1004,"Urgent")</f>
        <v>0</v>
      </c>
      <c r="G31" s="24" t="n">
        <f aca="true">IF($B31&gt;TODAY(),"",COUNTIFS(Registre!$B$5:$B$1004,"&lt;="&amp;MIN($C31,TODAY()),Registre!$R$5:$R$1004,"",Registre!$Q$5:$Q$1004,"&lt;&gt;Classé sans suite")+COUNTIFS(Registre!$B$5:$B$1004,"&lt;="&amp;MIN($C31,TODAY()),Registre!$R$5:$R$1004,"&gt;"&amp;MIN($C31,TODAY())))</f>
        <v>0</v>
      </c>
      <c r="H31" s="24" t="n">
        <f aca="true">IF($B31&gt;TODAY(),"",COUNTIFS(Registre!$B$5:$B$1004,"&lt;="&amp;MIN($C31,TODAY()),Registre!$R$5:$R$1004,"",Registre!$P$5:$P$1004,"&lt;"&amp;MIN($C31,TODAY()),Registre!$Q$5:$Q$1004,"&lt;&gt;Classé sans suite")+COUNTIFS(Registre!$B$5:$B$1004,"&lt;="&amp;MIN($C31,TODAY()),Registre!$R$5:$R$1004,"&gt;"&amp;MIN($C31,TODAY()),Registre!$P$5:$P$1004,"&lt;"&amp;MIN($C31,TODAY())))</f>
        <v>0</v>
      </c>
      <c r="I31" s="28" t="str">
        <f aca="false">IF(D31=0,"",COUNTIFS(Registre!$B$5:$B$1004,"&gt;="&amp;$B31,Registre!$B$5:$B$1004,"&lt;="&amp;$C31,Registre!$R$5:$R$1004,"&lt;&gt;")/D31)</f>
        <v/>
      </c>
    </row>
    <row r="32" customFormat="false" ht="15" hidden="false" customHeight="false" outlineLevel="0" collapsed="false">
      <c r="A32" s="24" t="n">
        <v>28</v>
      </c>
      <c r="B32" s="30" t="n">
        <f aca="false">DATE(Paramètres!$G$12,1,4)-WEEKDAY(DATE(Paramètres!$G$12,1,4),2)+1+7*(A32-1)</f>
        <v>46209</v>
      </c>
      <c r="C32" s="30" t="n">
        <f aca="false">B32+6</f>
        <v>46215</v>
      </c>
      <c r="D32" s="24" t="n">
        <f aca="false">COUNTIFS(Registre!$B$5:$B$1004,"&gt;="&amp;$B32,Registre!$B$5:$B$1004,"&lt;="&amp;$C32)</f>
        <v>0</v>
      </c>
      <c r="E32" s="24" t="n">
        <f aca="false">COUNTIFS(Registre!$R$5:$R$1004,"&gt;="&amp;$B32,Registre!$R$5:$R$1004,"&lt;="&amp;$C32)</f>
        <v>0</v>
      </c>
      <c r="F32" s="24" t="n">
        <f aca="false">COUNTIFS(Registre!$B$5:$B$1004,"&gt;="&amp;$B32,Registre!$B$5:$B$1004,"&lt;="&amp;$C32,Registre!$L$5:$L$1004,"Très urgent")+COUNTIFS(Registre!$B$5:$B$1004,"&gt;="&amp;$B32,Registre!$B$5:$B$1004,"&lt;="&amp;$C32,Registre!$L$5:$L$1004,"Urgent")</f>
        <v>0</v>
      </c>
      <c r="G32" s="24" t="n">
        <f aca="true">IF($B32&gt;TODAY(),"",COUNTIFS(Registre!$B$5:$B$1004,"&lt;="&amp;MIN($C32,TODAY()),Registre!$R$5:$R$1004,"",Registre!$Q$5:$Q$1004,"&lt;&gt;Classé sans suite")+COUNTIFS(Registre!$B$5:$B$1004,"&lt;="&amp;MIN($C32,TODAY()),Registre!$R$5:$R$1004,"&gt;"&amp;MIN($C32,TODAY())))</f>
        <v>0</v>
      </c>
      <c r="H32" s="24" t="n">
        <f aca="true">IF($B32&gt;TODAY(),"",COUNTIFS(Registre!$B$5:$B$1004,"&lt;="&amp;MIN($C32,TODAY()),Registre!$R$5:$R$1004,"",Registre!$P$5:$P$1004,"&lt;"&amp;MIN($C32,TODAY()),Registre!$Q$5:$Q$1004,"&lt;&gt;Classé sans suite")+COUNTIFS(Registre!$B$5:$B$1004,"&lt;="&amp;MIN($C32,TODAY()),Registre!$R$5:$R$1004,"&gt;"&amp;MIN($C32,TODAY()),Registre!$P$5:$P$1004,"&lt;"&amp;MIN($C32,TODAY())))</f>
        <v>0</v>
      </c>
      <c r="I32" s="28" t="str">
        <f aca="false">IF(D32=0,"",COUNTIFS(Registre!$B$5:$B$1004,"&gt;="&amp;$B32,Registre!$B$5:$B$1004,"&lt;="&amp;$C32,Registre!$R$5:$R$1004,"&lt;&gt;")/D32)</f>
        <v/>
      </c>
    </row>
    <row r="33" customFormat="false" ht="15" hidden="false" customHeight="false" outlineLevel="0" collapsed="false">
      <c r="A33" s="24" t="n">
        <v>29</v>
      </c>
      <c r="B33" s="30" t="n">
        <f aca="false">DATE(Paramètres!$G$12,1,4)-WEEKDAY(DATE(Paramètres!$G$12,1,4),2)+1+7*(A33-1)</f>
        <v>46216</v>
      </c>
      <c r="C33" s="30" t="n">
        <f aca="false">B33+6</f>
        <v>46222</v>
      </c>
      <c r="D33" s="24" t="n">
        <f aca="false">COUNTIFS(Registre!$B$5:$B$1004,"&gt;="&amp;$B33,Registre!$B$5:$B$1004,"&lt;="&amp;$C33)</f>
        <v>0</v>
      </c>
      <c r="E33" s="24" t="n">
        <f aca="false">COUNTIFS(Registre!$R$5:$R$1004,"&gt;="&amp;$B33,Registre!$R$5:$R$1004,"&lt;="&amp;$C33)</f>
        <v>0</v>
      </c>
      <c r="F33" s="24" t="n">
        <f aca="false">COUNTIFS(Registre!$B$5:$B$1004,"&gt;="&amp;$B33,Registre!$B$5:$B$1004,"&lt;="&amp;$C33,Registre!$L$5:$L$1004,"Très urgent")+COUNTIFS(Registre!$B$5:$B$1004,"&gt;="&amp;$B33,Registre!$B$5:$B$1004,"&lt;="&amp;$C33,Registre!$L$5:$L$1004,"Urgent")</f>
        <v>0</v>
      </c>
      <c r="G33" s="24" t="n">
        <f aca="true">IF($B33&gt;TODAY(),"",COUNTIFS(Registre!$B$5:$B$1004,"&lt;="&amp;MIN($C33,TODAY()),Registre!$R$5:$R$1004,"",Registre!$Q$5:$Q$1004,"&lt;&gt;Classé sans suite")+COUNTIFS(Registre!$B$5:$B$1004,"&lt;="&amp;MIN($C33,TODAY()),Registre!$R$5:$R$1004,"&gt;"&amp;MIN($C33,TODAY())))</f>
        <v>0</v>
      </c>
      <c r="H33" s="24" t="n">
        <f aca="true">IF($B33&gt;TODAY(),"",COUNTIFS(Registre!$B$5:$B$1004,"&lt;="&amp;MIN($C33,TODAY()),Registre!$R$5:$R$1004,"",Registre!$P$5:$P$1004,"&lt;"&amp;MIN($C33,TODAY()),Registre!$Q$5:$Q$1004,"&lt;&gt;Classé sans suite")+COUNTIFS(Registre!$B$5:$B$1004,"&lt;="&amp;MIN($C33,TODAY()),Registre!$R$5:$R$1004,"&gt;"&amp;MIN($C33,TODAY()),Registre!$P$5:$P$1004,"&lt;"&amp;MIN($C33,TODAY())))</f>
        <v>0</v>
      </c>
      <c r="I33" s="28" t="str">
        <f aca="false">IF(D33=0,"",COUNTIFS(Registre!$B$5:$B$1004,"&gt;="&amp;$B33,Registre!$B$5:$B$1004,"&lt;="&amp;$C33,Registre!$R$5:$R$1004,"&lt;&gt;")/D33)</f>
        <v/>
      </c>
    </row>
    <row r="34" customFormat="false" ht="15" hidden="false" customHeight="false" outlineLevel="0" collapsed="false">
      <c r="A34" s="24" t="n">
        <v>30</v>
      </c>
      <c r="B34" s="30" t="n">
        <f aca="false">DATE(Paramètres!$G$12,1,4)-WEEKDAY(DATE(Paramètres!$G$12,1,4),2)+1+7*(A34-1)</f>
        <v>46223</v>
      </c>
      <c r="C34" s="30" t="n">
        <f aca="false">B34+6</f>
        <v>46229</v>
      </c>
      <c r="D34" s="24" t="n">
        <f aca="false">COUNTIFS(Registre!$B$5:$B$1004,"&gt;="&amp;$B34,Registre!$B$5:$B$1004,"&lt;="&amp;$C34)</f>
        <v>0</v>
      </c>
      <c r="E34" s="24" t="n">
        <f aca="false">COUNTIFS(Registre!$R$5:$R$1004,"&gt;="&amp;$B34,Registre!$R$5:$R$1004,"&lt;="&amp;$C34)</f>
        <v>0</v>
      </c>
      <c r="F34" s="24" t="n">
        <f aca="false">COUNTIFS(Registre!$B$5:$B$1004,"&gt;="&amp;$B34,Registre!$B$5:$B$1004,"&lt;="&amp;$C34,Registre!$L$5:$L$1004,"Très urgent")+COUNTIFS(Registre!$B$5:$B$1004,"&gt;="&amp;$B34,Registre!$B$5:$B$1004,"&lt;="&amp;$C34,Registre!$L$5:$L$1004,"Urgent")</f>
        <v>0</v>
      </c>
      <c r="G34" s="24" t="n">
        <f aca="true">IF($B34&gt;TODAY(),"",COUNTIFS(Registre!$B$5:$B$1004,"&lt;="&amp;MIN($C34,TODAY()),Registre!$R$5:$R$1004,"",Registre!$Q$5:$Q$1004,"&lt;&gt;Classé sans suite")+COUNTIFS(Registre!$B$5:$B$1004,"&lt;="&amp;MIN($C34,TODAY()),Registre!$R$5:$R$1004,"&gt;"&amp;MIN($C34,TODAY())))</f>
        <v>0</v>
      </c>
      <c r="H34" s="24" t="n">
        <f aca="true">IF($B34&gt;TODAY(),"",COUNTIFS(Registre!$B$5:$B$1004,"&lt;="&amp;MIN($C34,TODAY()),Registre!$R$5:$R$1004,"",Registre!$P$5:$P$1004,"&lt;"&amp;MIN($C34,TODAY()),Registre!$Q$5:$Q$1004,"&lt;&gt;Classé sans suite")+COUNTIFS(Registre!$B$5:$B$1004,"&lt;="&amp;MIN($C34,TODAY()),Registre!$R$5:$R$1004,"&gt;"&amp;MIN($C34,TODAY()),Registre!$P$5:$P$1004,"&lt;"&amp;MIN($C34,TODAY())))</f>
        <v>0</v>
      </c>
      <c r="I34" s="28" t="str">
        <f aca="false">IF(D34=0,"",COUNTIFS(Registre!$B$5:$B$1004,"&gt;="&amp;$B34,Registre!$B$5:$B$1004,"&lt;="&amp;$C34,Registre!$R$5:$R$1004,"&lt;&gt;")/D34)</f>
        <v/>
      </c>
    </row>
    <row r="35" customFormat="false" ht="15" hidden="false" customHeight="false" outlineLevel="0" collapsed="false">
      <c r="A35" s="24" t="n">
        <v>31</v>
      </c>
      <c r="B35" s="30" t="n">
        <f aca="false">DATE(Paramètres!$G$12,1,4)-WEEKDAY(DATE(Paramètres!$G$12,1,4),2)+1+7*(A35-1)</f>
        <v>46230</v>
      </c>
      <c r="C35" s="30" t="n">
        <f aca="false">B35+6</f>
        <v>46236</v>
      </c>
      <c r="D35" s="24" t="n">
        <f aca="false">COUNTIFS(Registre!$B$5:$B$1004,"&gt;="&amp;$B35,Registre!$B$5:$B$1004,"&lt;="&amp;$C35)</f>
        <v>0</v>
      </c>
      <c r="E35" s="24" t="n">
        <f aca="false">COUNTIFS(Registre!$R$5:$R$1004,"&gt;="&amp;$B35,Registre!$R$5:$R$1004,"&lt;="&amp;$C35)</f>
        <v>0</v>
      </c>
      <c r="F35" s="24" t="n">
        <f aca="false">COUNTIFS(Registre!$B$5:$B$1004,"&gt;="&amp;$B35,Registre!$B$5:$B$1004,"&lt;="&amp;$C35,Registre!$L$5:$L$1004,"Très urgent")+COUNTIFS(Registre!$B$5:$B$1004,"&gt;="&amp;$B35,Registre!$B$5:$B$1004,"&lt;="&amp;$C35,Registre!$L$5:$L$1004,"Urgent")</f>
        <v>0</v>
      </c>
      <c r="G35" s="24" t="n">
        <f aca="true">IF($B35&gt;TODAY(),"",COUNTIFS(Registre!$B$5:$B$1004,"&lt;="&amp;MIN($C35,TODAY()),Registre!$R$5:$R$1004,"",Registre!$Q$5:$Q$1004,"&lt;&gt;Classé sans suite")+COUNTIFS(Registre!$B$5:$B$1004,"&lt;="&amp;MIN($C35,TODAY()),Registre!$R$5:$R$1004,"&gt;"&amp;MIN($C35,TODAY())))</f>
        <v>0</v>
      </c>
      <c r="H35" s="24" t="n">
        <f aca="true">IF($B35&gt;TODAY(),"",COUNTIFS(Registre!$B$5:$B$1004,"&lt;="&amp;MIN($C35,TODAY()),Registre!$R$5:$R$1004,"",Registre!$P$5:$P$1004,"&lt;"&amp;MIN($C35,TODAY()),Registre!$Q$5:$Q$1004,"&lt;&gt;Classé sans suite")+COUNTIFS(Registre!$B$5:$B$1004,"&lt;="&amp;MIN($C35,TODAY()),Registre!$R$5:$R$1004,"&gt;"&amp;MIN($C35,TODAY()),Registre!$P$5:$P$1004,"&lt;"&amp;MIN($C35,TODAY())))</f>
        <v>0</v>
      </c>
      <c r="I35" s="28" t="str">
        <f aca="false">IF(D35=0,"",COUNTIFS(Registre!$B$5:$B$1004,"&gt;="&amp;$B35,Registre!$B$5:$B$1004,"&lt;="&amp;$C35,Registre!$R$5:$R$1004,"&lt;&gt;")/D35)</f>
        <v/>
      </c>
    </row>
    <row r="36" customFormat="false" ht="15" hidden="false" customHeight="false" outlineLevel="0" collapsed="false">
      <c r="A36" s="24" t="n">
        <v>32</v>
      </c>
      <c r="B36" s="30" t="n">
        <f aca="false">DATE(Paramètres!$G$12,1,4)-WEEKDAY(DATE(Paramètres!$G$12,1,4),2)+1+7*(A36-1)</f>
        <v>46237</v>
      </c>
      <c r="C36" s="30" t="n">
        <f aca="false">B36+6</f>
        <v>46243</v>
      </c>
      <c r="D36" s="24" t="n">
        <f aca="false">COUNTIFS(Registre!$B$5:$B$1004,"&gt;="&amp;$B36,Registre!$B$5:$B$1004,"&lt;="&amp;$C36)</f>
        <v>0</v>
      </c>
      <c r="E36" s="24" t="n">
        <f aca="false">COUNTIFS(Registre!$R$5:$R$1004,"&gt;="&amp;$B36,Registre!$R$5:$R$1004,"&lt;="&amp;$C36)</f>
        <v>0</v>
      </c>
      <c r="F36" s="24" t="n">
        <f aca="false">COUNTIFS(Registre!$B$5:$B$1004,"&gt;="&amp;$B36,Registre!$B$5:$B$1004,"&lt;="&amp;$C36,Registre!$L$5:$L$1004,"Très urgent")+COUNTIFS(Registre!$B$5:$B$1004,"&gt;="&amp;$B36,Registre!$B$5:$B$1004,"&lt;="&amp;$C36,Registre!$L$5:$L$1004,"Urgent")</f>
        <v>0</v>
      </c>
      <c r="G36" s="24" t="n">
        <f aca="true">IF($B36&gt;TODAY(),"",COUNTIFS(Registre!$B$5:$B$1004,"&lt;="&amp;MIN($C36,TODAY()),Registre!$R$5:$R$1004,"",Registre!$Q$5:$Q$1004,"&lt;&gt;Classé sans suite")+COUNTIFS(Registre!$B$5:$B$1004,"&lt;="&amp;MIN($C36,TODAY()),Registre!$R$5:$R$1004,"&gt;"&amp;MIN($C36,TODAY())))</f>
        <v>0</v>
      </c>
      <c r="H36" s="24" t="n">
        <f aca="true">IF($B36&gt;TODAY(),"",COUNTIFS(Registre!$B$5:$B$1004,"&lt;="&amp;MIN($C36,TODAY()),Registre!$R$5:$R$1004,"",Registre!$P$5:$P$1004,"&lt;"&amp;MIN($C36,TODAY()),Registre!$Q$5:$Q$1004,"&lt;&gt;Classé sans suite")+COUNTIFS(Registre!$B$5:$B$1004,"&lt;="&amp;MIN($C36,TODAY()),Registre!$R$5:$R$1004,"&gt;"&amp;MIN($C36,TODAY()),Registre!$P$5:$P$1004,"&lt;"&amp;MIN($C36,TODAY())))</f>
        <v>0</v>
      </c>
      <c r="I36" s="28" t="str">
        <f aca="false">IF(D36=0,"",COUNTIFS(Registre!$B$5:$B$1004,"&gt;="&amp;$B36,Registre!$B$5:$B$1004,"&lt;="&amp;$C36,Registre!$R$5:$R$1004,"&lt;&gt;")/D36)</f>
        <v/>
      </c>
    </row>
    <row r="37" customFormat="false" ht="15" hidden="false" customHeight="false" outlineLevel="0" collapsed="false">
      <c r="A37" s="24" t="n">
        <v>33</v>
      </c>
      <c r="B37" s="30" t="n">
        <f aca="false">DATE(Paramètres!$G$12,1,4)-WEEKDAY(DATE(Paramètres!$G$12,1,4),2)+1+7*(A37-1)</f>
        <v>46244</v>
      </c>
      <c r="C37" s="30" t="n">
        <f aca="false">B37+6</f>
        <v>46250</v>
      </c>
      <c r="D37" s="24" t="n">
        <f aca="false">COUNTIFS(Registre!$B$5:$B$1004,"&gt;="&amp;$B37,Registre!$B$5:$B$1004,"&lt;="&amp;$C37)</f>
        <v>0</v>
      </c>
      <c r="E37" s="24" t="n">
        <f aca="false">COUNTIFS(Registre!$R$5:$R$1004,"&gt;="&amp;$B37,Registre!$R$5:$R$1004,"&lt;="&amp;$C37)</f>
        <v>0</v>
      </c>
      <c r="F37" s="24" t="n">
        <f aca="false">COUNTIFS(Registre!$B$5:$B$1004,"&gt;="&amp;$B37,Registre!$B$5:$B$1004,"&lt;="&amp;$C37,Registre!$L$5:$L$1004,"Très urgent")+COUNTIFS(Registre!$B$5:$B$1004,"&gt;="&amp;$B37,Registre!$B$5:$B$1004,"&lt;="&amp;$C37,Registre!$L$5:$L$1004,"Urgent")</f>
        <v>0</v>
      </c>
      <c r="G37" s="24" t="n">
        <f aca="true">IF($B37&gt;TODAY(),"",COUNTIFS(Registre!$B$5:$B$1004,"&lt;="&amp;MIN($C37,TODAY()),Registre!$R$5:$R$1004,"",Registre!$Q$5:$Q$1004,"&lt;&gt;Classé sans suite")+COUNTIFS(Registre!$B$5:$B$1004,"&lt;="&amp;MIN($C37,TODAY()),Registre!$R$5:$R$1004,"&gt;"&amp;MIN($C37,TODAY())))</f>
        <v>0</v>
      </c>
      <c r="H37" s="24" t="n">
        <f aca="true">IF($B37&gt;TODAY(),"",COUNTIFS(Registre!$B$5:$B$1004,"&lt;="&amp;MIN($C37,TODAY()),Registre!$R$5:$R$1004,"",Registre!$P$5:$P$1004,"&lt;"&amp;MIN($C37,TODAY()),Registre!$Q$5:$Q$1004,"&lt;&gt;Classé sans suite")+COUNTIFS(Registre!$B$5:$B$1004,"&lt;="&amp;MIN($C37,TODAY()),Registre!$R$5:$R$1004,"&gt;"&amp;MIN($C37,TODAY()),Registre!$P$5:$P$1004,"&lt;"&amp;MIN($C37,TODAY())))</f>
        <v>0</v>
      </c>
      <c r="I37" s="28" t="str">
        <f aca="false">IF(D37=0,"",COUNTIFS(Registre!$B$5:$B$1004,"&gt;="&amp;$B37,Registre!$B$5:$B$1004,"&lt;="&amp;$C37,Registre!$R$5:$R$1004,"&lt;&gt;")/D37)</f>
        <v/>
      </c>
    </row>
    <row r="38" customFormat="false" ht="15" hidden="false" customHeight="false" outlineLevel="0" collapsed="false">
      <c r="A38" s="24" t="n">
        <v>34</v>
      </c>
      <c r="B38" s="30" t="n">
        <f aca="false">DATE(Paramètres!$G$12,1,4)-WEEKDAY(DATE(Paramètres!$G$12,1,4),2)+1+7*(A38-1)</f>
        <v>46251</v>
      </c>
      <c r="C38" s="30" t="n">
        <f aca="false">B38+6</f>
        <v>46257</v>
      </c>
      <c r="D38" s="24" t="n">
        <f aca="false">COUNTIFS(Registre!$B$5:$B$1004,"&gt;="&amp;$B38,Registre!$B$5:$B$1004,"&lt;="&amp;$C38)</f>
        <v>0</v>
      </c>
      <c r="E38" s="24" t="n">
        <f aca="false">COUNTIFS(Registre!$R$5:$R$1004,"&gt;="&amp;$B38,Registre!$R$5:$R$1004,"&lt;="&amp;$C38)</f>
        <v>0</v>
      </c>
      <c r="F38" s="24" t="n">
        <f aca="false">COUNTIFS(Registre!$B$5:$B$1004,"&gt;="&amp;$B38,Registre!$B$5:$B$1004,"&lt;="&amp;$C38,Registre!$L$5:$L$1004,"Très urgent")+COUNTIFS(Registre!$B$5:$B$1004,"&gt;="&amp;$B38,Registre!$B$5:$B$1004,"&lt;="&amp;$C38,Registre!$L$5:$L$1004,"Urgent")</f>
        <v>0</v>
      </c>
      <c r="G38" s="24" t="n">
        <f aca="true">IF($B38&gt;TODAY(),"",COUNTIFS(Registre!$B$5:$B$1004,"&lt;="&amp;MIN($C38,TODAY()),Registre!$R$5:$R$1004,"",Registre!$Q$5:$Q$1004,"&lt;&gt;Classé sans suite")+COUNTIFS(Registre!$B$5:$B$1004,"&lt;="&amp;MIN($C38,TODAY()),Registre!$R$5:$R$1004,"&gt;"&amp;MIN($C38,TODAY())))</f>
        <v>0</v>
      </c>
      <c r="H38" s="24" t="n">
        <f aca="true">IF($B38&gt;TODAY(),"",COUNTIFS(Registre!$B$5:$B$1004,"&lt;="&amp;MIN($C38,TODAY()),Registre!$R$5:$R$1004,"",Registre!$P$5:$P$1004,"&lt;"&amp;MIN($C38,TODAY()),Registre!$Q$5:$Q$1004,"&lt;&gt;Classé sans suite")+COUNTIFS(Registre!$B$5:$B$1004,"&lt;="&amp;MIN($C38,TODAY()),Registre!$R$5:$R$1004,"&gt;"&amp;MIN($C38,TODAY()),Registre!$P$5:$P$1004,"&lt;"&amp;MIN($C38,TODAY())))</f>
        <v>0</v>
      </c>
      <c r="I38" s="28" t="str">
        <f aca="false">IF(D38=0,"",COUNTIFS(Registre!$B$5:$B$1004,"&gt;="&amp;$B38,Registre!$B$5:$B$1004,"&lt;="&amp;$C38,Registre!$R$5:$R$1004,"&lt;&gt;")/D38)</f>
        <v/>
      </c>
    </row>
    <row r="39" customFormat="false" ht="15" hidden="false" customHeight="false" outlineLevel="0" collapsed="false">
      <c r="A39" s="24" t="n">
        <v>35</v>
      </c>
      <c r="B39" s="30" t="n">
        <f aca="false">DATE(Paramètres!$G$12,1,4)-WEEKDAY(DATE(Paramètres!$G$12,1,4),2)+1+7*(A39-1)</f>
        <v>46258</v>
      </c>
      <c r="C39" s="30" t="n">
        <f aca="false">B39+6</f>
        <v>46264</v>
      </c>
      <c r="D39" s="24" t="n">
        <f aca="false">COUNTIFS(Registre!$B$5:$B$1004,"&gt;="&amp;$B39,Registre!$B$5:$B$1004,"&lt;="&amp;$C39)</f>
        <v>0</v>
      </c>
      <c r="E39" s="24" t="n">
        <f aca="false">COUNTIFS(Registre!$R$5:$R$1004,"&gt;="&amp;$B39,Registre!$R$5:$R$1004,"&lt;="&amp;$C39)</f>
        <v>0</v>
      </c>
      <c r="F39" s="24" t="n">
        <f aca="false">COUNTIFS(Registre!$B$5:$B$1004,"&gt;="&amp;$B39,Registre!$B$5:$B$1004,"&lt;="&amp;$C39,Registre!$L$5:$L$1004,"Très urgent")+COUNTIFS(Registre!$B$5:$B$1004,"&gt;="&amp;$B39,Registre!$B$5:$B$1004,"&lt;="&amp;$C39,Registre!$L$5:$L$1004,"Urgent")</f>
        <v>0</v>
      </c>
      <c r="G39" s="24" t="n">
        <f aca="true">IF($B39&gt;TODAY(),"",COUNTIFS(Registre!$B$5:$B$1004,"&lt;="&amp;MIN($C39,TODAY()),Registre!$R$5:$R$1004,"",Registre!$Q$5:$Q$1004,"&lt;&gt;Classé sans suite")+COUNTIFS(Registre!$B$5:$B$1004,"&lt;="&amp;MIN($C39,TODAY()),Registre!$R$5:$R$1004,"&gt;"&amp;MIN($C39,TODAY())))</f>
        <v>0</v>
      </c>
      <c r="H39" s="24" t="n">
        <f aca="true">IF($B39&gt;TODAY(),"",COUNTIFS(Registre!$B$5:$B$1004,"&lt;="&amp;MIN($C39,TODAY()),Registre!$R$5:$R$1004,"",Registre!$P$5:$P$1004,"&lt;"&amp;MIN($C39,TODAY()),Registre!$Q$5:$Q$1004,"&lt;&gt;Classé sans suite")+COUNTIFS(Registre!$B$5:$B$1004,"&lt;="&amp;MIN($C39,TODAY()),Registre!$R$5:$R$1004,"&gt;"&amp;MIN($C39,TODAY()),Registre!$P$5:$P$1004,"&lt;"&amp;MIN($C39,TODAY())))</f>
        <v>0</v>
      </c>
      <c r="I39" s="28" t="str">
        <f aca="false">IF(D39=0,"",COUNTIFS(Registre!$B$5:$B$1004,"&gt;="&amp;$B39,Registre!$B$5:$B$1004,"&lt;="&amp;$C39,Registre!$R$5:$R$1004,"&lt;&gt;")/D39)</f>
        <v/>
      </c>
    </row>
    <row r="40" customFormat="false" ht="15" hidden="false" customHeight="false" outlineLevel="0" collapsed="false">
      <c r="A40" s="24" t="n">
        <v>36</v>
      </c>
      <c r="B40" s="30" t="n">
        <f aca="false">DATE(Paramètres!$G$12,1,4)-WEEKDAY(DATE(Paramètres!$G$12,1,4),2)+1+7*(A40-1)</f>
        <v>46265</v>
      </c>
      <c r="C40" s="30" t="n">
        <f aca="false">B40+6</f>
        <v>46271</v>
      </c>
      <c r="D40" s="24" t="n">
        <f aca="false">COUNTIFS(Registre!$B$5:$B$1004,"&gt;="&amp;$B40,Registre!$B$5:$B$1004,"&lt;="&amp;$C40)</f>
        <v>0</v>
      </c>
      <c r="E40" s="24" t="n">
        <f aca="false">COUNTIFS(Registre!$R$5:$R$1004,"&gt;="&amp;$B40,Registre!$R$5:$R$1004,"&lt;="&amp;$C40)</f>
        <v>0</v>
      </c>
      <c r="F40" s="24" t="n">
        <f aca="false">COUNTIFS(Registre!$B$5:$B$1004,"&gt;="&amp;$B40,Registre!$B$5:$B$1004,"&lt;="&amp;$C40,Registre!$L$5:$L$1004,"Très urgent")+COUNTIFS(Registre!$B$5:$B$1004,"&gt;="&amp;$B40,Registre!$B$5:$B$1004,"&lt;="&amp;$C40,Registre!$L$5:$L$1004,"Urgent")</f>
        <v>0</v>
      </c>
      <c r="G40" s="24" t="n">
        <f aca="true">IF($B40&gt;TODAY(),"",COUNTIFS(Registre!$B$5:$B$1004,"&lt;="&amp;MIN($C40,TODAY()),Registre!$R$5:$R$1004,"",Registre!$Q$5:$Q$1004,"&lt;&gt;Classé sans suite")+COUNTIFS(Registre!$B$5:$B$1004,"&lt;="&amp;MIN($C40,TODAY()),Registre!$R$5:$R$1004,"&gt;"&amp;MIN($C40,TODAY())))</f>
        <v>0</v>
      </c>
      <c r="H40" s="24" t="n">
        <f aca="true">IF($B40&gt;TODAY(),"",COUNTIFS(Registre!$B$5:$B$1004,"&lt;="&amp;MIN($C40,TODAY()),Registre!$R$5:$R$1004,"",Registre!$P$5:$P$1004,"&lt;"&amp;MIN($C40,TODAY()),Registre!$Q$5:$Q$1004,"&lt;&gt;Classé sans suite")+COUNTIFS(Registre!$B$5:$B$1004,"&lt;="&amp;MIN($C40,TODAY()),Registre!$R$5:$R$1004,"&gt;"&amp;MIN($C40,TODAY()),Registre!$P$5:$P$1004,"&lt;"&amp;MIN($C40,TODAY())))</f>
        <v>0</v>
      </c>
      <c r="I40" s="28" t="str">
        <f aca="false">IF(D40=0,"",COUNTIFS(Registre!$B$5:$B$1004,"&gt;="&amp;$B40,Registre!$B$5:$B$1004,"&lt;="&amp;$C40,Registre!$R$5:$R$1004,"&lt;&gt;")/D40)</f>
        <v/>
      </c>
    </row>
    <row r="41" customFormat="false" ht="15" hidden="false" customHeight="false" outlineLevel="0" collapsed="false">
      <c r="A41" s="24" t="n">
        <v>37</v>
      </c>
      <c r="B41" s="30" t="n">
        <f aca="false">DATE(Paramètres!$G$12,1,4)-WEEKDAY(DATE(Paramètres!$G$12,1,4),2)+1+7*(A41-1)</f>
        <v>46272</v>
      </c>
      <c r="C41" s="30" t="n">
        <f aca="false">B41+6</f>
        <v>46278</v>
      </c>
      <c r="D41" s="24" t="n">
        <f aca="false">COUNTIFS(Registre!$B$5:$B$1004,"&gt;="&amp;$B41,Registre!$B$5:$B$1004,"&lt;="&amp;$C41)</f>
        <v>0</v>
      </c>
      <c r="E41" s="24" t="n">
        <f aca="false">COUNTIFS(Registre!$R$5:$R$1004,"&gt;="&amp;$B41,Registre!$R$5:$R$1004,"&lt;="&amp;$C41)</f>
        <v>0</v>
      </c>
      <c r="F41" s="24" t="n">
        <f aca="false">COUNTIFS(Registre!$B$5:$B$1004,"&gt;="&amp;$B41,Registre!$B$5:$B$1004,"&lt;="&amp;$C41,Registre!$L$5:$L$1004,"Très urgent")+COUNTIFS(Registre!$B$5:$B$1004,"&gt;="&amp;$B41,Registre!$B$5:$B$1004,"&lt;="&amp;$C41,Registre!$L$5:$L$1004,"Urgent")</f>
        <v>0</v>
      </c>
      <c r="G41" s="24" t="n">
        <f aca="true">IF($B41&gt;TODAY(),"",COUNTIFS(Registre!$B$5:$B$1004,"&lt;="&amp;MIN($C41,TODAY()),Registre!$R$5:$R$1004,"",Registre!$Q$5:$Q$1004,"&lt;&gt;Classé sans suite")+COUNTIFS(Registre!$B$5:$B$1004,"&lt;="&amp;MIN($C41,TODAY()),Registre!$R$5:$R$1004,"&gt;"&amp;MIN($C41,TODAY())))</f>
        <v>0</v>
      </c>
      <c r="H41" s="24" t="n">
        <f aca="true">IF($B41&gt;TODAY(),"",COUNTIFS(Registre!$B$5:$B$1004,"&lt;="&amp;MIN($C41,TODAY()),Registre!$R$5:$R$1004,"",Registre!$P$5:$P$1004,"&lt;"&amp;MIN($C41,TODAY()),Registre!$Q$5:$Q$1004,"&lt;&gt;Classé sans suite")+COUNTIFS(Registre!$B$5:$B$1004,"&lt;="&amp;MIN($C41,TODAY()),Registre!$R$5:$R$1004,"&gt;"&amp;MIN($C41,TODAY()),Registre!$P$5:$P$1004,"&lt;"&amp;MIN($C41,TODAY())))</f>
        <v>0</v>
      </c>
      <c r="I41" s="28" t="str">
        <f aca="false">IF(D41=0,"",COUNTIFS(Registre!$B$5:$B$1004,"&gt;="&amp;$B41,Registre!$B$5:$B$1004,"&lt;="&amp;$C41,Registre!$R$5:$R$1004,"&lt;&gt;")/D41)</f>
        <v/>
      </c>
    </row>
    <row r="42" customFormat="false" ht="15" hidden="false" customHeight="false" outlineLevel="0" collapsed="false">
      <c r="A42" s="24" t="n">
        <v>38</v>
      </c>
      <c r="B42" s="30" t="n">
        <f aca="false">DATE(Paramètres!$G$12,1,4)-WEEKDAY(DATE(Paramètres!$G$12,1,4),2)+1+7*(A42-1)</f>
        <v>46279</v>
      </c>
      <c r="C42" s="30" t="n">
        <f aca="false">B42+6</f>
        <v>46285</v>
      </c>
      <c r="D42" s="24" t="n">
        <f aca="false">COUNTIFS(Registre!$B$5:$B$1004,"&gt;="&amp;$B42,Registre!$B$5:$B$1004,"&lt;="&amp;$C42)</f>
        <v>5</v>
      </c>
      <c r="E42" s="24" t="n">
        <f aca="false">COUNTIFS(Registre!$R$5:$R$1004,"&gt;="&amp;$B42,Registre!$R$5:$R$1004,"&lt;="&amp;$C42)</f>
        <v>2</v>
      </c>
      <c r="F42" s="24" t="n">
        <f aca="false">COUNTIFS(Registre!$B$5:$B$1004,"&gt;="&amp;$B42,Registre!$B$5:$B$1004,"&lt;="&amp;$C42,Registre!$L$5:$L$1004,"Très urgent")+COUNTIFS(Registre!$B$5:$B$1004,"&gt;="&amp;$B42,Registre!$B$5:$B$1004,"&lt;="&amp;$C42,Registre!$L$5:$L$1004,"Urgent")</f>
        <v>2</v>
      </c>
      <c r="G42" s="24" t="n">
        <f aca="true">IF($B42&gt;TODAY(),"",COUNTIFS(Registre!$B$5:$B$1004,"&lt;="&amp;MIN($C42,TODAY()),Registre!$R$5:$R$1004,"",Registre!$Q$5:$Q$1004,"&lt;&gt;Classé sans suite")+COUNTIFS(Registre!$B$5:$B$1004,"&lt;="&amp;MIN($C42,TODAY()),Registre!$R$5:$R$1004,"&gt;"&amp;MIN($C42,TODAY())))</f>
        <v>3</v>
      </c>
      <c r="H42" s="24" t="n">
        <f aca="true">IF($B42&gt;TODAY(),"",COUNTIFS(Registre!$B$5:$B$1004,"&lt;="&amp;MIN($C42,TODAY()),Registre!$R$5:$R$1004,"",Registre!$P$5:$P$1004,"&lt;"&amp;MIN($C42,TODAY()),Registre!$Q$5:$Q$1004,"&lt;&gt;Classé sans suite")+COUNTIFS(Registre!$B$5:$B$1004,"&lt;="&amp;MIN($C42,TODAY()),Registre!$R$5:$R$1004,"&gt;"&amp;MIN($C42,TODAY()),Registre!$P$5:$P$1004,"&lt;"&amp;MIN($C42,TODAY())))</f>
        <v>0</v>
      </c>
      <c r="I42" s="28" t="n">
        <f aca="false">IF(D42=0,"",COUNTIFS(Registre!$B$5:$B$1004,"&gt;="&amp;$B42,Registre!$B$5:$B$1004,"&lt;="&amp;$C42,Registre!$R$5:$R$1004,"&lt;&gt;")/D42)</f>
        <v>0.8</v>
      </c>
    </row>
    <row r="43" customFormat="false" ht="15" hidden="false" customHeight="false" outlineLevel="0" collapsed="false">
      <c r="A43" s="24" t="n">
        <v>39</v>
      </c>
      <c r="B43" s="30" t="n">
        <f aca="false">DATE(Paramètres!$G$12,1,4)-WEEKDAY(DATE(Paramètres!$G$12,1,4),2)+1+7*(A43-1)</f>
        <v>46286</v>
      </c>
      <c r="C43" s="30" t="n">
        <f aca="false">B43+6</f>
        <v>46292</v>
      </c>
      <c r="D43" s="24" t="n">
        <f aca="false">COUNTIFS(Registre!$B$5:$B$1004,"&gt;="&amp;$B43,Registre!$B$5:$B$1004,"&lt;="&amp;$C43)</f>
        <v>4</v>
      </c>
      <c r="E43" s="24" t="n">
        <f aca="false">COUNTIFS(Registre!$R$5:$R$1004,"&gt;="&amp;$B43,Registre!$R$5:$R$1004,"&lt;="&amp;$C43)</f>
        <v>1</v>
      </c>
      <c r="F43" s="24" t="n">
        <f aca="false">COUNTIFS(Registre!$B$5:$B$1004,"&gt;="&amp;$B43,Registre!$B$5:$B$1004,"&lt;="&amp;$C43,Registre!$L$5:$L$1004,"Très urgent")+COUNTIFS(Registre!$B$5:$B$1004,"&gt;="&amp;$B43,Registre!$B$5:$B$1004,"&lt;="&amp;$C43,Registre!$L$5:$L$1004,"Urgent")</f>
        <v>3</v>
      </c>
      <c r="G43" s="24" t="n">
        <f aca="true">IF($B43&gt;TODAY(),"",COUNTIFS(Registre!$B$5:$B$1004,"&lt;="&amp;MIN($C43,TODAY()),Registre!$R$5:$R$1004,"",Registre!$Q$5:$Q$1004,"&lt;&gt;Classé sans suite")+COUNTIFS(Registre!$B$5:$B$1004,"&lt;="&amp;MIN($C43,TODAY()),Registre!$R$5:$R$1004,"&gt;"&amp;MIN($C43,TODAY())))</f>
        <v>5</v>
      </c>
      <c r="H43" s="24" t="n">
        <f aca="true">IF($B43&gt;TODAY(),"",COUNTIFS(Registre!$B$5:$B$1004,"&lt;="&amp;MIN($C43,TODAY()),Registre!$R$5:$R$1004,"",Registre!$P$5:$P$1004,"&lt;"&amp;MIN($C43,TODAY()),Registre!$Q$5:$Q$1004,"&lt;&gt;Classé sans suite")+COUNTIFS(Registre!$B$5:$B$1004,"&lt;="&amp;MIN($C43,TODAY()),Registre!$R$5:$R$1004,"&gt;"&amp;MIN($C43,TODAY()),Registre!$P$5:$P$1004,"&lt;"&amp;MIN($C43,TODAY())))</f>
        <v>1</v>
      </c>
      <c r="I43" s="28" t="n">
        <f aca="false">IF(D43=0,"",COUNTIFS(Registre!$B$5:$B$1004,"&gt;="&amp;$B43,Registre!$B$5:$B$1004,"&lt;="&amp;$C43,Registre!$R$5:$R$1004,"&lt;&gt;")/D43)</f>
        <v>0.25</v>
      </c>
    </row>
    <row r="44" customFormat="false" ht="15" hidden="false" customHeight="false" outlineLevel="0" collapsed="false">
      <c r="A44" s="24" t="n">
        <v>40</v>
      </c>
      <c r="B44" s="30" t="n">
        <f aca="false">DATE(Paramètres!$G$12,1,4)-WEEKDAY(DATE(Paramètres!$G$12,1,4),2)+1+7*(A44-1)</f>
        <v>46293</v>
      </c>
      <c r="C44" s="30" t="n">
        <f aca="false">B44+6</f>
        <v>46299</v>
      </c>
      <c r="D44" s="24" t="n">
        <f aca="false">COUNTIFS(Registre!$B$5:$B$1004,"&gt;="&amp;$B44,Registre!$B$5:$B$1004,"&lt;="&amp;$C44)</f>
        <v>3</v>
      </c>
      <c r="E44" s="24" t="n">
        <f aca="false">COUNTIFS(Registre!$R$5:$R$1004,"&gt;="&amp;$B44,Registre!$R$5:$R$1004,"&lt;="&amp;$C44)</f>
        <v>3</v>
      </c>
      <c r="F44" s="24" t="n">
        <f aca="false">COUNTIFS(Registre!$B$5:$B$1004,"&gt;="&amp;$B44,Registre!$B$5:$B$1004,"&lt;="&amp;$C44,Registre!$L$5:$L$1004,"Très urgent")+COUNTIFS(Registre!$B$5:$B$1004,"&gt;="&amp;$B44,Registre!$B$5:$B$1004,"&lt;="&amp;$C44,Registre!$L$5:$L$1004,"Urgent")</f>
        <v>1</v>
      </c>
      <c r="G44" s="24" t="n">
        <f aca="true">IF($B44&gt;TODAY(),"",COUNTIFS(Registre!$B$5:$B$1004,"&lt;="&amp;MIN($C44,TODAY()),Registre!$R$5:$R$1004,"",Registre!$Q$5:$Q$1004,"&lt;&gt;Classé sans suite")+COUNTIFS(Registre!$B$5:$B$1004,"&lt;="&amp;MIN($C44,TODAY()),Registre!$R$5:$R$1004,"&gt;"&amp;MIN($C44,TODAY())))</f>
        <v>5</v>
      </c>
      <c r="H44" s="24" t="n">
        <f aca="true">IF($B44&gt;TODAY(),"",COUNTIFS(Registre!$B$5:$B$1004,"&lt;="&amp;MIN($C44,TODAY()),Registre!$R$5:$R$1004,"",Registre!$P$5:$P$1004,"&lt;"&amp;MIN($C44,TODAY()),Registre!$Q$5:$Q$1004,"&lt;&gt;Classé sans suite")+COUNTIFS(Registre!$B$5:$B$1004,"&lt;="&amp;MIN($C44,TODAY()),Registre!$R$5:$R$1004,"&gt;"&amp;MIN($C44,TODAY()),Registre!$P$5:$P$1004,"&lt;"&amp;MIN($C44,TODAY())))</f>
        <v>2</v>
      </c>
      <c r="I44" s="28" t="n">
        <f aca="false">IF(D44=0,"",COUNTIFS(Registre!$B$5:$B$1004,"&gt;="&amp;$B44,Registre!$B$5:$B$1004,"&lt;="&amp;$C44,Registre!$R$5:$R$1004,"&lt;&gt;")/D44)</f>
        <v>0.333333333333333</v>
      </c>
    </row>
    <row r="45" customFormat="false" ht="15" hidden="false" customHeight="false" outlineLevel="0" collapsed="false">
      <c r="A45" s="24" t="n">
        <v>41</v>
      </c>
      <c r="B45" s="30" t="n">
        <f aca="false">DATE(Paramètres!$G$12,1,4)-WEEKDAY(DATE(Paramètres!$G$12,1,4),2)+1+7*(A45-1)</f>
        <v>46300</v>
      </c>
      <c r="C45" s="30" t="n">
        <f aca="false">B45+6</f>
        <v>46306</v>
      </c>
      <c r="D45" s="24" t="n">
        <f aca="false">COUNTIFS(Registre!$B$5:$B$1004,"&gt;="&amp;$B45,Registre!$B$5:$B$1004,"&lt;="&amp;$C45)</f>
        <v>0</v>
      </c>
      <c r="E45" s="24" t="n">
        <f aca="false">COUNTIFS(Registre!$R$5:$R$1004,"&gt;="&amp;$B45,Registre!$R$5:$R$1004,"&lt;="&amp;$C45)</f>
        <v>0</v>
      </c>
      <c r="F45" s="24" t="n">
        <f aca="false">COUNTIFS(Registre!$B$5:$B$1004,"&gt;="&amp;$B45,Registre!$B$5:$B$1004,"&lt;="&amp;$C45,Registre!$L$5:$L$1004,"Très urgent")+COUNTIFS(Registre!$B$5:$B$1004,"&gt;="&amp;$B45,Registre!$B$5:$B$1004,"&lt;="&amp;$C45,Registre!$L$5:$L$1004,"Urgent")</f>
        <v>0</v>
      </c>
      <c r="G45" s="24" t="str">
        <f aca="true">IF($B45&gt;TODAY(),"",COUNTIFS(Registre!$B$5:$B$1004,"&lt;="&amp;MIN($C45,TODAY()),Registre!$R$5:$R$1004,"",Registre!$Q$5:$Q$1004,"&lt;&gt;Classé sans suite")+COUNTIFS(Registre!$B$5:$B$1004,"&lt;="&amp;MIN($C45,TODAY()),Registre!$R$5:$R$1004,"&gt;"&amp;MIN($C45,TODAY())))</f>
        <v/>
      </c>
      <c r="H45" s="24" t="str">
        <f aca="true">IF($B45&gt;TODAY(),"",COUNTIFS(Registre!$B$5:$B$1004,"&lt;="&amp;MIN($C45,TODAY()),Registre!$R$5:$R$1004,"",Registre!$P$5:$P$1004,"&lt;"&amp;MIN($C45,TODAY()),Registre!$Q$5:$Q$1004,"&lt;&gt;Classé sans suite")+COUNTIFS(Registre!$B$5:$B$1004,"&lt;="&amp;MIN($C45,TODAY()),Registre!$R$5:$R$1004,"&gt;"&amp;MIN($C45,TODAY()),Registre!$P$5:$P$1004,"&lt;"&amp;MIN($C45,TODAY())))</f>
        <v/>
      </c>
      <c r="I45" s="28" t="str">
        <f aca="false">IF(D45=0,"",COUNTIFS(Registre!$B$5:$B$1004,"&gt;="&amp;$B45,Registre!$B$5:$B$1004,"&lt;="&amp;$C45,Registre!$R$5:$R$1004,"&lt;&gt;")/D45)</f>
        <v/>
      </c>
    </row>
    <row r="46" customFormat="false" ht="15" hidden="false" customHeight="false" outlineLevel="0" collapsed="false">
      <c r="A46" s="24" t="n">
        <v>42</v>
      </c>
      <c r="B46" s="30" t="n">
        <f aca="false">DATE(Paramètres!$G$12,1,4)-WEEKDAY(DATE(Paramètres!$G$12,1,4),2)+1+7*(A46-1)</f>
        <v>46307</v>
      </c>
      <c r="C46" s="30" t="n">
        <f aca="false">B46+6</f>
        <v>46313</v>
      </c>
      <c r="D46" s="24" t="n">
        <f aca="false">COUNTIFS(Registre!$B$5:$B$1004,"&gt;="&amp;$B46,Registre!$B$5:$B$1004,"&lt;="&amp;$C46)</f>
        <v>0</v>
      </c>
      <c r="E46" s="24" t="n">
        <f aca="false">COUNTIFS(Registre!$R$5:$R$1004,"&gt;="&amp;$B46,Registre!$R$5:$R$1004,"&lt;="&amp;$C46)</f>
        <v>0</v>
      </c>
      <c r="F46" s="24" t="n">
        <f aca="false">COUNTIFS(Registre!$B$5:$B$1004,"&gt;="&amp;$B46,Registre!$B$5:$B$1004,"&lt;="&amp;$C46,Registre!$L$5:$L$1004,"Très urgent")+COUNTIFS(Registre!$B$5:$B$1004,"&gt;="&amp;$B46,Registre!$B$5:$B$1004,"&lt;="&amp;$C46,Registre!$L$5:$L$1004,"Urgent")</f>
        <v>0</v>
      </c>
      <c r="G46" s="24" t="str">
        <f aca="true">IF($B46&gt;TODAY(),"",COUNTIFS(Registre!$B$5:$B$1004,"&lt;="&amp;MIN($C46,TODAY()),Registre!$R$5:$R$1004,"",Registre!$Q$5:$Q$1004,"&lt;&gt;Classé sans suite")+COUNTIFS(Registre!$B$5:$B$1004,"&lt;="&amp;MIN($C46,TODAY()),Registre!$R$5:$R$1004,"&gt;"&amp;MIN($C46,TODAY())))</f>
        <v/>
      </c>
      <c r="H46" s="24" t="str">
        <f aca="true">IF($B46&gt;TODAY(),"",COUNTIFS(Registre!$B$5:$B$1004,"&lt;="&amp;MIN($C46,TODAY()),Registre!$R$5:$R$1004,"",Registre!$P$5:$P$1004,"&lt;"&amp;MIN($C46,TODAY()),Registre!$Q$5:$Q$1004,"&lt;&gt;Classé sans suite")+COUNTIFS(Registre!$B$5:$B$1004,"&lt;="&amp;MIN($C46,TODAY()),Registre!$R$5:$R$1004,"&gt;"&amp;MIN($C46,TODAY()),Registre!$P$5:$P$1004,"&lt;"&amp;MIN($C46,TODAY())))</f>
        <v/>
      </c>
      <c r="I46" s="28" t="str">
        <f aca="false">IF(D46=0,"",COUNTIFS(Registre!$B$5:$B$1004,"&gt;="&amp;$B46,Registre!$B$5:$B$1004,"&lt;="&amp;$C46,Registre!$R$5:$R$1004,"&lt;&gt;")/D46)</f>
        <v/>
      </c>
    </row>
    <row r="47" customFormat="false" ht="15" hidden="false" customHeight="false" outlineLevel="0" collapsed="false">
      <c r="A47" s="24" t="n">
        <v>43</v>
      </c>
      <c r="B47" s="30" t="n">
        <f aca="false">DATE(Paramètres!$G$12,1,4)-WEEKDAY(DATE(Paramètres!$G$12,1,4),2)+1+7*(A47-1)</f>
        <v>46314</v>
      </c>
      <c r="C47" s="30" t="n">
        <f aca="false">B47+6</f>
        <v>46320</v>
      </c>
      <c r="D47" s="24" t="n">
        <f aca="false">COUNTIFS(Registre!$B$5:$B$1004,"&gt;="&amp;$B47,Registre!$B$5:$B$1004,"&lt;="&amp;$C47)</f>
        <v>0</v>
      </c>
      <c r="E47" s="24" t="n">
        <f aca="false">COUNTIFS(Registre!$R$5:$R$1004,"&gt;="&amp;$B47,Registre!$R$5:$R$1004,"&lt;="&amp;$C47)</f>
        <v>0</v>
      </c>
      <c r="F47" s="24" t="n">
        <f aca="false">COUNTIFS(Registre!$B$5:$B$1004,"&gt;="&amp;$B47,Registre!$B$5:$B$1004,"&lt;="&amp;$C47,Registre!$L$5:$L$1004,"Très urgent")+COUNTIFS(Registre!$B$5:$B$1004,"&gt;="&amp;$B47,Registre!$B$5:$B$1004,"&lt;="&amp;$C47,Registre!$L$5:$L$1004,"Urgent")</f>
        <v>0</v>
      </c>
      <c r="G47" s="24" t="str">
        <f aca="true">IF($B47&gt;TODAY(),"",COUNTIFS(Registre!$B$5:$B$1004,"&lt;="&amp;MIN($C47,TODAY()),Registre!$R$5:$R$1004,"",Registre!$Q$5:$Q$1004,"&lt;&gt;Classé sans suite")+COUNTIFS(Registre!$B$5:$B$1004,"&lt;="&amp;MIN($C47,TODAY()),Registre!$R$5:$R$1004,"&gt;"&amp;MIN($C47,TODAY())))</f>
        <v/>
      </c>
      <c r="H47" s="24" t="str">
        <f aca="true">IF($B47&gt;TODAY(),"",COUNTIFS(Registre!$B$5:$B$1004,"&lt;="&amp;MIN($C47,TODAY()),Registre!$R$5:$R$1004,"",Registre!$P$5:$P$1004,"&lt;"&amp;MIN($C47,TODAY()),Registre!$Q$5:$Q$1004,"&lt;&gt;Classé sans suite")+COUNTIFS(Registre!$B$5:$B$1004,"&lt;="&amp;MIN($C47,TODAY()),Registre!$R$5:$R$1004,"&gt;"&amp;MIN($C47,TODAY()),Registre!$P$5:$P$1004,"&lt;"&amp;MIN($C47,TODAY())))</f>
        <v/>
      </c>
      <c r="I47" s="28" t="str">
        <f aca="false">IF(D47=0,"",COUNTIFS(Registre!$B$5:$B$1004,"&gt;="&amp;$B47,Registre!$B$5:$B$1004,"&lt;="&amp;$C47,Registre!$R$5:$R$1004,"&lt;&gt;")/D47)</f>
        <v/>
      </c>
    </row>
    <row r="48" customFormat="false" ht="15" hidden="false" customHeight="false" outlineLevel="0" collapsed="false">
      <c r="A48" s="24" t="n">
        <v>44</v>
      </c>
      <c r="B48" s="30" t="n">
        <f aca="false">DATE(Paramètres!$G$12,1,4)-WEEKDAY(DATE(Paramètres!$G$12,1,4),2)+1+7*(A48-1)</f>
        <v>46321</v>
      </c>
      <c r="C48" s="30" t="n">
        <f aca="false">B48+6</f>
        <v>46327</v>
      </c>
      <c r="D48" s="24" t="n">
        <f aca="false">COUNTIFS(Registre!$B$5:$B$1004,"&gt;="&amp;$B48,Registre!$B$5:$B$1004,"&lt;="&amp;$C48)</f>
        <v>0</v>
      </c>
      <c r="E48" s="24" t="n">
        <f aca="false">COUNTIFS(Registre!$R$5:$R$1004,"&gt;="&amp;$B48,Registre!$R$5:$R$1004,"&lt;="&amp;$C48)</f>
        <v>0</v>
      </c>
      <c r="F48" s="24" t="n">
        <f aca="false">COUNTIFS(Registre!$B$5:$B$1004,"&gt;="&amp;$B48,Registre!$B$5:$B$1004,"&lt;="&amp;$C48,Registre!$L$5:$L$1004,"Très urgent")+COUNTIFS(Registre!$B$5:$B$1004,"&gt;="&amp;$B48,Registre!$B$5:$B$1004,"&lt;="&amp;$C48,Registre!$L$5:$L$1004,"Urgent")</f>
        <v>0</v>
      </c>
      <c r="G48" s="24" t="str">
        <f aca="true">IF($B48&gt;TODAY(),"",COUNTIFS(Registre!$B$5:$B$1004,"&lt;="&amp;MIN($C48,TODAY()),Registre!$R$5:$R$1004,"",Registre!$Q$5:$Q$1004,"&lt;&gt;Classé sans suite")+COUNTIFS(Registre!$B$5:$B$1004,"&lt;="&amp;MIN($C48,TODAY()),Registre!$R$5:$R$1004,"&gt;"&amp;MIN($C48,TODAY())))</f>
        <v/>
      </c>
      <c r="H48" s="24" t="str">
        <f aca="true">IF($B48&gt;TODAY(),"",COUNTIFS(Registre!$B$5:$B$1004,"&lt;="&amp;MIN($C48,TODAY()),Registre!$R$5:$R$1004,"",Registre!$P$5:$P$1004,"&lt;"&amp;MIN($C48,TODAY()),Registre!$Q$5:$Q$1004,"&lt;&gt;Classé sans suite")+COUNTIFS(Registre!$B$5:$B$1004,"&lt;="&amp;MIN($C48,TODAY()),Registre!$R$5:$R$1004,"&gt;"&amp;MIN($C48,TODAY()),Registre!$P$5:$P$1004,"&lt;"&amp;MIN($C48,TODAY())))</f>
        <v/>
      </c>
      <c r="I48" s="28" t="str">
        <f aca="false">IF(D48=0,"",COUNTIFS(Registre!$B$5:$B$1004,"&gt;="&amp;$B48,Registre!$B$5:$B$1004,"&lt;="&amp;$C48,Registre!$R$5:$R$1004,"&lt;&gt;")/D48)</f>
        <v/>
      </c>
    </row>
    <row r="49" customFormat="false" ht="15" hidden="false" customHeight="false" outlineLevel="0" collapsed="false">
      <c r="A49" s="24" t="n">
        <v>45</v>
      </c>
      <c r="B49" s="30" t="n">
        <f aca="false">DATE(Paramètres!$G$12,1,4)-WEEKDAY(DATE(Paramètres!$G$12,1,4),2)+1+7*(A49-1)</f>
        <v>46328</v>
      </c>
      <c r="C49" s="30" t="n">
        <f aca="false">B49+6</f>
        <v>46334</v>
      </c>
      <c r="D49" s="24" t="n">
        <f aca="false">COUNTIFS(Registre!$B$5:$B$1004,"&gt;="&amp;$B49,Registre!$B$5:$B$1004,"&lt;="&amp;$C49)</f>
        <v>0</v>
      </c>
      <c r="E49" s="24" t="n">
        <f aca="false">COUNTIFS(Registre!$R$5:$R$1004,"&gt;="&amp;$B49,Registre!$R$5:$R$1004,"&lt;="&amp;$C49)</f>
        <v>0</v>
      </c>
      <c r="F49" s="24" t="n">
        <f aca="false">COUNTIFS(Registre!$B$5:$B$1004,"&gt;="&amp;$B49,Registre!$B$5:$B$1004,"&lt;="&amp;$C49,Registre!$L$5:$L$1004,"Très urgent")+COUNTIFS(Registre!$B$5:$B$1004,"&gt;="&amp;$B49,Registre!$B$5:$B$1004,"&lt;="&amp;$C49,Registre!$L$5:$L$1004,"Urgent")</f>
        <v>0</v>
      </c>
      <c r="G49" s="24" t="str">
        <f aca="true">IF($B49&gt;TODAY(),"",COUNTIFS(Registre!$B$5:$B$1004,"&lt;="&amp;MIN($C49,TODAY()),Registre!$R$5:$R$1004,"",Registre!$Q$5:$Q$1004,"&lt;&gt;Classé sans suite")+COUNTIFS(Registre!$B$5:$B$1004,"&lt;="&amp;MIN($C49,TODAY()),Registre!$R$5:$R$1004,"&gt;"&amp;MIN($C49,TODAY())))</f>
        <v/>
      </c>
      <c r="H49" s="24" t="str">
        <f aca="true">IF($B49&gt;TODAY(),"",COUNTIFS(Registre!$B$5:$B$1004,"&lt;="&amp;MIN($C49,TODAY()),Registre!$R$5:$R$1004,"",Registre!$P$5:$P$1004,"&lt;"&amp;MIN($C49,TODAY()),Registre!$Q$5:$Q$1004,"&lt;&gt;Classé sans suite")+COUNTIFS(Registre!$B$5:$B$1004,"&lt;="&amp;MIN($C49,TODAY()),Registre!$R$5:$R$1004,"&gt;"&amp;MIN($C49,TODAY()),Registre!$P$5:$P$1004,"&lt;"&amp;MIN($C49,TODAY())))</f>
        <v/>
      </c>
      <c r="I49" s="28" t="str">
        <f aca="false">IF(D49=0,"",COUNTIFS(Registre!$B$5:$B$1004,"&gt;="&amp;$B49,Registre!$B$5:$B$1004,"&lt;="&amp;$C49,Registre!$R$5:$R$1004,"&lt;&gt;")/D49)</f>
        <v/>
      </c>
    </row>
    <row r="50" customFormat="false" ht="15" hidden="false" customHeight="false" outlineLevel="0" collapsed="false">
      <c r="A50" s="24" t="n">
        <v>46</v>
      </c>
      <c r="B50" s="30" t="n">
        <f aca="false">DATE(Paramètres!$G$12,1,4)-WEEKDAY(DATE(Paramètres!$G$12,1,4),2)+1+7*(A50-1)</f>
        <v>46335</v>
      </c>
      <c r="C50" s="30" t="n">
        <f aca="false">B50+6</f>
        <v>46341</v>
      </c>
      <c r="D50" s="24" t="n">
        <f aca="false">COUNTIFS(Registre!$B$5:$B$1004,"&gt;="&amp;$B50,Registre!$B$5:$B$1004,"&lt;="&amp;$C50)</f>
        <v>0</v>
      </c>
      <c r="E50" s="24" t="n">
        <f aca="false">COUNTIFS(Registre!$R$5:$R$1004,"&gt;="&amp;$B50,Registre!$R$5:$R$1004,"&lt;="&amp;$C50)</f>
        <v>0</v>
      </c>
      <c r="F50" s="24" t="n">
        <f aca="false">COUNTIFS(Registre!$B$5:$B$1004,"&gt;="&amp;$B50,Registre!$B$5:$B$1004,"&lt;="&amp;$C50,Registre!$L$5:$L$1004,"Très urgent")+COUNTIFS(Registre!$B$5:$B$1004,"&gt;="&amp;$B50,Registre!$B$5:$B$1004,"&lt;="&amp;$C50,Registre!$L$5:$L$1004,"Urgent")</f>
        <v>0</v>
      </c>
      <c r="G50" s="24" t="str">
        <f aca="true">IF($B50&gt;TODAY(),"",COUNTIFS(Registre!$B$5:$B$1004,"&lt;="&amp;MIN($C50,TODAY()),Registre!$R$5:$R$1004,"",Registre!$Q$5:$Q$1004,"&lt;&gt;Classé sans suite")+COUNTIFS(Registre!$B$5:$B$1004,"&lt;="&amp;MIN($C50,TODAY()),Registre!$R$5:$R$1004,"&gt;"&amp;MIN($C50,TODAY())))</f>
        <v/>
      </c>
      <c r="H50" s="24" t="str">
        <f aca="true">IF($B50&gt;TODAY(),"",COUNTIFS(Registre!$B$5:$B$1004,"&lt;="&amp;MIN($C50,TODAY()),Registre!$R$5:$R$1004,"",Registre!$P$5:$P$1004,"&lt;"&amp;MIN($C50,TODAY()),Registre!$Q$5:$Q$1004,"&lt;&gt;Classé sans suite")+COUNTIFS(Registre!$B$5:$B$1004,"&lt;="&amp;MIN($C50,TODAY()),Registre!$R$5:$R$1004,"&gt;"&amp;MIN($C50,TODAY()),Registre!$P$5:$P$1004,"&lt;"&amp;MIN($C50,TODAY())))</f>
        <v/>
      </c>
      <c r="I50" s="28" t="str">
        <f aca="false">IF(D50=0,"",COUNTIFS(Registre!$B$5:$B$1004,"&gt;="&amp;$B50,Registre!$B$5:$B$1004,"&lt;="&amp;$C50,Registre!$R$5:$R$1004,"&lt;&gt;")/D50)</f>
        <v/>
      </c>
    </row>
    <row r="51" customFormat="false" ht="15" hidden="false" customHeight="false" outlineLevel="0" collapsed="false">
      <c r="A51" s="24" t="n">
        <v>47</v>
      </c>
      <c r="B51" s="30" t="n">
        <f aca="false">DATE(Paramètres!$G$12,1,4)-WEEKDAY(DATE(Paramètres!$G$12,1,4),2)+1+7*(A51-1)</f>
        <v>46342</v>
      </c>
      <c r="C51" s="30" t="n">
        <f aca="false">B51+6</f>
        <v>46348</v>
      </c>
      <c r="D51" s="24" t="n">
        <f aca="false">COUNTIFS(Registre!$B$5:$B$1004,"&gt;="&amp;$B51,Registre!$B$5:$B$1004,"&lt;="&amp;$C51)</f>
        <v>0</v>
      </c>
      <c r="E51" s="24" t="n">
        <f aca="false">COUNTIFS(Registre!$R$5:$R$1004,"&gt;="&amp;$B51,Registre!$R$5:$R$1004,"&lt;="&amp;$C51)</f>
        <v>0</v>
      </c>
      <c r="F51" s="24" t="n">
        <f aca="false">COUNTIFS(Registre!$B$5:$B$1004,"&gt;="&amp;$B51,Registre!$B$5:$B$1004,"&lt;="&amp;$C51,Registre!$L$5:$L$1004,"Très urgent")+COUNTIFS(Registre!$B$5:$B$1004,"&gt;="&amp;$B51,Registre!$B$5:$B$1004,"&lt;="&amp;$C51,Registre!$L$5:$L$1004,"Urgent")</f>
        <v>0</v>
      </c>
      <c r="G51" s="24" t="str">
        <f aca="true">IF($B51&gt;TODAY(),"",COUNTIFS(Registre!$B$5:$B$1004,"&lt;="&amp;MIN($C51,TODAY()),Registre!$R$5:$R$1004,"",Registre!$Q$5:$Q$1004,"&lt;&gt;Classé sans suite")+COUNTIFS(Registre!$B$5:$B$1004,"&lt;="&amp;MIN($C51,TODAY()),Registre!$R$5:$R$1004,"&gt;"&amp;MIN($C51,TODAY())))</f>
        <v/>
      </c>
      <c r="H51" s="24" t="str">
        <f aca="true">IF($B51&gt;TODAY(),"",COUNTIFS(Registre!$B$5:$B$1004,"&lt;="&amp;MIN($C51,TODAY()),Registre!$R$5:$R$1004,"",Registre!$P$5:$P$1004,"&lt;"&amp;MIN($C51,TODAY()),Registre!$Q$5:$Q$1004,"&lt;&gt;Classé sans suite")+COUNTIFS(Registre!$B$5:$B$1004,"&lt;="&amp;MIN($C51,TODAY()),Registre!$R$5:$R$1004,"&gt;"&amp;MIN($C51,TODAY()),Registre!$P$5:$P$1004,"&lt;"&amp;MIN($C51,TODAY())))</f>
        <v/>
      </c>
      <c r="I51" s="28" t="str">
        <f aca="false">IF(D51=0,"",COUNTIFS(Registre!$B$5:$B$1004,"&gt;="&amp;$B51,Registre!$B$5:$B$1004,"&lt;="&amp;$C51,Registre!$R$5:$R$1004,"&lt;&gt;")/D51)</f>
        <v/>
      </c>
    </row>
    <row r="52" customFormat="false" ht="15" hidden="false" customHeight="false" outlineLevel="0" collapsed="false">
      <c r="A52" s="24" t="n">
        <v>48</v>
      </c>
      <c r="B52" s="30" t="n">
        <f aca="false">DATE(Paramètres!$G$12,1,4)-WEEKDAY(DATE(Paramètres!$G$12,1,4),2)+1+7*(A52-1)</f>
        <v>46349</v>
      </c>
      <c r="C52" s="30" t="n">
        <f aca="false">B52+6</f>
        <v>46355</v>
      </c>
      <c r="D52" s="24" t="n">
        <f aca="false">COUNTIFS(Registre!$B$5:$B$1004,"&gt;="&amp;$B52,Registre!$B$5:$B$1004,"&lt;="&amp;$C52)</f>
        <v>0</v>
      </c>
      <c r="E52" s="24" t="n">
        <f aca="false">COUNTIFS(Registre!$R$5:$R$1004,"&gt;="&amp;$B52,Registre!$R$5:$R$1004,"&lt;="&amp;$C52)</f>
        <v>0</v>
      </c>
      <c r="F52" s="24" t="n">
        <f aca="false">COUNTIFS(Registre!$B$5:$B$1004,"&gt;="&amp;$B52,Registre!$B$5:$B$1004,"&lt;="&amp;$C52,Registre!$L$5:$L$1004,"Très urgent")+COUNTIFS(Registre!$B$5:$B$1004,"&gt;="&amp;$B52,Registre!$B$5:$B$1004,"&lt;="&amp;$C52,Registre!$L$5:$L$1004,"Urgent")</f>
        <v>0</v>
      </c>
      <c r="G52" s="24" t="str">
        <f aca="true">IF($B52&gt;TODAY(),"",COUNTIFS(Registre!$B$5:$B$1004,"&lt;="&amp;MIN($C52,TODAY()),Registre!$R$5:$R$1004,"",Registre!$Q$5:$Q$1004,"&lt;&gt;Classé sans suite")+COUNTIFS(Registre!$B$5:$B$1004,"&lt;="&amp;MIN($C52,TODAY()),Registre!$R$5:$R$1004,"&gt;"&amp;MIN($C52,TODAY())))</f>
        <v/>
      </c>
      <c r="H52" s="24" t="str">
        <f aca="true">IF($B52&gt;TODAY(),"",COUNTIFS(Registre!$B$5:$B$1004,"&lt;="&amp;MIN($C52,TODAY()),Registre!$R$5:$R$1004,"",Registre!$P$5:$P$1004,"&lt;"&amp;MIN($C52,TODAY()),Registre!$Q$5:$Q$1004,"&lt;&gt;Classé sans suite")+COUNTIFS(Registre!$B$5:$B$1004,"&lt;="&amp;MIN($C52,TODAY()),Registre!$R$5:$R$1004,"&gt;"&amp;MIN($C52,TODAY()),Registre!$P$5:$P$1004,"&lt;"&amp;MIN($C52,TODAY())))</f>
        <v/>
      </c>
      <c r="I52" s="28" t="str">
        <f aca="false">IF(D52=0,"",COUNTIFS(Registre!$B$5:$B$1004,"&gt;="&amp;$B52,Registre!$B$5:$B$1004,"&lt;="&amp;$C52,Registre!$R$5:$R$1004,"&lt;&gt;")/D52)</f>
        <v/>
      </c>
    </row>
    <row r="53" customFormat="false" ht="15" hidden="false" customHeight="false" outlineLevel="0" collapsed="false">
      <c r="A53" s="24" t="n">
        <v>49</v>
      </c>
      <c r="B53" s="30" t="n">
        <f aca="false">DATE(Paramètres!$G$12,1,4)-WEEKDAY(DATE(Paramètres!$G$12,1,4),2)+1+7*(A53-1)</f>
        <v>46356</v>
      </c>
      <c r="C53" s="30" t="n">
        <f aca="false">B53+6</f>
        <v>46362</v>
      </c>
      <c r="D53" s="24" t="n">
        <f aca="false">COUNTIFS(Registre!$B$5:$B$1004,"&gt;="&amp;$B53,Registre!$B$5:$B$1004,"&lt;="&amp;$C53)</f>
        <v>0</v>
      </c>
      <c r="E53" s="24" t="n">
        <f aca="false">COUNTIFS(Registre!$R$5:$R$1004,"&gt;="&amp;$B53,Registre!$R$5:$R$1004,"&lt;="&amp;$C53)</f>
        <v>0</v>
      </c>
      <c r="F53" s="24" t="n">
        <f aca="false">COUNTIFS(Registre!$B$5:$B$1004,"&gt;="&amp;$B53,Registre!$B$5:$B$1004,"&lt;="&amp;$C53,Registre!$L$5:$L$1004,"Très urgent")+COUNTIFS(Registre!$B$5:$B$1004,"&gt;="&amp;$B53,Registre!$B$5:$B$1004,"&lt;="&amp;$C53,Registre!$L$5:$L$1004,"Urgent")</f>
        <v>0</v>
      </c>
      <c r="G53" s="24" t="str">
        <f aca="true">IF($B53&gt;TODAY(),"",COUNTIFS(Registre!$B$5:$B$1004,"&lt;="&amp;MIN($C53,TODAY()),Registre!$R$5:$R$1004,"",Registre!$Q$5:$Q$1004,"&lt;&gt;Classé sans suite")+COUNTIFS(Registre!$B$5:$B$1004,"&lt;="&amp;MIN($C53,TODAY()),Registre!$R$5:$R$1004,"&gt;"&amp;MIN($C53,TODAY())))</f>
        <v/>
      </c>
      <c r="H53" s="24" t="str">
        <f aca="true">IF($B53&gt;TODAY(),"",COUNTIFS(Registre!$B$5:$B$1004,"&lt;="&amp;MIN($C53,TODAY()),Registre!$R$5:$R$1004,"",Registre!$P$5:$P$1004,"&lt;"&amp;MIN($C53,TODAY()),Registre!$Q$5:$Q$1004,"&lt;&gt;Classé sans suite")+COUNTIFS(Registre!$B$5:$B$1004,"&lt;="&amp;MIN($C53,TODAY()),Registre!$R$5:$R$1004,"&gt;"&amp;MIN($C53,TODAY()),Registre!$P$5:$P$1004,"&lt;"&amp;MIN($C53,TODAY())))</f>
        <v/>
      </c>
      <c r="I53" s="28" t="str">
        <f aca="false">IF(D53=0,"",COUNTIFS(Registre!$B$5:$B$1004,"&gt;="&amp;$B53,Registre!$B$5:$B$1004,"&lt;="&amp;$C53,Registre!$R$5:$R$1004,"&lt;&gt;")/D53)</f>
        <v/>
      </c>
    </row>
    <row r="54" customFormat="false" ht="15" hidden="false" customHeight="false" outlineLevel="0" collapsed="false">
      <c r="A54" s="24" t="n">
        <v>50</v>
      </c>
      <c r="B54" s="30" t="n">
        <f aca="false">DATE(Paramètres!$G$12,1,4)-WEEKDAY(DATE(Paramètres!$G$12,1,4),2)+1+7*(A54-1)</f>
        <v>46363</v>
      </c>
      <c r="C54" s="30" t="n">
        <f aca="false">B54+6</f>
        <v>46369</v>
      </c>
      <c r="D54" s="24" t="n">
        <f aca="false">COUNTIFS(Registre!$B$5:$B$1004,"&gt;="&amp;$B54,Registre!$B$5:$B$1004,"&lt;="&amp;$C54)</f>
        <v>0</v>
      </c>
      <c r="E54" s="24" t="n">
        <f aca="false">COUNTIFS(Registre!$R$5:$R$1004,"&gt;="&amp;$B54,Registre!$R$5:$R$1004,"&lt;="&amp;$C54)</f>
        <v>0</v>
      </c>
      <c r="F54" s="24" t="n">
        <f aca="false">COUNTIFS(Registre!$B$5:$B$1004,"&gt;="&amp;$B54,Registre!$B$5:$B$1004,"&lt;="&amp;$C54,Registre!$L$5:$L$1004,"Très urgent")+COUNTIFS(Registre!$B$5:$B$1004,"&gt;="&amp;$B54,Registre!$B$5:$B$1004,"&lt;="&amp;$C54,Registre!$L$5:$L$1004,"Urgent")</f>
        <v>0</v>
      </c>
      <c r="G54" s="24" t="str">
        <f aca="true">IF($B54&gt;TODAY(),"",COUNTIFS(Registre!$B$5:$B$1004,"&lt;="&amp;MIN($C54,TODAY()),Registre!$R$5:$R$1004,"",Registre!$Q$5:$Q$1004,"&lt;&gt;Classé sans suite")+COUNTIFS(Registre!$B$5:$B$1004,"&lt;="&amp;MIN($C54,TODAY()),Registre!$R$5:$R$1004,"&gt;"&amp;MIN($C54,TODAY())))</f>
        <v/>
      </c>
      <c r="H54" s="24" t="str">
        <f aca="true">IF($B54&gt;TODAY(),"",COUNTIFS(Registre!$B$5:$B$1004,"&lt;="&amp;MIN($C54,TODAY()),Registre!$R$5:$R$1004,"",Registre!$P$5:$P$1004,"&lt;"&amp;MIN($C54,TODAY()),Registre!$Q$5:$Q$1004,"&lt;&gt;Classé sans suite")+COUNTIFS(Registre!$B$5:$B$1004,"&lt;="&amp;MIN($C54,TODAY()),Registre!$R$5:$R$1004,"&gt;"&amp;MIN($C54,TODAY()),Registre!$P$5:$P$1004,"&lt;"&amp;MIN($C54,TODAY())))</f>
        <v/>
      </c>
      <c r="I54" s="28" t="str">
        <f aca="false">IF(D54=0,"",COUNTIFS(Registre!$B$5:$B$1004,"&gt;="&amp;$B54,Registre!$B$5:$B$1004,"&lt;="&amp;$C54,Registre!$R$5:$R$1004,"&lt;&gt;")/D54)</f>
        <v/>
      </c>
    </row>
    <row r="55" customFormat="false" ht="15" hidden="false" customHeight="false" outlineLevel="0" collapsed="false">
      <c r="A55" s="24" t="n">
        <v>51</v>
      </c>
      <c r="B55" s="30" t="n">
        <f aca="false">DATE(Paramètres!$G$12,1,4)-WEEKDAY(DATE(Paramètres!$G$12,1,4),2)+1+7*(A55-1)</f>
        <v>46370</v>
      </c>
      <c r="C55" s="30" t="n">
        <f aca="false">B55+6</f>
        <v>46376</v>
      </c>
      <c r="D55" s="24" t="n">
        <f aca="false">COUNTIFS(Registre!$B$5:$B$1004,"&gt;="&amp;$B55,Registre!$B$5:$B$1004,"&lt;="&amp;$C55)</f>
        <v>0</v>
      </c>
      <c r="E55" s="24" t="n">
        <f aca="false">COUNTIFS(Registre!$R$5:$R$1004,"&gt;="&amp;$B55,Registre!$R$5:$R$1004,"&lt;="&amp;$C55)</f>
        <v>0</v>
      </c>
      <c r="F55" s="24" t="n">
        <f aca="false">COUNTIFS(Registre!$B$5:$B$1004,"&gt;="&amp;$B55,Registre!$B$5:$B$1004,"&lt;="&amp;$C55,Registre!$L$5:$L$1004,"Très urgent")+COUNTIFS(Registre!$B$5:$B$1004,"&gt;="&amp;$B55,Registre!$B$5:$B$1004,"&lt;="&amp;$C55,Registre!$L$5:$L$1004,"Urgent")</f>
        <v>0</v>
      </c>
      <c r="G55" s="24" t="str">
        <f aca="true">IF($B55&gt;TODAY(),"",COUNTIFS(Registre!$B$5:$B$1004,"&lt;="&amp;MIN($C55,TODAY()),Registre!$R$5:$R$1004,"",Registre!$Q$5:$Q$1004,"&lt;&gt;Classé sans suite")+COUNTIFS(Registre!$B$5:$B$1004,"&lt;="&amp;MIN($C55,TODAY()),Registre!$R$5:$R$1004,"&gt;"&amp;MIN($C55,TODAY())))</f>
        <v/>
      </c>
      <c r="H55" s="24" t="str">
        <f aca="true">IF($B55&gt;TODAY(),"",COUNTIFS(Registre!$B$5:$B$1004,"&lt;="&amp;MIN($C55,TODAY()),Registre!$R$5:$R$1004,"",Registre!$P$5:$P$1004,"&lt;"&amp;MIN($C55,TODAY()),Registre!$Q$5:$Q$1004,"&lt;&gt;Classé sans suite")+COUNTIFS(Registre!$B$5:$B$1004,"&lt;="&amp;MIN($C55,TODAY()),Registre!$R$5:$R$1004,"&gt;"&amp;MIN($C55,TODAY()),Registre!$P$5:$P$1004,"&lt;"&amp;MIN($C55,TODAY())))</f>
        <v/>
      </c>
      <c r="I55" s="28" t="str">
        <f aca="false">IF(D55=0,"",COUNTIFS(Registre!$B$5:$B$1004,"&gt;="&amp;$B55,Registre!$B$5:$B$1004,"&lt;="&amp;$C55,Registre!$R$5:$R$1004,"&lt;&gt;")/D55)</f>
        <v/>
      </c>
    </row>
    <row r="56" customFormat="false" ht="15" hidden="false" customHeight="false" outlineLevel="0" collapsed="false">
      <c r="A56" s="24" t="n">
        <v>52</v>
      </c>
      <c r="B56" s="30" t="n">
        <f aca="false">DATE(Paramètres!$G$12,1,4)-WEEKDAY(DATE(Paramètres!$G$12,1,4),2)+1+7*(A56-1)</f>
        <v>46377</v>
      </c>
      <c r="C56" s="30" t="n">
        <f aca="false">B56+6</f>
        <v>46383</v>
      </c>
      <c r="D56" s="24" t="n">
        <f aca="false">COUNTIFS(Registre!$B$5:$B$1004,"&gt;="&amp;$B56,Registre!$B$5:$B$1004,"&lt;="&amp;$C56)</f>
        <v>0</v>
      </c>
      <c r="E56" s="24" t="n">
        <f aca="false">COUNTIFS(Registre!$R$5:$R$1004,"&gt;="&amp;$B56,Registre!$R$5:$R$1004,"&lt;="&amp;$C56)</f>
        <v>0</v>
      </c>
      <c r="F56" s="24" t="n">
        <f aca="false">COUNTIFS(Registre!$B$5:$B$1004,"&gt;="&amp;$B56,Registre!$B$5:$B$1004,"&lt;="&amp;$C56,Registre!$L$5:$L$1004,"Très urgent")+COUNTIFS(Registre!$B$5:$B$1004,"&gt;="&amp;$B56,Registre!$B$5:$B$1004,"&lt;="&amp;$C56,Registre!$L$5:$L$1004,"Urgent")</f>
        <v>0</v>
      </c>
      <c r="G56" s="24" t="str">
        <f aca="true">IF($B56&gt;TODAY(),"",COUNTIFS(Registre!$B$5:$B$1004,"&lt;="&amp;MIN($C56,TODAY()),Registre!$R$5:$R$1004,"",Registre!$Q$5:$Q$1004,"&lt;&gt;Classé sans suite")+COUNTIFS(Registre!$B$5:$B$1004,"&lt;="&amp;MIN($C56,TODAY()),Registre!$R$5:$R$1004,"&gt;"&amp;MIN($C56,TODAY())))</f>
        <v/>
      </c>
      <c r="H56" s="24" t="str">
        <f aca="true">IF($B56&gt;TODAY(),"",COUNTIFS(Registre!$B$5:$B$1004,"&lt;="&amp;MIN($C56,TODAY()),Registre!$R$5:$R$1004,"",Registre!$P$5:$P$1004,"&lt;"&amp;MIN($C56,TODAY()),Registre!$Q$5:$Q$1004,"&lt;&gt;Classé sans suite")+COUNTIFS(Registre!$B$5:$B$1004,"&lt;="&amp;MIN($C56,TODAY()),Registre!$R$5:$R$1004,"&gt;"&amp;MIN($C56,TODAY()),Registre!$P$5:$P$1004,"&lt;"&amp;MIN($C56,TODAY())))</f>
        <v/>
      </c>
      <c r="I56" s="28" t="str">
        <f aca="false">IF(D56=0,"",COUNTIFS(Registre!$B$5:$B$1004,"&gt;="&amp;$B56,Registre!$B$5:$B$1004,"&lt;="&amp;$C56,Registre!$R$5:$R$1004,"&lt;&gt;")/D56)</f>
        <v/>
      </c>
    </row>
    <row r="57" customFormat="false" ht="15" hidden="false" customHeight="false" outlineLevel="0" collapsed="false">
      <c r="A57" s="24" t="n">
        <v>53</v>
      </c>
      <c r="B57" s="30" t="n">
        <f aca="false">DATE(Paramètres!$G$12,1,4)-WEEKDAY(DATE(Paramètres!$G$12,1,4),2)+1+7*(A57-1)</f>
        <v>46384</v>
      </c>
      <c r="C57" s="30" t="n">
        <f aca="false">B57+6</f>
        <v>46390</v>
      </c>
      <c r="D57" s="24" t="n">
        <f aca="false">COUNTIFS(Registre!$B$5:$B$1004,"&gt;="&amp;$B57,Registre!$B$5:$B$1004,"&lt;="&amp;$C57)</f>
        <v>0</v>
      </c>
      <c r="E57" s="24" t="n">
        <f aca="false">COUNTIFS(Registre!$R$5:$R$1004,"&gt;="&amp;$B57,Registre!$R$5:$R$1004,"&lt;="&amp;$C57)</f>
        <v>0</v>
      </c>
      <c r="F57" s="24" t="n">
        <f aca="false">COUNTIFS(Registre!$B$5:$B$1004,"&gt;="&amp;$B57,Registre!$B$5:$B$1004,"&lt;="&amp;$C57,Registre!$L$5:$L$1004,"Très urgent")+COUNTIFS(Registre!$B$5:$B$1004,"&gt;="&amp;$B57,Registre!$B$5:$B$1004,"&lt;="&amp;$C57,Registre!$L$5:$L$1004,"Urgent")</f>
        <v>0</v>
      </c>
      <c r="G57" s="24" t="str">
        <f aca="true">IF($B57&gt;TODAY(),"",COUNTIFS(Registre!$B$5:$B$1004,"&lt;="&amp;MIN($C57,TODAY()),Registre!$R$5:$R$1004,"",Registre!$Q$5:$Q$1004,"&lt;&gt;Classé sans suite")+COUNTIFS(Registre!$B$5:$B$1004,"&lt;="&amp;MIN($C57,TODAY()),Registre!$R$5:$R$1004,"&gt;"&amp;MIN($C57,TODAY())))</f>
        <v/>
      </c>
      <c r="H57" s="24" t="str">
        <f aca="true">IF($B57&gt;TODAY(),"",COUNTIFS(Registre!$B$5:$B$1004,"&lt;="&amp;MIN($C57,TODAY()),Registre!$R$5:$R$1004,"",Registre!$P$5:$P$1004,"&lt;"&amp;MIN($C57,TODAY()),Registre!$Q$5:$Q$1004,"&lt;&gt;Classé sans suite")+COUNTIFS(Registre!$B$5:$B$1004,"&lt;="&amp;MIN($C57,TODAY()),Registre!$R$5:$R$1004,"&gt;"&amp;MIN($C57,TODAY()),Registre!$P$5:$P$1004,"&lt;"&amp;MIN($C57,TODAY())))</f>
        <v/>
      </c>
      <c r="I57" s="28" t="str">
        <f aca="false">IF(D57=0,"",COUNTIFS(Registre!$B$5:$B$1004,"&gt;="&amp;$B57,Registre!$B$5:$B$1004,"&lt;="&amp;$C57,Registre!$R$5:$R$1004,"&lt;&gt;")/D57)</f>
        <v/>
      </c>
    </row>
    <row r="58" customFormat="false" ht="15" hidden="false" customHeight="false" outlineLevel="0" collapsed="false">
      <c r="A58" s="31" t="s">
        <v>136</v>
      </c>
      <c r="B58" s="31"/>
      <c r="C58" s="31"/>
      <c r="D58" s="31" t="n">
        <f aca="false">SUMPRODUCT((D5:D57)*(YEAR($B$5:$B$57+3)=Paramètres!$G$12))</f>
        <v>12</v>
      </c>
      <c r="E58" s="31" t="n">
        <f aca="false">SUMPRODUCT((E5:E57)*(YEAR($B$5:$B$57+3)=Paramètres!$G$12))</f>
        <v>6</v>
      </c>
      <c r="F58" s="31" t="n">
        <f aca="false">SUMPRODUCT((F5:F57)*(YEAR($B$5:$B$57+3)=Paramètres!$G$12))</f>
        <v>6</v>
      </c>
      <c r="G58" s="31"/>
      <c r="H58" s="31"/>
      <c r="I58" s="20" t="n">
        <f aca="false">IF(D58=0,"",COUNTIFS(Registre!$B$5:$B$1004,"&gt;="&amp;B5,Registre!$B$5:$B$1004,"&lt;="&amp;MAX(C5:C57),Registre!$R$5:$R$1004,"&lt;&gt;")/D58)</f>
        <v>0.5</v>
      </c>
    </row>
  </sheetData>
  <conditionalFormatting sqref="A57:I57">
    <cfRule type="expression" priority="2" aboveAverage="0" equalAverage="0" bottom="0" percent="0" rank="0" text="" dxfId="13">
      <formula>YEAR($B$57+3)&lt;&gt;Paramètres!$G$12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26"/>
    <col collapsed="false" customWidth="true" hidden="false" outlineLevel="0" max="6" min="6" style="0" width="20"/>
    <col collapsed="false" customWidth="true" hidden="false" outlineLevel="0" max="7" min="7" style="0" width="16"/>
  </cols>
  <sheetData>
    <row r="1" customFormat="false" ht="19.7" hidden="false" customHeight="false" outlineLevel="0" collapsed="false">
      <c r="A1" s="1" t="s">
        <v>154</v>
      </c>
    </row>
    <row r="2" customFormat="false" ht="15" hidden="false" customHeight="false" outlineLevel="0" collapsed="false">
      <c r="A2" s="4" t="s">
        <v>155</v>
      </c>
    </row>
    <row r="4" customFormat="false" ht="23.85" hidden="false" customHeight="false" outlineLevel="0" collapsed="false">
      <c r="A4" s="6" t="s">
        <v>156</v>
      </c>
      <c r="B4" s="6" t="s">
        <v>157</v>
      </c>
      <c r="C4" s="6" t="s">
        <v>158</v>
      </c>
      <c r="D4" s="6" t="s">
        <v>159</v>
      </c>
      <c r="E4" s="6" t="s">
        <v>160</v>
      </c>
      <c r="F4" s="6" t="s">
        <v>33</v>
      </c>
      <c r="G4" s="6" t="s">
        <v>161</v>
      </c>
    </row>
    <row r="5" customFormat="false" ht="15" hidden="false" customHeight="false" outlineLevel="0" collapsed="false">
      <c r="A5" s="32" t="s">
        <v>67</v>
      </c>
      <c r="B5" s="32" t="s">
        <v>47</v>
      </c>
      <c r="C5" s="32" t="s">
        <v>45</v>
      </c>
      <c r="D5" s="32" t="s">
        <v>57</v>
      </c>
      <c r="E5" s="32" t="s">
        <v>112</v>
      </c>
      <c r="F5" s="32" t="s">
        <v>66</v>
      </c>
      <c r="G5" s="32" t="n">
        <v>2</v>
      </c>
    </row>
    <row r="6" customFormat="false" ht="15" hidden="false" customHeight="false" outlineLevel="0" collapsed="false">
      <c r="A6" s="32" t="s">
        <v>93</v>
      </c>
      <c r="B6" s="32" t="s">
        <v>109</v>
      </c>
      <c r="C6" s="32" t="s">
        <v>62</v>
      </c>
      <c r="D6" s="32" t="s">
        <v>65</v>
      </c>
      <c r="E6" s="32" t="s">
        <v>99</v>
      </c>
      <c r="F6" s="32" t="s">
        <v>49</v>
      </c>
      <c r="G6" s="32" t="n">
        <v>5</v>
      </c>
    </row>
    <row r="7" customFormat="false" ht="15" hidden="false" customHeight="false" outlineLevel="0" collapsed="false">
      <c r="A7" s="32" t="s">
        <v>50</v>
      </c>
      <c r="B7" s="32" t="s">
        <v>56</v>
      </c>
      <c r="C7" s="32" t="s">
        <v>70</v>
      </c>
      <c r="D7" s="32" t="s">
        <v>73</v>
      </c>
      <c r="E7" s="32" t="s">
        <v>75</v>
      </c>
      <c r="F7" s="32" t="s">
        <v>58</v>
      </c>
      <c r="G7" s="32" t="n">
        <v>15</v>
      </c>
    </row>
    <row r="8" customFormat="false" ht="15" hidden="false" customHeight="false" outlineLevel="0" collapsed="false">
      <c r="A8" s="32" t="s">
        <v>59</v>
      </c>
      <c r="B8" s="32" t="s">
        <v>97</v>
      </c>
      <c r="C8" s="32" t="s">
        <v>78</v>
      </c>
      <c r="D8" s="32" t="s">
        <v>48</v>
      </c>
      <c r="E8" s="32" t="s">
        <v>51</v>
      </c>
      <c r="F8" s="32" t="s">
        <v>86</v>
      </c>
      <c r="G8" s="32" t="n">
        <v>30</v>
      </c>
    </row>
    <row r="9" customFormat="false" ht="15" hidden="false" customHeight="false" outlineLevel="0" collapsed="false">
      <c r="A9" s="32" t="s">
        <v>74</v>
      </c>
      <c r="B9" s="32" t="s">
        <v>85</v>
      </c>
      <c r="C9" s="32" t="s">
        <v>83</v>
      </c>
      <c r="D9" s="32" t="s">
        <v>162</v>
      </c>
      <c r="E9" s="32" t="s">
        <v>88</v>
      </c>
    </row>
    <row r="10" customFormat="false" ht="15" hidden="false" customHeight="false" outlineLevel="0" collapsed="false">
      <c r="A10" s="32" t="s">
        <v>98</v>
      </c>
      <c r="B10" s="32" t="s">
        <v>72</v>
      </c>
      <c r="C10" s="32" t="s">
        <v>54</v>
      </c>
      <c r="D10" s="32"/>
      <c r="E10" s="32"/>
      <c r="F10" s="4" t="s">
        <v>163</v>
      </c>
    </row>
    <row r="11" customFormat="false" ht="15" hidden="false" customHeight="false" outlineLevel="0" collapsed="false">
      <c r="A11" s="32" t="s">
        <v>87</v>
      </c>
      <c r="B11" s="32" t="s">
        <v>80</v>
      </c>
      <c r="C11" s="32" t="s">
        <v>164</v>
      </c>
      <c r="D11" s="32"/>
      <c r="E11" s="32"/>
    </row>
    <row r="12" customFormat="false" ht="15" hidden="false" customHeight="false" outlineLevel="0" collapsed="false">
      <c r="A12" s="32" t="s">
        <v>103</v>
      </c>
      <c r="B12" s="32" t="s">
        <v>64</v>
      </c>
      <c r="C12" s="32"/>
      <c r="D12" s="32"/>
      <c r="E12" s="32"/>
      <c r="F12" s="5" t="s">
        <v>165</v>
      </c>
      <c r="G12" s="32" t="n">
        <v>2026</v>
      </c>
    </row>
    <row r="13" customFormat="false" ht="15" hidden="false" customHeight="false" outlineLevel="0" collapsed="false">
      <c r="A13" s="32"/>
      <c r="B13" s="32" t="s">
        <v>92</v>
      </c>
      <c r="C13" s="32"/>
      <c r="D13" s="32"/>
      <c r="E13" s="32"/>
    </row>
    <row r="14" customFormat="false" ht="15" hidden="false" customHeight="false" outlineLevel="0" collapsed="false">
      <c r="A14" s="32"/>
      <c r="B14" s="32" t="s">
        <v>164</v>
      </c>
      <c r="C14" s="32"/>
      <c r="D14" s="32"/>
      <c r="E14" s="32"/>
    </row>
    <row r="15" customFormat="false" ht="15" hidden="false" customHeight="false" outlineLevel="0" collapsed="false">
      <c r="A15" s="32"/>
      <c r="B15" s="32"/>
      <c r="C15" s="32"/>
      <c r="D15" s="32"/>
      <c r="E15" s="32"/>
    </row>
    <row r="16" customFormat="false" ht="15" hidden="false" customHeight="false" outlineLevel="0" collapsed="false">
      <c r="A16" s="32"/>
      <c r="B16" s="32"/>
      <c r="C16" s="32"/>
      <c r="D16" s="32"/>
      <c r="E16" s="32"/>
    </row>
    <row r="17" customFormat="false" ht="15" hidden="false" customHeight="false" outlineLevel="0" collapsed="false">
      <c r="A17" s="32"/>
      <c r="B17" s="32"/>
      <c r="C17" s="32"/>
      <c r="D17" s="32"/>
      <c r="E17" s="32"/>
    </row>
    <row r="18" customFormat="false" ht="15" hidden="false" customHeight="false" outlineLevel="0" collapsed="false">
      <c r="A18" s="32"/>
      <c r="B18" s="32"/>
      <c r="C18" s="32"/>
      <c r="D18" s="32"/>
      <c r="E18" s="32"/>
    </row>
    <row r="19" customFormat="false" ht="15" hidden="false" customHeight="false" outlineLevel="0" collapsed="false">
      <c r="A19" s="32"/>
      <c r="B19" s="32"/>
      <c r="C19" s="32"/>
      <c r="D19" s="32"/>
      <c r="E19" s="32"/>
    </row>
    <row r="20" customFormat="false" ht="15" hidden="false" customHeight="false" outlineLevel="0" collapsed="false">
      <c r="A20" s="32"/>
      <c r="B20" s="32"/>
      <c r="C20" s="32"/>
      <c r="D20" s="32"/>
      <c r="E20" s="32"/>
    </row>
    <row r="21" customFormat="false" ht="15" hidden="false" customHeight="false" outlineLevel="0" collapsed="false">
      <c r="A21" s="32"/>
      <c r="B21" s="32"/>
      <c r="C21" s="32"/>
      <c r="D21" s="32"/>
      <c r="E21" s="32"/>
    </row>
    <row r="22" customFormat="false" ht="15" hidden="false" customHeight="false" outlineLevel="0" collapsed="false">
      <c r="A22" s="32"/>
      <c r="B22" s="32"/>
      <c r="C22" s="32"/>
      <c r="D22" s="32"/>
      <c r="E22" s="32"/>
    </row>
    <row r="23" customFormat="false" ht="15" hidden="false" customHeight="false" outlineLevel="0" collapsed="false">
      <c r="A23" s="32"/>
      <c r="B23" s="32"/>
      <c r="C23" s="32"/>
      <c r="D23" s="32"/>
      <c r="E23" s="32"/>
    </row>
    <row r="24" customFormat="false" ht="15" hidden="false" customHeight="false" outlineLevel="0" collapsed="false">
      <c r="A24" s="32"/>
      <c r="B24" s="32"/>
      <c r="C24" s="32"/>
      <c r="D24" s="32"/>
      <c r="E24" s="3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2026-10-01T01:35:01Z</dcterms:created>
  <dc:creator>openpyxl</dc:creator>
  <dc:description/>
  <dc:language>en-US</dc:language>
  <cp:lastModifiedBy/>
  <dcterms:modified xsi:type="dcterms:W3CDTF">2026-10-01T01:35:04Z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