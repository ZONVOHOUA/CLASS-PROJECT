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MOI" sheetId="1" state="visible" r:id="rId3"/>
    <sheet name="SERIES" sheetId="2" state="visible" r:id="rId4"/>
    <sheet name="EPISODES" sheetId="3" state="visible" r:id="rId5"/>
    <sheet name="INDICATEURS" sheetId="4" state="visible" r:id="rId6"/>
    <sheet name="STRESS_PARAM" sheetId="5" state="visible" r:id="rId7"/>
    <sheet name="STRESS_TEST" sheetId="6" state="visible" r:id="rId8"/>
    <sheet name="MECANISMES" sheetId="7" state="visible" r:id="rId9"/>
    <sheet name="LITTERATURE" sheetId="8" state="visible" r:id="rId10"/>
    <sheet name="CARTE_QUAL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<sst xmlns="http://schemas.openxmlformats.org/spreadsheetml/2006/main" count="1605" uniqueCount="648">
  <si>
    <t xml:space="preserve">BASE DE DONNÉES – RÉSILIENCE DES FILIÈRES AGRICOLES IVOIRIENNES AUX CHOCS DE PRIX INTERNATIONAUX</t>
  </si>
  <si>
    <t xml:space="preserve">MINADERPV – Cellule d'études – version du 1er octobre 2026</t>
  </si>
  <si>
    <t xml:space="preserve">Onglets :</t>
  </si>
  <si>
    <t xml:space="preserve">SERIES : séries annuelles par filière/pays (données brutes en bleu, calculs en noir).</t>
  </si>
  <si>
    <t xml:space="preserve">EPISODES : épisodes de choc T0 -&gt; T2 ; transmission, amortissement, recette, délais.</t>
  </si>
  <si>
    <t xml:space="preserve">INDICATEURS : batterie harmonisée (volatilité, beta baisse/hausse, drawdown, décomposition prix/volume de la recette).</t>
  </si>
  <si>
    <t xml:space="preserve">STRESS_PARAM / STRESS_TEST : test de stress standardisé (5 scénarios x 6 filières).</t>
  </si>
  <si>
    <t xml:space="preserve">MECANISMES : benchmark international des instruments.</t>
  </si>
  <si>
    <t xml:space="preserve">LITTERATURE : revue scientifique (tableau interne).</t>
  </si>
  <si>
    <t xml:space="preserve">CARTE_QUALI : filières non quantifiées.</t>
  </si>
  <si>
    <t xml:space="preserve">Conventions :</t>
  </si>
  <si>
    <t xml:space="preserve">Transmission = variation prix producteur / variation prix international (même monnaie locale, même période).</t>
  </si>
  <si>
    <t xml:space="preserve">Amortissement = 1 - transmission. Recette = prix producteur x quantité (Mds de monnaie locale).</t>
  </si>
  <si>
    <t xml:space="preserve">Prix internationaux convertis en monnaie locale/kg : prix_int x fx x conv.</t>
  </si>
  <si>
    <t xml:space="preserve">Qualité : A = vérifié sur source officielle/presse 2026 ; B = valeur publiée à revérifier ; C = estimation à valider.</t>
  </si>
  <si>
    <t xml:space="preserve">Toutes les figures de la note ministérielle sont générées à partir de ce classeur (scripts/build_charts.py).</t>
  </si>
  <si>
    <t xml:space="preserve">Voir AUDIT_DONNEES.md pour les limites et les points à valider.</t>
  </si>
  <si>
    <t xml:space="preserve">filiere</t>
  </si>
  <si>
    <t xml:space="preserve">pays</t>
  </si>
  <si>
    <t xml:space="preserve">campagne</t>
  </si>
  <si>
    <t xml:space="preserve">annee</t>
  </si>
  <si>
    <t xml:space="preserve">prix_int</t>
  </si>
  <si>
    <t xml:space="preserve">unite_int</t>
  </si>
  <si>
    <t xml:space="preserve">fx</t>
  </si>
  <si>
    <t xml:space="preserve">conv</t>
  </si>
  <si>
    <t xml:space="preserve">prix_prod</t>
  </si>
  <si>
    <t xml:space="preserve">monnaie</t>
  </si>
  <si>
    <t xml:space="preserve">prod_kt</t>
  </si>
  <si>
    <t xml:space="preserve">mecanisme</t>
  </si>
  <si>
    <t xml:space="preserve">qualite</t>
  </si>
  <si>
    <t xml:space="preserve">source</t>
  </si>
  <si>
    <t xml:space="preserve">url</t>
  </si>
  <si>
    <t xml:space="preserve">commentaire</t>
  </si>
  <si>
    <t xml:space="preserve">prix_int_local_kg</t>
  </si>
  <si>
    <t xml:space="preserve">part_producteur</t>
  </si>
  <si>
    <t xml:space="preserve">recette_mds</t>
  </si>
  <si>
    <t xml:space="preserve">var_int</t>
  </si>
  <si>
    <t xml:space="preserve">var_prod</t>
  </si>
  <si>
    <t xml:space="preserve">var_recette</t>
  </si>
  <si>
    <t xml:space="preserve">transmission_annuelle</t>
  </si>
  <si>
    <t xml:space="preserve">max_prod_cumul</t>
  </si>
  <si>
    <t xml:space="preserve">drawdown_prod</t>
  </si>
  <si>
    <t xml:space="preserve">dlnP</t>
  </si>
  <si>
    <t xml:space="preserve">dlnQ</t>
  </si>
  <si>
    <t xml:space="preserve">dlnR</t>
  </si>
  <si>
    <t xml:space="preserve">Cacao</t>
  </si>
  <si>
    <t xml:space="preserve">Côte d'Ivoire</t>
  </si>
  <si>
    <t xml:space="preserve">2012/13</t>
  </si>
  <si>
    <t xml:space="preserve">USD/t</t>
  </si>
  <si>
    <t xml:space="preserve">FCFA</t>
  </si>
  <si>
    <t xml:space="preserve">Prix minimum garanti (&gt;= 60 % CAF), ventes anticipées à la moyenne, FRP</t>
  </si>
  <si>
    <t xml:space="preserve">prix prod. A ; prix int. B</t>
  </si>
  <si>
    <t xml:space="preserve">CCC (prix, production) ; ICCO (prix int.)</t>
  </si>
  <si>
    <t xml:space="preserve">https://www.conseilcafecacao.ci/ ; https://www.icco.org/statistics/</t>
  </si>
  <si>
    <t xml:space="preserve">1re campagne de la réforme (prix minimum garanti, ventes anticipées)</t>
  </si>
  <si>
    <t xml:space="preserve">2013/14</t>
  </si>
  <si>
    <t xml:space="preserve">2014/15</t>
  </si>
  <si>
    <t xml:space="preserve">2015/16</t>
  </si>
  <si>
    <t xml:space="preserve">2016/17</t>
  </si>
  <si>
    <t xml:space="preserve">Principale 1 100 ; intermédiaire 700 (avr. 2017) ; pondération 80/20</t>
  </si>
  <si>
    <t xml:space="preserve">2017/18</t>
  </si>
  <si>
    <t xml:space="preserve">Principale 700 ; intermédiaire 750</t>
  </si>
  <si>
    <t xml:space="preserve">2018/19</t>
  </si>
  <si>
    <t xml:space="preserve">2019/20</t>
  </si>
  <si>
    <t xml:space="preserve">2020/21</t>
  </si>
  <si>
    <t xml:space="preserve">Principale 1 000 ; intermédiaire 750 ; début du DRD/LID (400 USD/t)</t>
  </si>
  <si>
    <t xml:space="preserve">2021/22</t>
  </si>
  <si>
    <t xml:space="preserve">2022/23</t>
  </si>
  <si>
    <t xml:space="preserve">Principale 900 ; intermédiaire 920</t>
  </si>
  <si>
    <t xml:space="preserve">2023/24</t>
  </si>
  <si>
    <t xml:space="preserve">Principale 1 000 ; intermédiaire 1 500 ; production -22 %</t>
  </si>
  <si>
    <t xml:space="preserve">2024/25</t>
  </si>
  <si>
    <t xml:space="preserve">Principale 1 800 ; intermédiaire 2 200</t>
  </si>
  <si>
    <t xml:space="preserve">2025/26</t>
  </si>
  <si>
    <t xml:space="preserve">prix prod. A/C ; prix int. B</t>
  </si>
  <si>
    <t xml:space="preserve">Principale 2 800 ; intermédiaire 1 200 (4 mars 2026) ; prix int. et prod. provisoires</t>
  </si>
  <si>
    <t xml:space="preserve">Ghana</t>
  </si>
  <si>
    <t xml:space="preserve">GHS</t>
  </si>
  <si>
    <t xml:space="preserve">Prix fixé par Cocobod (&gt;= 70 % FOB depuis Act 1182 de 2026), ventes à terme, prêts syndiqués</t>
  </si>
  <si>
    <t xml:space="preserve">prix prod. B ; prix int. B</t>
  </si>
  <si>
    <t xml:space="preserve">Cocobod ; ICCO ; Banque du Ghana (change)</t>
  </si>
  <si>
    <t xml:space="preserve">https://cocobod.gh/ ; https://www.icco.org/statistics/</t>
  </si>
  <si>
    <t xml:space="preserve">Prix nominal maintenu malgré la chute des cours</t>
  </si>
  <si>
    <t xml:space="preserve">20 128 puis 33 120 GHS/t (avr. 2024) ; production 432 kt (vs 800 kt prévues)</t>
  </si>
  <si>
    <t xml:space="preserve">49 600 puis 51 660 GHS/t</t>
  </si>
  <si>
    <t xml:space="preserve">58 000 GHS/t (oct. 2025) puis 41 392 (12 fév. 2026)</t>
  </si>
  <si>
    <t xml:space="preserve">Coton</t>
  </si>
  <si>
    <t xml:space="preserve">USD/lb</t>
  </si>
  <si>
    <t xml:space="preserve">Prix administré avant semis (Interprofession/État) ; subventions intrants</t>
  </si>
  <si>
    <t xml:space="preserve">Conseil du Coton et de l'Anacarde ; ICAC/Cotlook A</t>
  </si>
  <si>
    <t xml:space="preserve">https://www.conseilcotonanacarde.ci/ ; https://www.icac.org/</t>
  </si>
  <si>
    <t xml:space="preserve">Prix maintenu en pleine crise COVID grâce à un soutien public</t>
  </si>
  <si>
    <t xml:space="preserve">Envolée des cours (+80 %) non transmise</t>
  </si>
  <si>
    <t xml:space="preserve">Attaque de jassides : production -58 %</t>
  </si>
  <si>
    <t xml:space="preserve">Subvention exceptionnelle 25,3 Mds FCFA (44 FCFA/kg) ; production prévisionnelle</t>
  </si>
  <si>
    <t xml:space="preserve">Anacarde</t>
  </si>
  <si>
    <t xml:space="preserve">2016</t>
  </si>
  <si>
    <t xml:space="preserve">Prix plancher bord champ indicatif-obligatoire ; pas de fonds de stabilisation</t>
  </si>
  <si>
    <t xml:space="preserve">prix prod. A ; prix int. C</t>
  </si>
  <si>
    <t xml:space="preserve">Conseil du Coton et de l'Anacarde ; cotations noix brute CIF Inde (presse spécialisée)</t>
  </si>
  <si>
    <t xml:space="preserve">https://www.conseilcotonanacarde.ci/</t>
  </si>
  <si>
    <t xml:space="preserve">2017</t>
  </si>
  <si>
    <t xml:space="preserve">2018</t>
  </si>
  <si>
    <t xml:space="preserve">Plancher 500 non respecté : prix réels 250-300 en fin de campagne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</si>
  <si>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</si>
  <si>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</si>
  <si>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</si>
  <si>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</si>
  <si>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</si>
  <si>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</si>
  <si>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Prix réels 500-700 en fin de campagne, bien au-dessus du plancher</t>
  </si>
  <si>
    <t xml:space="preserve">2025</t>
  </si>
  <si>
    <t xml:space="preserve">2026</t>
  </si>
  <si>
    <t xml:space="preserve">prix prod. A/C ; prix int. C</t>
  </si>
  <si>
    <t xml:space="preserve">Plancher 400 bord champ / 425 magasin intérieur / 484 portuaire</t>
  </si>
  <si>
    <t xml:space="preserve">Hévéa</t>
  </si>
  <si>
    <t xml:space="preserve">2011</t>
  </si>
  <si>
    <t xml:space="preserve">USD/kg</t>
  </si>
  <si>
    <t xml:space="preserve">Prix bord champ mensuel = part fixe (66 % depuis mai 2026) du prix de référence net SICOM</t>
  </si>
  <si>
    <t xml:space="preserve">prix prod. C ; prix int. B</t>
  </si>
  <si>
    <t xml:space="preserve">APROMAC / CHPC ; Banque mondiale Pink Sheet (TSR20)</t>
  </si>
  <si>
    <t xml:space="preserve">https://www.worldbank.org/en/research/commodity-markets</t>
  </si>
  <si>
    <t xml:space="preserve">Pic historique des cours</t>
  </si>
  <si>
    <t xml:space="preserve">2012</t>
  </si>
  <si>
    <t xml:space="preserve">2013</t>
  </si>
  <si>
    <t xml:space="preserve">2014</t>
  </si>
  <si>
    <t xml:space="preserve">2015</t>
  </si>
  <si>
    <t xml:space="preserve">Point bas (≈ 230 FCFA/kg début 2016)</t>
  </si>
  <si>
    <t xml:space="preserve">Nouveau mécanisme au 1er mai 2026 : part producteur 63 % -&gt; 66 % ; 401 (avr.) -&gt; 493 (juil.)</t>
  </si>
  <si>
    <t xml:space="preserve">id</t>
  </si>
  <si>
    <t xml:space="preserve">sens</t>
  </si>
  <si>
    <t xml:space="preserve">episode</t>
  </si>
  <si>
    <t xml:space="preserve">t0</t>
  </si>
  <si>
    <t xml:space="preserve">t2</t>
  </si>
  <si>
    <t xml:space="preserve">int_t0</t>
  </si>
  <si>
    <t xml:space="preserve">int_t2</t>
  </si>
  <si>
    <t xml:space="preserve">fx_t0</t>
  </si>
  <si>
    <t xml:space="preserve">fx_t2</t>
  </si>
  <si>
    <t xml:space="preserve">prod_t0</t>
  </si>
  <si>
    <t xml:space="preserve">prod_t2</t>
  </si>
  <si>
    <t xml:space="preserve">q_t0</t>
  </si>
  <si>
    <t xml:space="preserve">q_t2</t>
  </si>
  <si>
    <t xml:space="preserve">delai_reaction_mois</t>
  </si>
  <si>
    <t xml:space="preserve">delai_recup_mois</t>
  </si>
  <si>
    <t xml:space="preserve">recup_statut</t>
  </si>
  <si>
    <t xml:space="preserve">absorbeur</t>
  </si>
  <si>
    <t xml:space="preserve">cout_mds_fcfa</t>
  </si>
  <si>
    <t xml:space="preserve">int_local_t0</t>
  </si>
  <si>
    <t xml:space="preserve">int_local_t2</t>
  </si>
  <si>
    <t xml:space="preserve">choc_int_usd</t>
  </si>
  <si>
    <t xml:space="preserve">choc_int</t>
  </si>
  <si>
    <t xml:space="preserve">choc_prod</t>
  </si>
  <si>
    <t xml:space="preserve">transmission</t>
  </si>
  <si>
    <t xml:space="preserve">amortissement</t>
  </si>
  <si>
    <t xml:space="preserve">recette_t0</t>
  </si>
  <si>
    <t xml:space="preserve">recette_t2</t>
  </si>
  <si>
    <t xml:space="preserve">part_prod_t0</t>
  </si>
  <si>
    <t xml:space="preserve">part_prod_t2</t>
  </si>
  <si>
    <t xml:space="preserve">CAC-CI-16</t>
  </si>
  <si>
    <t xml:space="preserve">baisse</t>
  </si>
  <si>
    <t xml:space="preserve">Chute des cours 2016-17</t>
  </si>
  <si>
    <t xml:space="preserve">2016-07</t>
  </si>
  <si>
    <t xml:space="preserve">2017-02</t>
  </si>
  <si>
    <t xml:space="preserve">partielle (1 000 FCFA en oct. 2020 = 91 % du niveau pré-choc)</t>
  </si>
  <si>
    <t xml:space="preserve">Acheteurs à terme pendant la campagne, puis producteurs ; défauts d'exportateurs absorbés par le CCC</t>
  </si>
  <si>
    <t xml:space="preserve">Ventes anticipées + prix garanti</t>
  </si>
  <si>
    <t xml:space="preserve">B</t>
  </si>
  <si>
    <t xml:space="preserve">CCC ; ICCO ; FMI (rapports art. IV 2017)</t>
  </si>
  <si>
    <t xml:space="preserve">https://www.conseilcafecacao.ci/</t>
  </si>
  <si>
    <t xml:space="preserve">Prix principal maintenu 6 mois grâce aux ventes anticipées ; baisse de 36 % à la campagne intermédiaire</t>
  </si>
  <si>
    <t xml:space="preserve">CAC-GH-16</t>
  </si>
  <si>
    <t xml:space="preserve">sans objet (prix nominal maintenu)</t>
  </si>
  <si>
    <t xml:space="preserve">Cocobod (endettement) ; inflation/dépréciation du cedi pour le producteur</t>
  </si>
  <si>
    <t xml:space="preserve">Prix fixé + emprunts syndiqués</t>
  </si>
  <si>
    <t xml:space="preserve">Cocobod ; Banque mondiale</t>
  </si>
  <si>
    <t xml:space="preserve">https://cocobod.gh/</t>
  </si>
  <si>
    <t xml:space="preserve">Stabilité nominale ; le prix réel producteur baisse via l'inflation (~12 %/an)</t>
  </si>
  <si>
    <t xml:space="preserve">CAC-CM-16</t>
  </si>
  <si>
    <t xml:space="preserve">Cameroun</t>
  </si>
  <si>
    <t xml:space="preserve">à documenter (ONCC)</t>
  </si>
  <si>
    <t xml:space="preserve">Producteurs (marché libéralisé)</t>
  </si>
  <si>
    <t xml:space="preserve">Marché libre, information prix ONCC</t>
  </si>
  <si>
    <t xml:space="preserve">C</t>
  </si>
  <si>
    <t xml:space="preserve">ONCC Cameroun (bulletins de prix)</t>
  </si>
  <si>
    <t xml:space="preserve">https://www.oncc.cm/</t>
  </si>
  <si>
    <t xml:space="preserve">Ordres de grandeur ; transmission quasi immédiate</t>
  </si>
  <si>
    <t xml:space="preserve">CAC-EC-16</t>
  </si>
  <si>
    <t xml:space="preserve">Équateur</t>
  </si>
  <si>
    <t xml:space="preserve">USD</t>
  </si>
  <si>
    <t xml:space="preserve">à documenter (MAG/Anecacao)</t>
  </si>
  <si>
    <t xml:space="preserve">Producteurs (marché libre)</t>
  </si>
  <si>
    <t xml:space="preserve">Marché libre, économie dollarisée</t>
  </si>
  <si>
    <t xml:space="preserve">Anecacao ; MAG Équateur</t>
  </si>
  <si>
    <t xml:space="preserve">https://anecacao.com/</t>
  </si>
  <si>
    <t xml:space="preserve">Production en hausse malgré la baisse des prix (productivité CCN-51)</t>
  </si>
  <si>
    <t xml:space="preserve">CAC-CI-24</t>
  </si>
  <si>
    <t xml:space="preserve">hausse</t>
  </si>
  <si>
    <t xml:space="preserve">Envolée 2023-25</t>
  </si>
  <si>
    <t xml:space="preserve">Hausse captée par les acheteurs à terme (ventes 2023-24 conclues avant l'envolée) puis CCC/État</t>
  </si>
  <si>
    <t xml:space="preserve">Ventes anticipées</t>
  </si>
  <si>
    <t xml:space="preserve">CCC ; ICCO</t>
  </si>
  <si>
    <t xml:space="preserve">Prix principal à prix principal ; part producteur tombée à ~40 % du prix mondial</t>
  </si>
  <si>
    <t xml:space="preserve">CAC-GH-24</t>
  </si>
  <si>
    <t xml:space="preserve">Cocobod (contrats reportés de 2023/24, pertes &gt; 1 Md USD)</t>
  </si>
  <si>
    <t xml:space="preserve">Ventes à terme</t>
  </si>
  <si>
    <t xml:space="preserve">Cocobod ; Ministère des Finances du Ghana</t>
  </si>
  <si>
    <t xml:space="preserve">https://www.isd.gov.gh/?p=8702</t>
  </si>
  <si>
    <t xml:space="preserve">Production 2023/24 de 432 kt vs 800 kt prévues : contrats non honorés</t>
  </si>
  <si>
    <t xml:space="preserve">CAC-CM-24</t>
  </si>
  <si>
    <t xml:space="preserve">Producteurs bénéficiaires (marché libre)</t>
  </si>
  <si>
    <t xml:space="preserve">Marché libre</t>
  </si>
  <si>
    <t xml:space="preserve">ONCC Cameroun</t>
  </si>
  <si>
    <t xml:space="preserve">Prix bord champ ayant dépassé 5 000 FCFA/kg au pic</t>
  </si>
  <si>
    <t xml:space="preserve">CAC-CI-26</t>
  </si>
  <si>
    <t xml:space="preserve">Retournement 2025-26</t>
  </si>
  <si>
    <t xml:space="preserve">2026-03</t>
  </si>
  <si>
    <t xml:space="preserve">en cours (1 200 FCFA reconduit pour 2026/27)</t>
  </si>
  <si>
    <t xml:space="preserve">CCC/État (rachat d'invendus ~200 kt au prix garanti), puis producteurs (-57 %)</t>
  </si>
  <si>
    <t xml:space="preserve">Ventes anticipées + prix garanti + rachat public</t>
  </si>
  <si>
    <t xml:space="preserve">A (prix) / C (coût)</t>
  </si>
  <si>
    <t xml:space="preserve">Gouvernement CI ; Jeune Afrique ; AllAfrica (invendus)</t>
  </si>
  <si>
    <t xml:space="preserve">https://www.jeuneafrique.com/1771206/economie-entreprises/crise-du-cacao-la-cote-divoire-reduit-de-pres-de-60-le-prix-dachat-aux-producteurs/ ; https://www.gouv.ci/actualite/campagne-principale-2026-2027-le-prix-bord-champ-du-cacao-est-fixe-a-1200-fcfa-le-kg-le-prix-du-cafe-setablit-a-1300-fcfa-le-kg-8771 ; https://fr.allafrica.com/stories/202602280103.html</t>
  </si>
  <si>
    <t xml:space="preserve">Coût = estimation : 200 kt x (2 800 - ~1 600 FCFA/kg de valeur de revente). Prix relevé à contre-courant en oct. 2025</t>
  </si>
  <si>
    <t xml:space="preserve">CAC-GH-26</t>
  </si>
  <si>
    <t xml:space="preserve">2025-10</t>
  </si>
  <si>
    <t xml:space="preserve">2026-02</t>
  </si>
  <si>
    <t xml:space="preserve">42 400 GHS/t en sept. 2026</t>
  </si>
  <si>
    <t xml:space="preserve">Cocobod (défaut sur facilité relais 70 M USD ; dette héritée 5,8 Mds GHS) puis producteurs</t>
  </si>
  <si>
    <t xml:space="preserve">Prix fixé ; Act 1182 (2026) : &gt;= 70 % FOB</t>
  </si>
  <si>
    <t xml:space="preserve">A</t>
  </si>
  <si>
    <t xml:space="preserve">Gouvernement du Ghana (ISD) ; GNA</t>
  </si>
  <si>
    <t xml:space="preserve">https://www.isd.gov.gh/?p=8702 ; https://gna.org.gh/2026/09/ghana-opens-2026-27-cocoa-season-with-producer-price-of-ghc-42400-per-tonne/</t>
  </si>
  <si>
    <t xml:space="preserve">Nouveau prix = 90 % du FOB brut à 4 200 USD/t</t>
  </si>
  <si>
    <t xml:space="preserve">CAF-CI-24</t>
  </si>
  <si>
    <t xml:space="preserve">Café</t>
  </si>
  <si>
    <t xml:space="preserve">Envolée robusta 2023-25</t>
  </si>
  <si>
    <t xml:space="preserve">CCC / acheteurs à terme</t>
  </si>
  <si>
    <t xml:space="preserve">Prix minimum garanti (campagne unique)</t>
  </si>
  <si>
    <t xml:space="preserve">B/C</t>
  </si>
  <si>
    <t xml:space="preserve">CCC ; Banque mondiale (robusta)</t>
  </si>
  <si>
    <t xml:space="preserve">https://www.fratmat.info/article/2637237/economie/cafe-cacao/agriculture-les-prix-bord-champs-du-cafe-et-du-cacao-respectivement-fixes-a-1700-fcfa-et-2800-fcfa-pour-la-campagne-2025-2026</t>
  </si>
  <si>
    <t xml:space="preserve">Volumes ivoiriens marginaux et en déclin structurel</t>
  </si>
  <si>
    <t xml:space="preserve">CAF-CI-26</t>
  </si>
  <si>
    <t xml:space="preserve">Repli robusta 2025-26</t>
  </si>
  <si>
    <t xml:space="preserve">2026-07</t>
  </si>
  <si>
    <t xml:space="preserve">en cours</t>
  </si>
  <si>
    <t xml:space="preserve">Producteurs (à la campagne suivante)</t>
  </si>
  <si>
    <t xml:space="preserve">Prix minimum garanti</t>
  </si>
  <si>
    <t xml:space="preserve">A (prix prod.) / C (prix int.)</t>
  </si>
  <si>
    <t xml:space="preserve">Gouvernement CI</t>
  </si>
  <si>
    <t xml:space="preserve">https://www.gouv.ci/actualite/campagne-principale-2026-2027-le-prix-bord-champ-du-cacao-est-fixe-a-1200-fcfa-le-kg-le-prix-du-cafe-setablit-a-1300-fcfa-le-kg-8771</t>
  </si>
  <si>
    <t xml:space="preserve">CAF-VN-24</t>
  </si>
  <si>
    <t xml:space="preserve">Vietnam</t>
  </si>
  <si>
    <t xml:space="preserve">VND</t>
  </si>
  <si>
    <t xml:space="preserve">Producteurs bénéficiaires</t>
  </si>
  <si>
    <t xml:space="preserve">Marché libre ; diversification (durian, poivre)</t>
  </si>
  <si>
    <t xml:space="preserve">USDA FAS (GAIN Vietnam Coffee Annual)</t>
  </si>
  <si>
    <t xml:space="preserve">https://fas.usda.gov/data</t>
  </si>
  <si>
    <t xml:space="preserve">COT-CI-20</t>
  </si>
  <si>
    <t xml:space="preserve">Choc COVID 2020</t>
  </si>
  <si>
    <t xml:space="preserve">2020-01</t>
  </si>
  <si>
    <t xml:space="preserve">2020-04</t>
  </si>
  <si>
    <t xml:space="preserve">sans objet (prix maintenu)</t>
  </si>
  <si>
    <t xml:space="preserve">État (soutien budgétaire) et sociétés cotonnières</t>
  </si>
  <si>
    <t xml:space="preserve">Prix administré + soutien public</t>
  </si>
  <si>
    <t xml:space="preserve">CCA ; ICAC</t>
  </si>
  <si>
    <t xml:space="preserve">Montant du soutien 2020/21 à confirmer auprès du Ministère du Budget</t>
  </si>
  <si>
    <t xml:space="preserve">COT-ML-20</t>
  </si>
  <si>
    <t xml:space="preserve">Mali</t>
  </si>
  <si>
    <t xml:space="preserve">280 FCFA et ~760 kt en 2021/22</t>
  </si>
  <si>
    <t xml:space="preserve">Producteurs (boycott des semis)</t>
  </si>
  <si>
    <t xml:space="preserve">Prix administré CMDT</t>
  </si>
  <si>
    <t xml:space="preserve">CMDT ; ICAC ; USDA</t>
  </si>
  <si>
    <t xml:space="preserve">https://www.icac.org/</t>
  </si>
  <si>
    <t xml:space="preserve">Baisse annoncée avant semis : réaction d'offre extrême (-80 %)</t>
  </si>
  <si>
    <t xml:space="preserve">COT-BF-20</t>
  </si>
  <si>
    <t xml:space="preserve">Burkina Faso</t>
  </si>
  <si>
    <t xml:space="preserve">à documenter (AICB)</t>
  </si>
  <si>
    <t xml:space="preserve">Fonds de lissage AICB + État</t>
  </si>
  <si>
    <t xml:space="preserve">Fonds de lissage (prix plancher + moyenne mobile)</t>
  </si>
  <si>
    <t xml:space="preserve">AICB ; Kaminski et al. (IFPRI)</t>
  </si>
  <si>
    <t xml:space="preserve">https://www.ifpri.org/</t>
  </si>
  <si>
    <t xml:space="preserve">COT-CI-22</t>
  </si>
  <si>
    <t xml:space="preserve">Envolée 2021-22</t>
  </si>
  <si>
    <t xml:space="preserve">Sociétés cotonnières (marge) ; pas de réserve constituée</t>
  </si>
  <si>
    <t xml:space="preserve">Prix administré</t>
  </si>
  <si>
    <t xml:space="preserve">Hausse quasi non transmise et non mise en réserve</t>
  </si>
  <si>
    <t xml:space="preserve">ANA-CI-19</t>
  </si>
  <si>
    <t xml:space="preserve">Effondrement 2018-19</t>
  </si>
  <si>
    <t xml:space="preserve">2018-S1</t>
  </si>
  <si>
    <t xml:space="preserve">prix de marché &gt; 550 FCFA seulement fin 2024</t>
  </si>
  <si>
    <t xml:space="preserve">Producteurs (plancher non respecté)</t>
  </si>
  <si>
    <t xml:space="preserve">Prix plancher sans fonds</t>
  </si>
  <si>
    <t xml:space="preserve">CCA ; RONGEAD/N'kalô</t>
  </si>
  <si>
    <t xml:space="preserve">Prix effectivement payés ; plancher officiel 500 -&gt; 375</t>
  </si>
  <si>
    <t xml:space="preserve">ANA-TZ-19</t>
  </si>
  <si>
    <t xml:space="preserve">Tanzanie</t>
  </si>
  <si>
    <t xml:space="preserve">TZS (milliers)</t>
  </si>
  <si>
    <t xml:space="preserve">à documenter (CBT)</t>
  </si>
  <si>
    <t xml:space="preserve">Producteurs ; intervention publique coûteuse en 2018 (achat par l'État)</t>
  </si>
  <si>
    <t xml:space="preserve">Récépissés d'entrepôt + enchères</t>
  </si>
  <si>
    <t xml:space="preserve">Cashewnut Board of Tanzania</t>
  </si>
  <si>
    <t xml:space="preserve">https://www.cashewnut.go.tz/</t>
  </si>
  <si>
    <t xml:space="preserve">Enchères : transmission rapide mais transparente</t>
  </si>
  <si>
    <t xml:space="preserve">ANA-CI-24</t>
  </si>
  <si>
    <t xml:space="preserve">Rebond 2024</t>
  </si>
  <si>
    <t xml:space="preserve">2024-T1</t>
  </si>
  <si>
    <t xml:space="preserve">2024-T4</t>
  </si>
  <si>
    <t xml:space="preserve">Marché (plancher non contraignant à la hausse)</t>
  </si>
  <si>
    <t xml:space="preserve">CCA ; presse spécialisée</t>
  </si>
  <si>
    <t xml:space="preserve">Plancher 275 ; prix de marché 500-700</t>
  </si>
  <si>
    <t xml:space="preserve">HEV-CI-16</t>
  </si>
  <si>
    <t xml:space="preserve">Super-cycle baissier 2011-16</t>
  </si>
  <si>
    <t xml:space="preserve">non récupéré (493 FCFA en juil. 2026)</t>
  </si>
  <si>
    <t xml:space="preserve">Producteurs ; amortisseur de change (dépréciation EUR/USD)</t>
  </si>
  <si>
    <t xml:space="preserve">Prix mensuel indexé SICOM</t>
  </si>
  <si>
    <t xml:space="preserve">C (prix prod.) / B (int.)</t>
  </si>
  <si>
    <t xml:space="preserve">APROMAC ; Banque mondiale</t>
  </si>
  <si>
    <t xml:space="preserve">Volumes en forte hausse (jeunes plantations) : recette moins touchée que le prix</t>
  </si>
  <si>
    <t xml:space="preserve">HEV-TH-16</t>
  </si>
  <si>
    <t xml:space="preserve">Thaïlande</t>
  </si>
  <si>
    <t xml:space="preserve">THB</t>
  </si>
  <si>
    <t xml:space="preserve">non récupéré</t>
  </si>
  <si>
    <t xml:space="preserve">Producteurs puis État (achats publics 2012-13, aides à la surface, garantie de revenu 2019-22)</t>
  </si>
  <si>
    <t xml:space="preserve">Rubber Authority of Thailand ; cess à l'export</t>
  </si>
  <si>
    <t xml:space="preserve">Rubber Authority of Thailand ; IRSG</t>
  </si>
  <si>
    <t xml:space="preserve">https://www.raot.co.th/</t>
  </si>
  <si>
    <t xml:space="preserve">HEV-CI-26</t>
  </si>
  <si>
    <t xml:space="preserve">Remontée 2026</t>
  </si>
  <si>
    <t xml:space="preserve">2026-04</t>
  </si>
  <si>
    <t xml:space="preserve">Nouveau mécanisme (66 % du prix net)</t>
  </si>
  <si>
    <t xml:space="preserve">A (prix prod.) / C (int.)</t>
  </si>
  <si>
    <t xml:space="preserve">Sika Finance ; AIP</t>
  </si>
  <si>
    <t xml:space="preserve">https://www.sikafinance.com/marches/cote-d-ivoire-fin-de-la-decote-et-meilleure-remuneration-des-planteurs-la-campagne-heveicole-2026-demarre-sous-de-bons-auspices_62460</t>
  </si>
  <si>
    <t xml:space="preserve">Effet combiné hausse des cours + hausse de la part producteur</t>
  </si>
  <si>
    <t xml:space="preserve">PAL-CI-22</t>
  </si>
  <si>
    <t xml:space="preserve">Palmier à huile</t>
  </si>
  <si>
    <t xml:space="preserve">Retournement 2022</t>
  </si>
  <si>
    <t xml:space="preserve">2022-03</t>
  </si>
  <si>
    <t xml:space="preserve">2022-10</t>
  </si>
  <si>
    <t xml:space="preserve">à documenter (AIPH/CHPC)</t>
  </si>
  <si>
    <t xml:space="preserve">Producteurs de régimes et huileries ; marché régional partiellement protégé (TEC UEMOA)</t>
  </si>
  <si>
    <t xml:space="preserve">Prix mensuel des régimes indexé sur l'huile brute</t>
  </si>
  <si>
    <t xml:space="preserve">AIPH ; Banque mondiale</t>
  </si>
  <si>
    <t xml:space="preserve">Prix régimes (FCFA/kg) à valider auprès de l'AIPH/CHPC</t>
  </si>
  <si>
    <t xml:space="preserve">PAL-ID-22</t>
  </si>
  <si>
    <t xml:space="preserve">Indonésie</t>
  </si>
  <si>
    <t xml:space="preserve">2022-07</t>
  </si>
  <si>
    <t xml:space="preserve">IDR</t>
  </si>
  <si>
    <t xml:space="preserve">partielle après levée de l'interdiction et du prélèvement</t>
  </si>
  <si>
    <t xml:space="preserve">Petits planteurs (interdiction d'exporter avr.-mai 2022)</t>
  </si>
  <si>
    <t xml:space="preserve">Fonds BPDPKS (prélèvement export progressif)</t>
  </si>
  <si>
    <t xml:space="preserve">BPDPKS ; USDA</t>
  </si>
  <si>
    <t xml:space="preserve">https://www.bpdp.or.id/</t>
  </si>
  <si>
    <t xml:space="preserve">Choc amplifié par une mesure commerciale nationale</t>
  </si>
  <si>
    <t xml:space="preserve">RIZ-CI-23</t>
  </si>
  <si>
    <t xml:space="preserve">Riz (importé)</t>
  </si>
  <si>
    <t xml:space="preserve">Restrictions indiennes 2023</t>
  </si>
  <si>
    <t xml:space="preserve">2023-06</t>
  </si>
  <si>
    <t xml:space="preserve">2024-01</t>
  </si>
  <si>
    <t xml:space="preserve">Importateurs et État (plafonnement, mesures fiscales)</t>
  </si>
  <si>
    <t xml:space="preserve">Prix plafonnés ; régime fiscal à l'importation</t>
  </si>
  <si>
    <t xml:space="preserve">FAO GIEWS FPMA ; Conseil national de lutte contre la vie chère</t>
  </si>
  <si>
    <t xml:space="preserve">https://fpma.fao.org/</t>
  </si>
  <si>
    <t xml:space="preserve">Prix consommateur (riz brisé importé) ; Q = importations</t>
  </si>
  <si>
    <t xml:space="preserve">periode</t>
  </si>
  <si>
    <t xml:space="preserve">n_obs</t>
  </si>
  <si>
    <t xml:space="preserve">I1_CV_prix_int</t>
  </si>
  <si>
    <t xml:space="preserve">I2_CV_prix_prod</t>
  </si>
  <si>
    <t xml:space="preserve">CV_recette</t>
  </si>
  <si>
    <t xml:space="preserve">I3_beta_baisse_annuel</t>
  </si>
  <si>
    <t xml:space="preserve">I4_beta_hausse_annuel</t>
  </si>
  <si>
    <t xml:space="preserve">I3b_beta_baisse_episodes</t>
  </si>
  <si>
    <t xml:space="preserve">I4b_beta_hausse_episodes</t>
  </si>
  <si>
    <t xml:space="preserve">I5_amortissement_baisses</t>
  </si>
  <si>
    <t xml:space="preserve">I6_drawdown_max_prod</t>
  </si>
  <si>
    <t xml:space="preserve">I7_baisse_max_recette</t>
  </si>
  <si>
    <t xml:space="preserve">part_variance_recette_due_Q</t>
  </si>
  <si>
    <t xml:space="preserve">correl_dlnP_dlnQ</t>
  </si>
  <si>
    <t xml:space="preserve">I8_recup_max_mois</t>
  </si>
  <si>
    <t xml:space="preserve">I9_cout_observe_mds</t>
  </si>
  <si>
    <t xml:space="preserve">nb_chocs_int_15pct</t>
  </si>
  <si>
    <t xml:space="preserve">nb_chocs_int_20pct</t>
  </si>
  <si>
    <t xml:space="preserve">Transmission par épisode (toutes filières/pays) – lecture directe de l'onglet EPISODES</t>
  </si>
  <si>
    <t xml:space="preserve">nb_episodes</t>
  </si>
  <si>
    <t xml:space="preserve">beta_moyen</t>
  </si>
  <si>
    <t xml:space="preserve">choc_int_moyen</t>
  </si>
  <si>
    <t xml:space="preserve">choc_prod_moyen</t>
  </si>
  <si>
    <t xml:space="preserve">p0</t>
  </si>
  <si>
    <t xml:space="preserve">unite</t>
  </si>
  <si>
    <t xml:space="preserve">q0_kt</t>
  </si>
  <si>
    <t xml:space="preserve">beta1</t>
  </si>
  <si>
    <t xml:space="preserve">beta2</t>
  </si>
  <si>
    <t xml:space="preserve">part_publique</t>
  </si>
  <si>
    <t xml:space="preserve">capacite_mds</t>
  </si>
  <si>
    <t xml:space="preserve">protection</t>
  </si>
  <si>
    <t xml:space="preserve">justification</t>
  </si>
  <si>
    <t xml:space="preserve">valeur_filiere_mds</t>
  </si>
  <si>
    <t xml:space="preserve">FCFA/kg</t>
  </si>
  <si>
    <t xml:space="preserve">Prix garanti + ventes anticipées (~70 % de la récolte vendue à terme)</t>
  </si>
  <si>
    <t xml:space="preserve">beta1 observé 2016/17 et 2025/26 (~0,2 sur le prix moyen de campagne) ; beta2 = moyenne 2017/18 (1,09) et 2026/27 (0,86) ; part publique = récolte non vendue à terme ; FRP non publié -&gt; capacité 0 par prudence</t>
  </si>
  <si>
    <t xml:space="preserve">Prix garanti, une seule campagne/an</t>
  </si>
  <si>
    <t xml:space="preserve">Même architecture que le cacao, sans campagne intermédiaire</t>
  </si>
  <si>
    <t xml:space="preserve">Prix fixé avant semis + subventions intrants (25,3 Mds en 2025/26)</t>
  </si>
  <si>
    <t xml:space="preserve">Prix intangible en cours de campagne ; beta2 = ajustement partiel (pas de fonds de lissage) ; enveloppe 2025/26 déjà affectée aux intrants ; part publique 0,5 = partage supposé État / sociétés cotonnières (C)</t>
  </si>
  <si>
    <t xml:space="preserve">Prix plancher sans fonds ni obligation d'achat</t>
  </si>
  <si>
    <t xml:space="preserve">2018-19 : transmission ~1 sur les prix réellement payés</t>
  </si>
  <si>
    <t xml:space="preserve">FCFA/kg humide</t>
  </si>
  <si>
    <t xml:space="preserve">Indexation mensuelle (66 % du prix net de référence)</t>
  </si>
  <si>
    <t xml:space="preserve">Formule : le pourcentage de baisse est transmis en un mois ; Q0 = ~1 600 kt sec / teneur en caoutchouc sec ~0,6 = ~2 700 kt humide (C)</t>
  </si>
  <si>
    <t xml:space="preserve">FCFA/kg régime</t>
  </si>
  <si>
    <t xml:space="preserve">Prix des régimes indexé ; marché régional protégé</t>
  </si>
  <si>
    <t xml:space="preserve">2022 : transmission ~0,7 (estimation C)</t>
  </si>
  <si>
    <t xml:space="preserve">Hypothèses : beta1 = transmission pendant la campagne en cours ; beta2 = transmission à la campagne suivante ; part_publique = part de la charge d'amortissement susceptible de revenir à l'État/régulateur ; capacité = réserves mobilisables publiées (0 si non publiées).</t>
  </si>
  <si>
    <t xml:space="preserve">scenario</t>
  </si>
  <si>
    <t xml:space="preserve">libelle</t>
  </si>
  <si>
    <t xml:space="preserve">dQ</t>
  </si>
  <si>
    <t xml:space="preserve">deux_campagnes</t>
  </si>
  <si>
    <t xml:space="preserve">dP_prod_c1</t>
  </si>
  <si>
    <t xml:space="preserve">dP_prod_c2</t>
  </si>
  <si>
    <t xml:space="preserve">dRecette_c1</t>
  </si>
  <si>
    <t xml:space="preserve">perte_recette_c1_mds</t>
  </si>
  <si>
    <t xml:space="preserve">perte_recette_c2_mds</t>
  </si>
  <si>
    <t xml:space="preserve">perte_recette_cumulee_mds</t>
  </si>
  <si>
    <t xml:space="preserve">charge_absorbee_hors_prod_mds</t>
  </si>
  <si>
    <t xml:space="preserve">besoin_public_mds</t>
  </si>
  <si>
    <t xml:space="preserve">deficit_financement_mds</t>
  </si>
  <si>
    <t xml:space="preserve">besoin_public_FCFA_kg</t>
  </si>
  <si>
    <t xml:space="preserve">besoin_public_pct_valeur</t>
  </si>
  <si>
    <t xml:space="preserve">cout_protection_totale_c1_mds</t>
  </si>
  <si>
    <t xml:space="preserve">cout_garantie_recette_90_mds</t>
  </si>
  <si>
    <t xml:space="preserve">S1</t>
  </si>
  <si>
    <t xml:space="preserve">Prix int. -10 %</t>
  </si>
  <si>
    <t xml:space="preserve">S2</t>
  </si>
  <si>
    <t xml:space="preserve">Prix int. -20 %</t>
  </si>
  <si>
    <t xml:space="preserve">S3</t>
  </si>
  <si>
    <t xml:space="preserve">Prix int. -30 %</t>
  </si>
  <si>
    <t xml:space="preserve">S4</t>
  </si>
  <si>
    <t xml:space="preserve">Prix -30 % et production -10 %</t>
  </si>
  <si>
    <t xml:space="preserve">S5</t>
  </si>
  <si>
    <t xml:space="preserve">Prix -30 % pendant 2 campagnes</t>
  </si>
  <si>
    <t xml:space="preserve">categorie</t>
  </si>
  <si>
    <t xml:space="preserve">resultat</t>
  </si>
  <si>
    <t xml:space="preserve">cout_limite</t>
  </si>
  <si>
    <t xml:space="preserve">enseignement</t>
  </si>
  <si>
    <t xml:space="preserve">transposable</t>
  </si>
  <si>
    <t xml:space="preserve">A+D</t>
  </si>
  <si>
    <t xml:space="preserve">Prix fixé par Cocobod, ventes à terme, prêts syndiqués ; Act 1182 (2026) : &gt;= 70 % du FOB</t>
  </si>
  <si>
    <t xml:space="preserve">Prix nominal intact en 2016-18 (transmission 0)</t>
  </si>
  <si>
    <t xml:space="preserve">Dette héritée 5,8 Mds GHS ; défaut sur facilité relais 70 M USD ; contrats 2023/24 reportés ; coupe de -29 % en fév. 2026</t>
  </si>
  <si>
    <t xml:space="preserve">Stabiliser par la dette n'est pas soutenable ; une règle de partage explicite (% FOB) rend les ajustements prévisibles</t>
  </si>
  <si>
    <t xml:space="preserve">Partiel (règle de partage)</t>
  </si>
  <si>
    <t xml:space="preserve">A/B</t>
  </si>
  <si>
    <t xml:space="preserve">isd.gov.gh ; gna.org.gh</t>
  </si>
  <si>
    <t xml:space="preserve">E</t>
  </si>
  <si>
    <t xml:space="preserve">Marché libre, économie dollarisée, différenciation qualité (fino de aroma, CCN-51)</t>
  </si>
  <si>
    <t xml:space="preserve">Producteurs ~85-90 % du FOB ; production presque doublée depuis 2016</t>
  </si>
  <si>
    <t xml:space="preserve">Aucune protection contre les baisses</t>
  </si>
  <si>
    <t xml:space="preserve">Transmettre les hausses finance l'investissement et la productivité</t>
  </si>
  <si>
    <t xml:space="preserve">Partiel (transmission des hausses)</t>
  </si>
  <si>
    <t xml:space="preserve">Anecacao</t>
  </si>
  <si>
    <t xml:space="preserve">Fonds de lissage AICB : prix plancher + ajustement selon moyenne mobile des cours ; abondé en bonnes années</t>
  </si>
  <si>
    <t xml:space="preserve">Choc 2020 amorti (transmission estimée ~0,3)</t>
  </si>
  <si>
    <t xml:space="preserve">Épuisé lors de chocs longs ; recapitalisations par bailleurs</t>
  </si>
  <si>
    <t xml:space="preserve">Règle automatique de dotation/décaissement, plafonnée</t>
  </si>
  <si>
    <t xml:space="preserve">Oui (coton, café)</t>
  </si>
  <si>
    <t xml:space="preserve">Kaminski, Headey &amp; Bernard (IFPRI 2011)</t>
  </si>
  <si>
    <t xml:space="preserve">Prix administré par la CMDT ; baisse brutale avant semis 2020 (275 -&gt; 200 FCFA)</t>
  </si>
  <si>
    <t xml:space="preserve">Production -80 % (717 -&gt; 147 kt) ; revenu effondré</t>
  </si>
  <si>
    <t xml:space="preserve">Rattrapage en 2021/22 seulement</t>
  </si>
  <si>
    <t xml:space="preserve">Un ajustement brutal annoncé avant semis détruit la recette : lisser et pré-annoncer la règle</t>
  </si>
  <si>
    <t xml:space="preserve">Contre-exemple</t>
  </si>
  <si>
    <t xml:space="preserve">CMDT ; USDA</t>
  </si>
  <si>
    <t xml:space="preserve">Brésil</t>
  </si>
  <si>
    <t xml:space="preserve">Coton, café</t>
  </si>
  <si>
    <t xml:space="preserve">A+B+F</t>
  </si>
  <si>
    <t xml:space="preserve">PGPM/PEPRO (paiement de l'écart au prix minimum par enchères), FUNCAFÉ (crédit), marchés à terme B3, assurance PSR subventionnée</t>
  </si>
  <si>
    <t xml:space="preserve">Revenu stabilisé sans figer le prix de marché</t>
  </si>
  <si>
    <t xml:space="preserve">Coût budgétaire annuel voté ; nécessite marchés financiers et données de rendement</t>
  </si>
  <si>
    <t xml:space="preserve">Paiements contracycliques ciblés et budgétés ex ante</t>
  </si>
  <si>
    <t xml:space="preserve">Partiel (à moyen terme)</t>
  </si>
  <si>
    <t xml:space="preserve">CONAB ; MAPA</t>
  </si>
  <si>
    <t xml:space="preserve">Malaisie</t>
  </si>
  <si>
    <t xml:space="preserve">Incitation à la production (IPG) : versement automatique quand le prix tombe sous un seuil</t>
  </si>
  <si>
    <t xml:space="preserve">Plancher de revenu pour petits planteurs</t>
  </si>
  <si>
    <t xml:space="preserve">Financé par le budget ; seuil à ajuster</t>
  </si>
  <si>
    <t xml:space="preserve">Déclencheur automatique et plafonné par producteur</t>
  </si>
  <si>
    <t xml:space="preserve">Oui (hévéa)</t>
  </si>
  <si>
    <t xml:space="preserve">RISDA / LGM</t>
  </si>
  <si>
    <t xml:space="preserve">B+D</t>
  </si>
  <si>
    <t xml:space="preserve">Achats publics (2012-13), aides à la surface, garantie de revenu (2019-22) plafonnée par exploitation ; cess export</t>
  </si>
  <si>
    <t xml:space="preserve">Revenu plancher pour petits planteurs</t>
  </si>
  <si>
    <t xml:space="preserve">Coût élevé, stocks publics invendables (2012-13)</t>
  </si>
  <si>
    <t xml:space="preserve">Plafonner la garantie ; éviter le stockage public</t>
  </si>
  <si>
    <t xml:space="preserve">Partiel</t>
  </si>
  <si>
    <t xml:space="preserve">Rubber Authority of Thailand</t>
  </si>
  <si>
    <t xml:space="preserve">C+E</t>
  </si>
  <si>
    <t xml:space="preserve">Fonds BPDPKS financé par un prélèvement export progressif (replantation, biodiesel)</t>
  </si>
  <si>
    <t xml:space="preserve">Fonds de grande taille ; soutien de la demande intérieure</t>
  </si>
  <si>
    <t xml:space="preserve">Interdiction d'exporter en 2022 : prix des régimes -55 %</t>
  </si>
  <si>
    <t xml:space="preserve">Le prélèvement progressif constitue des réserves en haut de cycle ; éviter les mesures commerciales brutales</t>
  </si>
  <si>
    <t xml:space="preserve">Oui (prélèvement progressif)</t>
  </si>
  <si>
    <t xml:space="preserve">F</t>
  </si>
  <si>
    <t xml:space="preserve">Récépissés d'entrepôt + enchères publiques</t>
  </si>
  <si>
    <t xml:space="preserve">Prix transparents, financement de stockage</t>
  </si>
  <si>
    <t xml:space="preserve">Intervention 2018 (achat public) coûteuse</t>
  </si>
  <si>
    <t xml:space="preserve">Outil de crédit-stockage adapté à l'anacarde</t>
  </si>
  <si>
    <t xml:space="preserve">Oui (anacarde)</t>
  </si>
  <si>
    <t xml:space="preserve">Coulter &amp; Onumah (2002) ; CBT</t>
  </si>
  <si>
    <t xml:space="preserve">Café, anacarde</t>
  </si>
  <si>
    <t xml:space="preserve">Transformation, irrigation, diversification des cultures (durian, poivre)</t>
  </si>
  <si>
    <t xml:space="preserve">Volumes stables malgré transmission totale</t>
  </si>
  <si>
    <t xml:space="preserve">Pas de protection prix</t>
  </si>
  <si>
    <t xml:space="preserve">La productivité et la diversification sont des amortisseurs de revenu</t>
  </si>
  <si>
    <t xml:space="preserve">Oui (long terme)</t>
  </si>
  <si>
    <t xml:space="preserve">USDA FAS</t>
  </si>
  <si>
    <t xml:space="preserve">reference</t>
  </si>
  <si>
    <t xml:space="preserve">instrument</t>
  </si>
  <si>
    <t xml:space="preserve">limites</t>
  </si>
  <si>
    <t xml:space="preserve">enseignement_ci</t>
  </si>
  <si>
    <t xml:space="preserve">Newbery &amp; Stiglitz (1981), The Theory of Commodity Price Stabilization, Oxford UP</t>
  </si>
  <si>
    <t xml:space="preserve">Stabilisation des prix</t>
  </si>
  <si>
    <t xml:space="preserve">Théorie</t>
  </si>
  <si>
    <t xml:space="preserve">Gains de bien-être de la stabilisation des prix faibles ; c'est l'instabilité du revenu qui compte</t>
  </si>
  <si>
    <t xml:space="preserve">Hypothèses de marchés complets</t>
  </si>
  <si>
    <t xml:space="preserve">Cibler la recette/le revenu plutôt que le prix</t>
  </si>
  <si>
    <t xml:space="preserve">Deaton &amp; Laroque (1992), Review of Economic Studies 59(1)</t>
  </si>
  <si>
    <t xml:space="preserve">Stocks régulateurs</t>
  </si>
  <si>
    <t xml:space="preserve">Monde</t>
  </si>
  <si>
    <t xml:space="preserve">Les prix des matières premières ont de longues périodes de calme et des pics : les stocks s'épuisent</t>
  </si>
  <si>
    <t xml:space="preserve">Modèle de stockage compétitif</t>
  </si>
  <si>
    <t xml:space="preserve">Un fonds doit être dimensionné pour des chocs longs</t>
  </si>
  <si>
    <t xml:space="preserve">Cashin, Liang &amp; McDermott (2000), IMF Staff Papers 47(2)</t>
  </si>
  <si>
    <t xml:space="preserve">Fonds de stabilisation</t>
  </si>
  <si>
    <t xml:space="preserve">Les chocs de prix sont très persistants (plusieurs années) pour de nombreuses matières premières</t>
  </si>
  <si>
    <t xml:space="preserve">Échantillon 1957-98</t>
  </si>
  <si>
    <t xml:space="preserve">Une règle de décaissement doit supposer que le choc peut durer &gt;= 2 campagnes</t>
  </si>
  <si>
    <t xml:space="preserve">Deaton (1999), Journal of Economic Perspectives 13(3)</t>
  </si>
  <si>
    <t xml:space="preserve">Offices de commercialisation</t>
  </si>
  <si>
    <t xml:space="preserve">Afrique</t>
  </si>
  <si>
    <t xml:space="preserve">Les offices ont souvent capté les hausses et transmis les baisses</t>
  </si>
  <si>
    <t xml:space="preserve">Analyse historique</t>
  </si>
  <si>
    <t xml:space="preserve">Règle de partage transparente des hausses</t>
  </si>
  <si>
    <t xml:space="preserve">Varangis &amp; Larson (1996), WB Policy Research WP 1667</t>
  </si>
  <si>
    <t xml:space="preserve">Couverture (futures/options)</t>
  </si>
  <si>
    <t xml:space="preserve">Pays en développement</t>
  </si>
  <si>
    <t xml:space="preserve">Les instruments de marché sont moins coûteux que les fonds pour les risques de court terme</t>
  </si>
  <si>
    <t xml:space="preserve">Ne couvrent pas les chocs pluriannuels</t>
  </si>
  <si>
    <t xml:space="preserve">Options put sur une partie des ventes anticipées</t>
  </si>
  <si>
    <t xml:space="preserve">Borensztein, Jeanne &amp; Sandri (2013), Journal of Development Economics 101</t>
  </si>
  <si>
    <t xml:space="preserve">Couverture macro</t>
  </si>
  <si>
    <t xml:space="preserve">Exportateurs de matières premières</t>
  </si>
  <si>
    <t xml:space="preserve">La couverture réduit fortement le besoin de réserves de précaution</t>
  </si>
  <si>
    <t xml:space="preserve">Coût des primes, risque politique en cas de perte</t>
  </si>
  <si>
    <t xml:space="preserve">Complément aux ventes anticipées</t>
  </si>
  <si>
    <t xml:space="preserve">Gilbert (1996), World Development 24(1)</t>
  </si>
  <si>
    <t xml:space="preserve">Accords internationaux de produits</t>
  </si>
  <si>
    <t xml:space="preserve">Échec des accords de stabilisation (stocks, quotas)</t>
  </si>
  <si>
    <t xml:space="preserve">—</t>
  </si>
  <si>
    <t xml:space="preserve">Éviter les mécanismes de soutien des cours mondiaux (ex. ITRC hévéa)</t>
  </si>
  <si>
    <t xml:space="preserve">Baffes &amp; Gardner (2003), Policy Reform 6(3)</t>
  </si>
  <si>
    <t xml:space="preserve">Transmission des prix</t>
  </si>
  <si>
    <t xml:space="preserve">10 pays</t>
  </si>
  <si>
    <t xml:space="preserve">Transmission faible et lente sous régimes administrés</t>
  </si>
  <si>
    <t xml:space="preserve">Données annuelles</t>
  </si>
  <si>
    <t xml:space="preserve">Mesurer la transmission séparément par régime</t>
  </si>
  <si>
    <t xml:space="preserve">Meyer &amp; von Cramon-Taubadel (2004), Journal of Agricultural Economics 55(3)</t>
  </si>
  <si>
    <t xml:space="preserve">Transmission asymétrique</t>
  </si>
  <si>
    <t xml:space="preserve">Revue</t>
  </si>
  <si>
    <t xml:space="preserve">L'asymétrie est fréquente ; méthodes ECM/seuils</t>
  </si>
  <si>
    <t xml:space="preserve">Sensibilité aux méthodes</t>
  </si>
  <si>
    <t xml:space="preserve">Tester beta hausse vs beta baisse</t>
  </si>
  <si>
    <t xml:space="preserve">Shin, Yu &amp; Greenwood-Nimmo (2014), in Festschrift P. Schmidt, Springer</t>
  </si>
  <si>
    <t xml:space="preserve">NARDL</t>
  </si>
  <si>
    <t xml:space="preserve">Méthode</t>
  </si>
  <si>
    <t xml:space="preserve">Cadre pour estimer des effets de long terme asymétriques</t>
  </si>
  <si>
    <t xml:space="preserve">Exige des séries mensuelles longues</t>
  </si>
  <si>
    <t xml:space="preserve">Méthode recommandée pour l'annexe économétrique</t>
  </si>
  <si>
    <t xml:space="preserve">Minot (2011), IFPRI Discussion Paper 1059</t>
  </si>
  <si>
    <t xml:space="preserve">Transmission prix vivriers</t>
  </si>
  <si>
    <t xml:space="preserve">Afrique subsaharienne</t>
  </si>
  <si>
    <t xml:space="preserve">Transmission forte pour le riz importé, faible pour le maïs</t>
  </si>
  <si>
    <t xml:space="preserve">Données 2007-08</t>
  </si>
  <si>
    <t xml:space="preserve">Riz : surveiller ; maïs : ne pas forcer l'analyse internationale</t>
  </si>
  <si>
    <t xml:space="preserve">Kaminski, Headey &amp; Bernard (2011), IFPRI DP 1074</t>
  </si>
  <si>
    <t xml:space="preserve">Fonds de lissage coton</t>
  </si>
  <si>
    <t xml:space="preserve">Le mécanisme de lissage a amorti les chocs mais s'est épuisé</t>
  </si>
  <si>
    <t xml:space="preserve">Gouvernance et capitalisation</t>
  </si>
  <si>
    <t xml:space="preserve">Fonds de lissage coton pour la CI</t>
  </si>
  <si>
    <t xml:space="preserve">Delpeuch &amp; Leblois (2013), World Development 51</t>
  </si>
  <si>
    <t xml:space="preserve">Réformes coton</t>
  </si>
  <si>
    <t xml:space="preserve">Afrique de l'Ouest</t>
  </si>
  <si>
    <t xml:space="preserve">La réponse de l'offre aux réformes de prix est faible et hétérogène</t>
  </si>
  <si>
    <t xml:space="preserve">Données nationales</t>
  </si>
  <si>
    <t xml:space="preserve">Le prix seul n'explique pas la production</t>
  </si>
  <si>
    <t xml:space="preserve">Coulter &amp; Onumah (2002), Food Policy 27(4)</t>
  </si>
  <si>
    <t xml:space="preserve">Récépissés d'entrepôt</t>
  </si>
  <si>
    <t xml:space="preserve">Les récépissés facilitent le crédit et le report des ventes</t>
  </si>
  <si>
    <t xml:space="preserve">Exige un cadre légal et des entrepôts certifiés</t>
  </si>
  <si>
    <t xml:space="preserve">Pertinent pour l'anacarde</t>
  </si>
  <si>
    <t xml:space="preserve">Karlan, Osei, Osei-Akoto &amp; Udry (2014), Quarterly Journal of Economics 129(2)</t>
  </si>
  <si>
    <t xml:space="preserve">Assurance indicielle</t>
  </si>
  <si>
    <t xml:space="preserve">L'assurance augmente l'investissement agricole ; la contrainte de risque est déterminante</t>
  </si>
  <si>
    <t xml:space="preserve">Demande faible au prix du marché</t>
  </si>
  <si>
    <t xml:space="preserve">Assurance rendement subventionnée pour le coton</t>
  </si>
  <si>
    <t xml:space="preserve">Kireyev (2010), IMF WP 10/269</t>
  </si>
  <si>
    <t xml:space="preserve">Taxe à l'exportation cacao</t>
  </si>
  <si>
    <t xml:space="preserve">Pouvoir de marché limité ; la taxe pèse en partie sur les producteurs</t>
  </si>
  <si>
    <t xml:space="preserve">Données pré-réforme</t>
  </si>
  <si>
    <t xml:space="preserve">Le DUS fait partie de l'absorbeur (recettes publiques)</t>
  </si>
  <si>
    <t xml:space="preserve">Frankel (2011), NBER WP 16945</t>
  </si>
  <si>
    <t xml:space="preserve">Règles budgétaires contracycliques</t>
  </si>
  <si>
    <t xml:space="preserve">Chili</t>
  </si>
  <si>
    <t xml:space="preserve">Règles fondées sur un prix de référence de long terme fixé par un comité indépendant</t>
  </si>
  <si>
    <t xml:space="preserve">Contexte cuivre</t>
  </si>
  <si>
    <t xml:space="preserve">Prix de référence indépendant pour le FRP</t>
  </si>
  <si>
    <t xml:space="preserve">OCDE (2011), Managing Risk in Agriculture: Policy Assessment and Design</t>
  </si>
  <si>
    <t xml:space="preserve">Gestion des risques</t>
  </si>
  <si>
    <t xml:space="preserve">OCDE</t>
  </si>
  <si>
    <t xml:space="preserve">Distinguer risques normaux (exploitant), marchands (marché) et catastrophiques (État)</t>
  </si>
  <si>
    <t xml:space="preserve">Pays développés</t>
  </si>
  <si>
    <t xml:space="preserve">Répartir les couches de risque entre acteurs</t>
  </si>
  <si>
    <t xml:space="preserve">exposition</t>
  </si>
  <si>
    <t xml:space="preserve">vulnerabilite</t>
  </si>
  <si>
    <t xml:space="preserve">Banane dessert</t>
  </si>
  <si>
    <t xml:space="preserve">Forte (UE), contrats en EUR</t>
  </si>
  <si>
    <t xml:space="preserve">Faible : contrats annuels intégrés ; pas de risque de change (FCFA arrimé à l'EUR)</t>
  </si>
  <si>
    <t xml:space="preserve">Producteurs intégrés (plantations industrielles)</t>
  </si>
  <si>
    <t xml:space="preserve">Vulnérabilité d'accès au marché (préférences UE, normes) plus que de prix</t>
  </si>
  <si>
    <t xml:space="preserve">Ananas, mangue</t>
  </si>
  <si>
    <t xml:space="preserve">Forte (UE)</t>
  </si>
  <si>
    <t xml:space="preserve">Non mesurable (prix contractuels, données de prix producteur absentes)</t>
  </si>
  <si>
    <t xml:space="preserve">Exportateurs / stations de conditionnement</t>
  </si>
  <si>
    <t xml:space="preserve">Choc de compétitivité structurel (ananas MD2) et sanitaire (mouche des fruits), non un choc de prix</t>
  </si>
  <si>
    <t xml:space="preserve">Sucre</t>
  </si>
  <si>
    <t xml:space="preserve">Faible (marché intérieur protégé)</t>
  </si>
  <si>
    <t xml:space="preserve">Faible : protection à l'importation</t>
  </si>
  <si>
    <t xml:space="preserve">Consommateur / budget (prix intérieur administré)</t>
  </si>
  <si>
    <t xml:space="preserve">Coût de protection pour le consommateur</t>
  </si>
  <si>
    <t xml:space="preserve">Riz importé</t>
  </si>
  <si>
    <t xml:space="preserve">Forte (importations ~1,5 Mt)</t>
  </si>
  <si>
    <t xml:space="preserve">Partielle (~0,4 au consommateur en 2023)</t>
  </si>
  <si>
    <t xml:space="preserve">Importateurs, État (fiscalité), consommateurs</t>
  </si>
  <si>
    <t xml:space="preserve">Choc de pouvoir d'achat urbain</t>
  </si>
  <si>
    <t xml:space="preserve">Maïs</t>
  </si>
  <si>
    <t xml:space="preserve">Faible</t>
  </si>
  <si>
    <t xml:space="preserve">Non significative</t>
  </si>
  <si>
    <t xml:space="preserve">Analyse internationale non pertinente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</si>
</sst>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.00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EPISODES" displayName="T_EPISODES" ref="A1:AN26" headerRowCount="1" totalsRowCount="0" totalsRowShown="0">
  <autoFilter ref="A1:AN26"/>
  <tableColumns count="40">
    <tableColumn id="1" name="id"/>
    <tableColumn id="2" name="filiere"/>
    <tableColumn id="3" name="pays"/>
    <tableColumn id="4" name="sens"/>
    <tableColumn id="5" name="episode"/>
    <tableColumn id="6" name="t0"/>
    <tableColumn id="7" name="t2"/>
    <tableColumn id="8" name="int_t0"/>
    <tableColumn id="9" name="int_t2"/>
    <tableColumn id="10" name="unite_int"/>
    <tableColumn id="11" name="fx_t0"/>
    <tableColumn id="12" name="fx_t2"/>
    <tableColumn id="13" name="conv"/>
    <tableColumn id="14" name="prod_t0"/>
    <tableColumn id="15" name="prod_t2"/>
    <tableColumn id="16" name="monnaie"/>
    <tableColumn id="17" name="q_t0"/>
    <tableColumn id="18" name="q_t2"/>
    <tableColumn id="19" name="delai_reaction_mois"/>
    <tableColumn id="20" name="delai_recup_mois"/>
    <tableColumn id="21" name="recup_statut"/>
    <tableColumn id="22" name="absorbeur"/>
    <tableColumn id="23" name="cout_mds_fcfa"/>
    <tableColumn id="24" name="mecanisme"/>
    <tableColumn id="25" name="qualite"/>
    <tableColumn id="26" name="source"/>
    <tableColumn id="27" name="url"/>
    <tableColumn id="28" name="commentaire"/>
    <tableColumn id="29" name="int_local_t0"/>
    <tableColumn id="30" name="int_local_t2"/>
    <tableColumn id="31" name="choc_int_usd"/>
    <tableColumn id="32" name="choc_int"/>
    <tableColumn id="33" name="choc_prod"/>
    <tableColumn id="34" name="transmission"/>
    <tableColumn id="35" name="amortissement"/>
    <tableColumn id="36" name="recette_t0"/>
    <tableColumn id="37" name="recette_t2"/>
    <tableColumn id="38" name="var_recette"/>
    <tableColumn id="39" name="part_prod_t0"/>
    <tableColumn id="40" name="part_prod_t2"/>
  </tableColumns>
</table>
</file>

<file path=xl/tables/table2.xml><?xml version="1.0" encoding="utf-8"?>
<table xmlns="http://schemas.openxmlformats.org/spreadsheetml/2006/main" id="2" name="T_SERIES" displayName="T_SERIES" ref="A1:AB68" headerRowCount="1" totalsRowCount="0" totalsRowShown="0">
  <autoFilter ref="A1:AB68"/>
  <tableColumns count="28">
    <tableColumn id="1" name="filiere"/>
    <tableColumn id="2" name="pays"/>
    <tableColumn id="3" name="campagne"/>
    <tableColumn id="4" name="annee"/>
    <tableColumn id="5" name="prix_int"/>
    <tableColumn id="6" name="unite_int"/>
    <tableColumn id="7" name="fx"/>
    <tableColumn id="8" name="conv"/>
    <tableColumn id="9" name="prix_prod"/>
    <tableColumn id="10" name="monnaie"/>
    <tableColumn id="11" name="prod_kt"/>
    <tableColumn id="12" name="mecanisme"/>
    <tableColumn id="13" name="qualite"/>
    <tableColumn id="14" name="source"/>
    <tableColumn id="15" name="url"/>
    <tableColumn id="16" name="commentaire"/>
    <tableColumn id="17" name="prix_int_local_kg"/>
    <tableColumn id="18" name="part_producteur"/>
    <tableColumn id="19" name="recette_mds"/>
    <tableColumn id="20" name="var_int"/>
    <tableColumn id="21" name="var_prod"/>
    <tableColumn id="22" name="var_recette"/>
    <tableColumn id="23" name="transmission_annuelle"/>
    <tableColumn id="24" name="max_prod_cumul"/>
    <tableColumn id="25" name="drawdown_prod"/>
    <tableColumn id="26" name="dlnP"/>
    <tableColumn id="27" name="dlnQ"/>
    <tableColumn id="28" name="dlnR"/>
  </tableColumns>
</table>
</file>

<file path=xl/tables/table3.xml><?xml version="1.0" encoding="utf-8"?>
<table xmlns="http://schemas.openxmlformats.org/spreadsheetml/2006/main" id="3" name="T_STRESS" displayName="T_STRESS" ref="A1:U31" headerRowCount="1" totalsRowCount="0" totalsRowShown="0">
  <autoFilter ref="A1:U31"/>
  <tableColumns count="21">
    <tableColumn id="1" name="filiere"/>
    <tableColumn id="2" name="scenario"/>
    <tableColumn id="3" name="libelle"/>
    <tableColumn id="4" name="choc_int"/>
    <tableColumn id="5" name="dQ"/>
    <tableColumn id="6" name="deux_campagnes"/>
    <tableColumn id="7" name="valeur_filiere_mds"/>
    <tableColumn id="8" name="dP_prod_c1"/>
    <tableColumn id="9" name="dP_prod_c2"/>
    <tableColumn id="10" name="dRecette_c1"/>
    <tableColumn id="11" name="perte_recette_c1_mds"/>
    <tableColumn id="12" name="perte_recette_c2_mds"/>
    <tableColumn id="13" name="perte_recette_cumulee_mds"/>
    <tableColumn id="14" name="charge_absorbee_hors_prod_mds"/>
    <tableColumn id="15" name="besoin_public_mds"/>
    <tableColumn id="16" name="capacite_mds"/>
    <tableColumn id="17" name="deficit_financement_mds"/>
    <tableColumn id="18" name="besoin_public_FCFA_kg"/>
    <tableColumn id="19" name="besoin_public_pct_valeur"/>
    <tableColumn id="20" name="cout_protection_totale_c1_mds"/>
    <tableColumn id="21" name="cout_garantie_recette_90_m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40"/>
    <col collapsed="false" customWidth="true" hidden="false" outlineLevel="0" max="13" min="13" style="0" width="18"/>
    <col collapsed="false" customWidth="true" hidden="false" outlineLevel="0" max="15" min="14" style="0" width="30"/>
    <col collapsed="false" customWidth="true" hidden="false" outlineLevel="0" max="16" min="16" style="0" width="40"/>
    <col collapsed="false" customWidth="true" hidden="false" outlineLevel="0" max="28" min="17" style="0" width="12"/>
  </cols>
  <sheetData>
    <row r="1" customFormat="false" ht="41.7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0" t="n">
        <v>2013</v>
      </c>
      <c r="E2" s="4" t="n">
        <v>2340</v>
      </c>
      <c r="F2" s="5" t="s">
        <v>48</v>
      </c>
      <c r="G2" s="4" t="n">
        <v>500</v>
      </c>
      <c r="H2" s="4" t="n">
        <v>0.001</v>
      </c>
      <c r="I2" s="4" t="n">
        <v>725</v>
      </c>
      <c r="J2" s="5" t="s">
        <v>49</v>
      </c>
      <c r="K2" s="4" t="n">
        <v>1449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6" t="n">
        <f aca="false">E2*G2*H2</f>
        <v>1170</v>
      </c>
      <c r="R2" s="7" t="n">
        <f aca="false">I2/Q2</f>
        <v>0.61965811965812</v>
      </c>
      <c r="S2" s="6" t="n">
        <f aca="false">I2*K2/1000</f>
        <v>1050.525</v>
      </c>
      <c r="T2" s="7"/>
      <c r="U2" s="7"/>
      <c r="V2" s="7"/>
      <c r="W2" s="6"/>
      <c r="X2" s="5" t="n">
        <f aca="false">MAX(I$2:I2)</f>
        <v>725</v>
      </c>
      <c r="Y2" s="7" t="n">
        <f aca="false">I2/X2-1</f>
        <v>0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55</v>
      </c>
      <c r="D3" s="0" t="n">
        <v>2014</v>
      </c>
      <c r="E3" s="4" t="n">
        <v>2920</v>
      </c>
      <c r="F3" s="5" t="s">
        <v>48</v>
      </c>
      <c r="G3" s="4" t="n">
        <v>490</v>
      </c>
      <c r="H3" s="4" t="n">
        <v>0.001</v>
      </c>
      <c r="I3" s="4" t="n">
        <v>750</v>
      </c>
      <c r="J3" s="5" t="s">
        <v>49</v>
      </c>
      <c r="K3" s="4" t="n">
        <v>1746</v>
      </c>
      <c r="L3" s="5" t="s">
        <v>50</v>
      </c>
      <c r="M3" s="5" t="s">
        <v>51</v>
      </c>
      <c r="N3" s="5" t="s">
        <v>52</v>
      </c>
      <c r="O3" s="5" t="s">
        <v>53</v>
      </c>
      <c r="Q3" s="6" t="n">
        <f aca="false">E3*G3*H3</f>
        <v>1430.8</v>
      </c>
      <c r="R3" s="7" t="n">
        <f aca="false">I3/Q3</f>
        <v>0.524182275649986</v>
      </c>
      <c r="S3" s="6" t="n">
        <f aca="false">I3*K3/1000</f>
        <v>1309.5</v>
      </c>
      <c r="T3" s="7" t="n">
        <f aca="false">Q3/Q2-1</f>
        <v>0.222905982905983</v>
      </c>
      <c r="U3" s="7" t="n">
        <f aca="false">I3/I2-1</f>
        <v>0.0344827586206897</v>
      </c>
      <c r="V3" s="7" t="n">
        <f aca="false">S3/S2-1</f>
        <v>0.246519597344185</v>
      </c>
      <c r="W3" s="6" t="n">
        <f aca="false">IF(ABS(T3)&gt;=0.05,U3/T3,"")</f>
        <v>0.154696424793738</v>
      </c>
      <c r="X3" s="5" t="n">
        <f aca="false">MAX(I$2:I3)</f>
        <v>750</v>
      </c>
      <c r="Y3" s="7" t="n">
        <f aca="false">I3/X3-1</f>
        <v>0</v>
      </c>
      <c r="Z3" s="5" t="n">
        <f aca="false">LN(I3/I2)</f>
        <v>0.0339015516756814</v>
      </c>
      <c r="AA3" s="5" t="n">
        <f aca="false">LN(K3/K2)</f>
        <v>0.186453794078865</v>
      </c>
      <c r="AB3" s="5" t="n">
        <f aca="false">LN(S3/S2)</f>
        <v>0.220355345754546</v>
      </c>
    </row>
    <row r="4" customFormat="false" ht="15" hidden="false" customHeight="false" outlineLevel="0" collapsed="false">
      <c r="A4" s="0" t="s">
        <v>45</v>
      </c>
      <c r="B4" s="0" t="s">
        <v>46</v>
      </c>
      <c r="C4" s="0" t="s">
        <v>56</v>
      </c>
      <c r="D4" s="0" t="n">
        <v>2015</v>
      </c>
      <c r="E4" s="4" t="n">
        <v>3080</v>
      </c>
      <c r="F4" s="5" t="s">
        <v>48</v>
      </c>
      <c r="G4" s="4" t="n">
        <v>560</v>
      </c>
      <c r="H4" s="4" t="n">
        <v>0.001</v>
      </c>
      <c r="I4" s="4" t="n">
        <v>850</v>
      </c>
      <c r="J4" s="5" t="s">
        <v>49</v>
      </c>
      <c r="K4" s="4" t="n">
        <v>1796</v>
      </c>
      <c r="L4" s="5" t="s">
        <v>50</v>
      </c>
      <c r="M4" s="5" t="s">
        <v>51</v>
      </c>
      <c r="N4" s="5" t="s">
        <v>52</v>
      </c>
      <c r="O4" s="5" t="s">
        <v>53</v>
      </c>
      <c r="Q4" s="6" t="n">
        <f aca="false">E4*G4*H4</f>
        <v>1724.8</v>
      </c>
      <c r="R4" s="7" t="n">
        <f aca="false">I4/Q4</f>
        <v>0.492810760667904</v>
      </c>
      <c r="S4" s="6" t="n">
        <f aca="false">I4*K4/1000</f>
        <v>1526.6</v>
      </c>
      <c r="T4" s="7" t="n">
        <f aca="false">Q4/Q3-1</f>
        <v>0.205479452054794</v>
      </c>
      <c r="U4" s="7" t="n">
        <f aca="false">I4/I3-1</f>
        <v>0.133333333333333</v>
      </c>
      <c r="V4" s="7" t="n">
        <f aca="false">S4/S3-1</f>
        <v>0.165788468881252</v>
      </c>
      <c r="W4" s="6" t="n">
        <f aca="false">IF(ABS(T4)&gt;=0.05,U4/T4,"")</f>
        <v>0.648888888888889</v>
      </c>
      <c r="X4" s="5" t="n">
        <f aca="false">MAX(I$2:I4)</f>
        <v>850</v>
      </c>
      <c r="Y4" s="7" t="n">
        <f aca="false">I4/X4-1</f>
        <v>0</v>
      </c>
      <c r="Z4" s="5" t="n">
        <f aca="false">LN(I4/I3)</f>
        <v>0.125163142954006</v>
      </c>
      <c r="AA4" s="5" t="n">
        <f aca="false">LN(K4/K3)</f>
        <v>0.0282345124625973</v>
      </c>
      <c r="AB4" s="5" t="n">
        <f aca="false">LN(S4/S3)</f>
        <v>0.153397655416603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57</v>
      </c>
      <c r="D5" s="0" t="n">
        <v>2016</v>
      </c>
      <c r="E5" s="4" t="n">
        <v>3000</v>
      </c>
      <c r="F5" s="5" t="s">
        <v>48</v>
      </c>
      <c r="G5" s="4" t="n">
        <v>590</v>
      </c>
      <c r="H5" s="4" t="n">
        <v>0.001</v>
      </c>
      <c r="I5" s="4" t="n">
        <v>1000</v>
      </c>
      <c r="J5" s="5" t="s">
        <v>49</v>
      </c>
      <c r="K5" s="4" t="n">
        <v>1581</v>
      </c>
      <c r="L5" s="5" t="s">
        <v>50</v>
      </c>
      <c r="M5" s="5" t="s">
        <v>51</v>
      </c>
      <c r="N5" s="5" t="s">
        <v>52</v>
      </c>
      <c r="O5" s="5" t="s">
        <v>53</v>
      </c>
      <c r="Q5" s="6" t="n">
        <f aca="false">E5*G5*H5</f>
        <v>1770</v>
      </c>
      <c r="R5" s="7" t="n">
        <f aca="false">I5/Q5</f>
        <v>0.564971751412429</v>
      </c>
      <c r="S5" s="6" t="n">
        <f aca="false">I5*K5/1000</f>
        <v>1581</v>
      </c>
      <c r="T5" s="7" t="n">
        <f aca="false">Q5/Q4-1</f>
        <v>0.0262059369202228</v>
      </c>
      <c r="U5" s="7" t="n">
        <f aca="false">I5/I4-1</f>
        <v>0.176470588235294</v>
      </c>
      <c r="V5" s="7" t="n">
        <f aca="false">S5/S4-1</f>
        <v>0.0356347438752784</v>
      </c>
      <c r="W5" s="6" t="str">
        <f aca="false">IF(ABS(T5)&gt;=0.05,U5/T5,"")</f>
        <v/>
      </c>
      <c r="X5" s="5" t="n">
        <f aca="false">MAX(I$2:I5)</f>
        <v>1000</v>
      </c>
      <c r="Y5" s="7" t="n">
        <f aca="false">I5/X5-1</f>
        <v>0</v>
      </c>
      <c r="Z5" s="5" t="n">
        <f aca="false">LN(I5/I4)</f>
        <v>0.162518929497775</v>
      </c>
      <c r="AA5" s="5" t="n">
        <f aca="false">LN(K5/K4)</f>
        <v>-0.127504411652673</v>
      </c>
      <c r="AB5" s="5" t="n">
        <f aca="false">LN(S5/S4)</f>
        <v>0.0350145178451021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58</v>
      </c>
      <c r="D6" s="0" t="n">
        <v>2017</v>
      </c>
      <c r="E6" s="4" t="n">
        <v>2180</v>
      </c>
      <c r="F6" s="5" t="s">
        <v>48</v>
      </c>
      <c r="G6" s="4" t="n">
        <v>600</v>
      </c>
      <c r="H6" s="4" t="n">
        <v>0.001</v>
      </c>
      <c r="I6" s="4" t="n">
        <v>1020</v>
      </c>
      <c r="J6" s="5" t="s">
        <v>49</v>
      </c>
      <c r="K6" s="4" t="n">
        <v>2020</v>
      </c>
      <c r="L6" s="5" t="s">
        <v>50</v>
      </c>
      <c r="M6" s="5" t="s">
        <v>51</v>
      </c>
      <c r="N6" s="5" t="s">
        <v>52</v>
      </c>
      <c r="O6" s="5" t="s">
        <v>53</v>
      </c>
      <c r="P6" s="5" t="s">
        <v>59</v>
      </c>
      <c r="Q6" s="6" t="n">
        <f aca="false">E6*G6*H6</f>
        <v>1308</v>
      </c>
      <c r="R6" s="7" t="n">
        <f aca="false">I6/Q6</f>
        <v>0.779816513761468</v>
      </c>
      <c r="S6" s="6" t="n">
        <f aca="false">I6*K6/1000</f>
        <v>2060.4</v>
      </c>
      <c r="T6" s="7" t="n">
        <f aca="false">Q6/Q5-1</f>
        <v>-0.261016949152542</v>
      </c>
      <c r="U6" s="7" t="n">
        <f aca="false">I6/I5-1</f>
        <v>0.02</v>
      </c>
      <c r="V6" s="7" t="n">
        <f aca="false">S6/S5-1</f>
        <v>0.303225806451613</v>
      </c>
      <c r="W6" s="6" t="n">
        <f aca="false">IF(ABS(T6)&gt;=0.05,U6/T6,"")</f>
        <v>-0.0766233766233767</v>
      </c>
      <c r="X6" s="5" t="n">
        <f aca="false">MAX(I$2:I6)</f>
        <v>1020</v>
      </c>
      <c r="Y6" s="7" t="n">
        <f aca="false">I6/X6-1</f>
        <v>0</v>
      </c>
      <c r="Z6" s="5" t="n">
        <f aca="false">LN(I6/I5)</f>
        <v>0.0198026272961797</v>
      </c>
      <c r="AA6" s="5" t="n">
        <f aca="false">LN(K6/K5)</f>
        <v>0.245039953185778</v>
      </c>
      <c r="AB6" s="5" t="n">
        <f aca="false">LN(S6/S5)</f>
        <v>0.264842580481958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60</v>
      </c>
      <c r="D7" s="0" t="n">
        <v>2018</v>
      </c>
      <c r="E7" s="4" t="n">
        <v>2200</v>
      </c>
      <c r="F7" s="5" t="s">
        <v>48</v>
      </c>
      <c r="G7" s="4" t="n">
        <v>555</v>
      </c>
      <c r="H7" s="4" t="n">
        <v>0.001</v>
      </c>
      <c r="I7" s="4" t="n">
        <v>710</v>
      </c>
      <c r="J7" s="5" t="s">
        <v>49</v>
      </c>
      <c r="K7" s="4" t="n">
        <v>1964</v>
      </c>
      <c r="L7" s="5" t="s">
        <v>50</v>
      </c>
      <c r="M7" s="5" t="s">
        <v>51</v>
      </c>
      <c r="N7" s="5" t="s">
        <v>52</v>
      </c>
      <c r="O7" s="5" t="s">
        <v>53</v>
      </c>
      <c r="P7" s="5" t="s">
        <v>61</v>
      </c>
      <c r="Q7" s="6" t="n">
        <f aca="false">E7*G7*H7</f>
        <v>1221</v>
      </c>
      <c r="R7" s="7" t="n">
        <f aca="false">I7/Q7</f>
        <v>0.581490581490582</v>
      </c>
      <c r="S7" s="6" t="n">
        <f aca="false">I7*K7/1000</f>
        <v>1394.44</v>
      </c>
      <c r="T7" s="7" t="n">
        <f aca="false">Q7/Q6-1</f>
        <v>-0.0665137614678899</v>
      </c>
      <c r="U7" s="7" t="n">
        <f aca="false">I7/I6-1</f>
        <v>-0.303921568627451</v>
      </c>
      <c r="V7" s="7" t="n">
        <f aca="false">S7/S6-1</f>
        <v>-0.323218792467482</v>
      </c>
      <c r="W7" s="6" t="n">
        <f aca="false">IF(ABS(T7)&gt;=0.05,U7/T7,"")</f>
        <v>4.56930358350237</v>
      </c>
      <c r="X7" s="5" t="n">
        <f aca="false">MAX(I$2:I7)</f>
        <v>1020</v>
      </c>
      <c r="Y7" s="7" t="n">
        <f aca="false">I7/X7-1</f>
        <v>-0.303921568627451</v>
      </c>
      <c r="Z7" s="5" t="n">
        <f aca="false">LN(I7/I6)</f>
        <v>-0.362292936242956</v>
      </c>
      <c r="AA7" s="5" t="n">
        <f aca="false">LN(K7/K6)</f>
        <v>-0.0281143014808393</v>
      </c>
      <c r="AB7" s="5" t="n">
        <f aca="false">LN(S7/S6)</f>
        <v>-0.390407237723795</v>
      </c>
    </row>
    <row r="8" customFormat="false" ht="15" hidden="false" customHeight="false" outlineLevel="0" collapsed="false">
      <c r="A8" s="0" t="s">
        <v>45</v>
      </c>
      <c r="B8" s="0" t="s">
        <v>46</v>
      </c>
      <c r="C8" s="0" t="s">
        <v>62</v>
      </c>
      <c r="D8" s="0" t="n">
        <v>2019</v>
      </c>
      <c r="E8" s="4" t="n">
        <v>2300</v>
      </c>
      <c r="F8" s="5" t="s">
        <v>48</v>
      </c>
      <c r="G8" s="4" t="n">
        <v>575</v>
      </c>
      <c r="H8" s="4" t="n">
        <v>0.001</v>
      </c>
      <c r="I8" s="4" t="n">
        <v>750</v>
      </c>
      <c r="J8" s="5" t="s">
        <v>49</v>
      </c>
      <c r="K8" s="4" t="n">
        <v>2154</v>
      </c>
      <c r="L8" s="5" t="s">
        <v>50</v>
      </c>
      <c r="M8" s="5" t="s">
        <v>51</v>
      </c>
      <c r="N8" s="5" t="s">
        <v>52</v>
      </c>
      <c r="O8" s="5" t="s">
        <v>53</v>
      </c>
      <c r="Q8" s="6" t="n">
        <f aca="false">E8*G8*H8</f>
        <v>1322.5</v>
      </c>
      <c r="R8" s="7" t="n">
        <f aca="false">I8/Q8</f>
        <v>0.56710775047259</v>
      </c>
      <c r="S8" s="6" t="n">
        <f aca="false">I8*K8/1000</f>
        <v>1615.5</v>
      </c>
      <c r="T8" s="7" t="n">
        <f aca="false">Q8/Q7-1</f>
        <v>0.0831285831285831</v>
      </c>
      <c r="U8" s="7" t="n">
        <f aca="false">I8/I7-1</f>
        <v>0.056338028169014</v>
      </c>
      <c r="V8" s="7" t="n">
        <f aca="false">S8/S7-1</f>
        <v>0.158529588938929</v>
      </c>
      <c r="W8" s="6" t="n">
        <f aca="false">IF(ABS(T8)&gt;=0.05,U8/T8,"")</f>
        <v>0.677721501422327</v>
      </c>
      <c r="X8" s="5" t="n">
        <f aca="false">MAX(I$2:I8)</f>
        <v>1020</v>
      </c>
      <c r="Y8" s="7" t="n">
        <f aca="false">I8/X8-1</f>
        <v>-0.264705882352941</v>
      </c>
      <c r="Z8" s="5" t="n">
        <f aca="false">LN(I8/I7)</f>
        <v>0.054808236494995</v>
      </c>
      <c r="AA8" s="5" t="n">
        <f aca="false">LN(K8/K7)</f>
        <v>0.0923433688019227</v>
      </c>
      <c r="AB8" s="5" t="n">
        <f aca="false">LN(S8/S7)</f>
        <v>0.147151605296918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63</v>
      </c>
      <c r="D9" s="0" t="n">
        <v>2020</v>
      </c>
      <c r="E9" s="4" t="n">
        <v>2450</v>
      </c>
      <c r="F9" s="5" t="s">
        <v>48</v>
      </c>
      <c r="G9" s="4" t="n">
        <v>590</v>
      </c>
      <c r="H9" s="4" t="n">
        <v>0.001</v>
      </c>
      <c r="I9" s="4" t="n">
        <v>825</v>
      </c>
      <c r="J9" s="5" t="s">
        <v>49</v>
      </c>
      <c r="K9" s="4" t="n">
        <v>2105</v>
      </c>
      <c r="L9" s="5" t="s">
        <v>50</v>
      </c>
      <c r="M9" s="5" t="s">
        <v>51</v>
      </c>
      <c r="N9" s="5" t="s">
        <v>52</v>
      </c>
      <c r="O9" s="5" t="s">
        <v>53</v>
      </c>
      <c r="Q9" s="6" t="n">
        <f aca="false">E9*G9*H9</f>
        <v>1445.5</v>
      </c>
      <c r="R9" s="7" t="n">
        <f aca="false">I9/Q9</f>
        <v>0.570736769283985</v>
      </c>
      <c r="S9" s="6" t="n">
        <f aca="false">I9*K9/1000</f>
        <v>1736.625</v>
      </c>
      <c r="T9" s="7" t="n">
        <f aca="false">Q9/Q8-1</f>
        <v>0.0930056710775047</v>
      </c>
      <c r="U9" s="7" t="n">
        <f aca="false">I9/I8-1</f>
        <v>0.1</v>
      </c>
      <c r="V9" s="7" t="n">
        <f aca="false">S9/S8-1</f>
        <v>0.0749767873723306</v>
      </c>
      <c r="W9" s="6" t="n">
        <f aca="false">IF(ABS(T9)&gt;=0.05,U9/T9,"")</f>
        <v>1.07520325203252</v>
      </c>
      <c r="X9" s="5" t="n">
        <f aca="false">MAX(I$2:I9)</f>
        <v>1020</v>
      </c>
      <c r="Y9" s="7" t="n">
        <f aca="false">I9/X9-1</f>
        <v>-0.191176470588235</v>
      </c>
      <c r="Z9" s="5" t="n">
        <f aca="false">LN(I9/I8)</f>
        <v>0.0953101798043249</v>
      </c>
      <c r="AA9" s="5" t="n">
        <f aca="false">LN(K9/K8)</f>
        <v>-0.023011111599852</v>
      </c>
      <c r="AB9" s="5" t="n">
        <f aca="false">LN(S9/S8)</f>
        <v>0.0722990682044728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64</v>
      </c>
      <c r="D10" s="0" t="n">
        <v>2021</v>
      </c>
      <c r="E10" s="4" t="n">
        <v>2420</v>
      </c>
      <c r="F10" s="5" t="s">
        <v>48</v>
      </c>
      <c r="G10" s="4" t="n">
        <v>550</v>
      </c>
      <c r="H10" s="4" t="n">
        <v>0.001</v>
      </c>
      <c r="I10" s="4" t="n">
        <v>950</v>
      </c>
      <c r="J10" s="5" t="s">
        <v>49</v>
      </c>
      <c r="K10" s="4" t="n">
        <v>2248</v>
      </c>
      <c r="L10" s="5" t="s">
        <v>50</v>
      </c>
      <c r="M10" s="5" t="s">
        <v>51</v>
      </c>
      <c r="N10" s="5" t="s">
        <v>52</v>
      </c>
      <c r="O10" s="5" t="s">
        <v>53</v>
      </c>
      <c r="P10" s="5" t="s">
        <v>65</v>
      </c>
      <c r="Q10" s="6" t="n">
        <f aca="false">E10*G10*H10</f>
        <v>1331</v>
      </c>
      <c r="R10" s="7" t="n">
        <f aca="false">I10/Q10</f>
        <v>0.713749060856499</v>
      </c>
      <c r="S10" s="6" t="n">
        <f aca="false">I10*K10/1000</f>
        <v>2135.6</v>
      </c>
      <c r="T10" s="7" t="n">
        <f aca="false">Q10/Q9-1</f>
        <v>-0.0792113455551712</v>
      </c>
      <c r="U10" s="7" t="n">
        <f aca="false">I10/I9-1</f>
        <v>0.151515151515152</v>
      </c>
      <c r="V10" s="7" t="n">
        <f aca="false">S10/S9-1</f>
        <v>0.22974159648744</v>
      </c>
      <c r="W10" s="6" t="n">
        <f aca="false">IF(ABS(T10)&gt;=0.05,U10/T10,"")</f>
        <v>-1.91279608310176</v>
      </c>
      <c r="X10" s="5" t="n">
        <f aca="false">MAX(I$2:I10)</f>
        <v>1020</v>
      </c>
      <c r="Y10" s="7" t="n">
        <f aca="false">I10/X10-1</f>
        <v>-0.0686274509803921</v>
      </c>
      <c r="Z10" s="5" t="n">
        <f aca="false">LN(I10/I9)</f>
        <v>0.141078598259906</v>
      </c>
      <c r="AA10" s="5" t="n">
        <f aca="false">LN(K10/K9)</f>
        <v>0.0657254648971</v>
      </c>
      <c r="AB10" s="5" t="n">
        <f aca="false">LN(S10/S9)</f>
        <v>0.206804063157005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66</v>
      </c>
      <c r="D11" s="0" t="n">
        <v>2022</v>
      </c>
      <c r="E11" s="4" t="n">
        <v>2450</v>
      </c>
      <c r="F11" s="5" t="s">
        <v>48</v>
      </c>
      <c r="G11" s="4" t="n">
        <v>590</v>
      </c>
      <c r="H11" s="4" t="n">
        <v>0.001</v>
      </c>
      <c r="I11" s="4" t="n">
        <v>825</v>
      </c>
      <c r="J11" s="5" t="s">
        <v>49</v>
      </c>
      <c r="K11" s="4" t="n">
        <v>2121</v>
      </c>
      <c r="L11" s="5" t="s">
        <v>50</v>
      </c>
      <c r="M11" s="5" t="s">
        <v>51</v>
      </c>
      <c r="N11" s="5" t="s">
        <v>52</v>
      </c>
      <c r="O11" s="5" t="s">
        <v>53</v>
      </c>
      <c r="Q11" s="6" t="n">
        <f aca="false">E11*G11*H11</f>
        <v>1445.5</v>
      </c>
      <c r="R11" s="7" t="n">
        <f aca="false">I11/Q11</f>
        <v>0.570736769283985</v>
      </c>
      <c r="S11" s="6" t="n">
        <f aca="false">I11*K11/1000</f>
        <v>1749.825</v>
      </c>
      <c r="T11" s="7" t="n">
        <f aca="false">Q11/Q10-1</f>
        <v>0.0860255447032308</v>
      </c>
      <c r="U11" s="7" t="n">
        <f aca="false">I11/I10-1</f>
        <v>-0.131578947368421</v>
      </c>
      <c r="V11" s="7" t="n">
        <f aca="false">S11/S10-1</f>
        <v>-0.180640101142536</v>
      </c>
      <c r="W11" s="6" t="n">
        <f aca="false">IF(ABS(T11)&gt;=0.05,U11/T11,"")</f>
        <v>-1.52953344058837</v>
      </c>
      <c r="X11" s="5" t="n">
        <f aca="false">MAX(I$2:I11)</f>
        <v>1020</v>
      </c>
      <c r="Y11" s="7" t="n">
        <f aca="false">I11/X11-1</f>
        <v>-0.191176470588235</v>
      </c>
      <c r="Z11" s="5" t="n">
        <f aca="false">LN(I11/I10)</f>
        <v>-0.141078598259905</v>
      </c>
      <c r="AA11" s="5" t="n">
        <f aca="false">LN(K11/K10)</f>
        <v>-0.0581532564488992</v>
      </c>
      <c r="AB11" s="5" t="n">
        <f aca="false">LN(S11/S10)</f>
        <v>-0.199231854708805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s">
        <v>67</v>
      </c>
      <c r="D12" s="0" t="n">
        <v>2023</v>
      </c>
      <c r="E12" s="4" t="n">
        <v>2750</v>
      </c>
      <c r="F12" s="5" t="s">
        <v>48</v>
      </c>
      <c r="G12" s="4" t="n">
        <v>615</v>
      </c>
      <c r="H12" s="4" t="n">
        <v>0.001</v>
      </c>
      <c r="I12" s="4" t="n">
        <v>904</v>
      </c>
      <c r="J12" s="5" t="s">
        <v>49</v>
      </c>
      <c r="K12" s="4" t="n">
        <v>2241</v>
      </c>
      <c r="L12" s="5" t="s">
        <v>50</v>
      </c>
      <c r="M12" s="5" t="s">
        <v>51</v>
      </c>
      <c r="N12" s="5" t="s">
        <v>52</v>
      </c>
      <c r="O12" s="5" t="s">
        <v>53</v>
      </c>
      <c r="P12" s="5" t="s">
        <v>68</v>
      </c>
      <c r="Q12" s="6" t="n">
        <f aca="false">E12*G12*H12</f>
        <v>1691.25</v>
      </c>
      <c r="R12" s="7" t="n">
        <f aca="false">I12/Q12</f>
        <v>0.534515890613452</v>
      </c>
      <c r="S12" s="6" t="n">
        <f aca="false">I12*K12/1000</f>
        <v>2025.864</v>
      </c>
      <c r="T12" s="7" t="n">
        <f aca="false">Q12/Q11-1</f>
        <v>0.170010377032169</v>
      </c>
      <c r="U12" s="7" t="n">
        <f aca="false">I12/I11-1</f>
        <v>0.0957575757575757</v>
      </c>
      <c r="V12" s="7" t="n">
        <f aca="false">S12/S11-1</f>
        <v>0.157752346663238</v>
      </c>
      <c r="W12" s="6" t="n">
        <f aca="false">IF(ABS(T12)&gt;=0.05,U12/T12,"")</f>
        <v>0.563245476124418</v>
      </c>
      <c r="X12" s="5" t="n">
        <f aca="false">MAX(I$2:I12)</f>
        <v>1020</v>
      </c>
      <c r="Y12" s="7" t="n">
        <f aca="false">I12/X12-1</f>
        <v>-0.113725490196078</v>
      </c>
      <c r="Z12" s="5" t="n">
        <f aca="false">LN(I12/I11)</f>
        <v>0.0914459740574955</v>
      </c>
      <c r="AA12" s="5" t="n">
        <f aca="false">LN(K12/K11)</f>
        <v>0.0550345192362445</v>
      </c>
      <c r="AB12" s="5" t="n">
        <f aca="false">LN(S12/S11)</f>
        <v>0.14648049329374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69</v>
      </c>
      <c r="D13" s="0" t="n">
        <v>2024</v>
      </c>
      <c r="E13" s="4" t="n">
        <v>6550</v>
      </c>
      <c r="F13" s="5" t="s">
        <v>48</v>
      </c>
      <c r="G13" s="4" t="n">
        <v>605</v>
      </c>
      <c r="H13" s="4" t="n">
        <v>0.001</v>
      </c>
      <c r="I13" s="4" t="n">
        <v>1100</v>
      </c>
      <c r="J13" s="5" t="s">
        <v>49</v>
      </c>
      <c r="K13" s="4" t="n">
        <v>1755</v>
      </c>
      <c r="L13" s="5" t="s">
        <v>50</v>
      </c>
      <c r="M13" s="5" t="s">
        <v>51</v>
      </c>
      <c r="N13" s="5" t="s">
        <v>52</v>
      </c>
      <c r="O13" s="5" t="s">
        <v>53</v>
      </c>
      <c r="P13" s="5" t="s">
        <v>70</v>
      </c>
      <c r="Q13" s="6" t="n">
        <f aca="false">E13*G13*H13</f>
        <v>3962.75</v>
      </c>
      <c r="R13" s="7" t="n">
        <f aca="false">I13/Q13</f>
        <v>0.277585010409438</v>
      </c>
      <c r="S13" s="6" t="n">
        <f aca="false">I13*K13/1000</f>
        <v>1930.5</v>
      </c>
      <c r="T13" s="7" t="n">
        <f aca="false">Q13/Q12-1</f>
        <v>1.34308943089431</v>
      </c>
      <c r="U13" s="7" t="n">
        <f aca="false">I13/I12-1</f>
        <v>0.216814159292035</v>
      </c>
      <c r="V13" s="7" t="n">
        <f aca="false">S13/S12-1</f>
        <v>-0.0470732487472012</v>
      </c>
      <c r="W13" s="6" t="n">
        <f aca="false">IF(ABS(T13)&gt;=0.05,U13/T13,"")</f>
        <v>0.161429428528574</v>
      </c>
      <c r="X13" s="5" t="n">
        <f aca="false">MAX(I$2:I13)</f>
        <v>1100</v>
      </c>
      <c r="Y13" s="7" t="n">
        <f aca="false">I13/X13-1</f>
        <v>0</v>
      </c>
      <c r="Z13" s="5" t="n">
        <f aca="false">LN(I13/I12)</f>
        <v>0.196236098394285</v>
      </c>
      <c r="AA13" s="5" t="n">
        <f aca="false">LN(K13/K12)</f>
        <v>-0.244453337900961</v>
      </c>
      <c r="AB13" s="5" t="n">
        <f aca="false">LN(S13/S12)</f>
        <v>-0.0482172395066754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71</v>
      </c>
      <c r="D14" s="0" t="n">
        <v>2025</v>
      </c>
      <c r="E14" s="4" t="n">
        <v>8000</v>
      </c>
      <c r="F14" s="5" t="s">
        <v>48</v>
      </c>
      <c r="G14" s="4" t="n">
        <v>580</v>
      </c>
      <c r="H14" s="4" t="n">
        <v>0.001</v>
      </c>
      <c r="I14" s="4" t="n">
        <v>1880</v>
      </c>
      <c r="J14" s="5" t="s">
        <v>49</v>
      </c>
      <c r="K14" s="4" t="n">
        <v>1850</v>
      </c>
      <c r="L14" s="5" t="s">
        <v>50</v>
      </c>
      <c r="M14" s="5" t="s">
        <v>51</v>
      </c>
      <c r="N14" s="5" t="s">
        <v>52</v>
      </c>
      <c r="O14" s="5" t="s">
        <v>53</v>
      </c>
      <c r="P14" s="5" t="s">
        <v>72</v>
      </c>
      <c r="Q14" s="6" t="n">
        <f aca="false">E14*G14*H14</f>
        <v>4640</v>
      </c>
      <c r="R14" s="7" t="n">
        <f aca="false">I14/Q14</f>
        <v>0.405172413793103</v>
      </c>
      <c r="S14" s="6" t="n">
        <f aca="false">I14*K14/1000</f>
        <v>3478</v>
      </c>
      <c r="T14" s="7" t="n">
        <f aca="false">Q14/Q13-1</f>
        <v>0.170904043908902</v>
      </c>
      <c r="U14" s="7" t="n">
        <f aca="false">I14/I13-1</f>
        <v>0.709090909090909</v>
      </c>
      <c r="V14" s="7" t="n">
        <f aca="false">S14/S13-1</f>
        <v>0.801605801605802</v>
      </c>
      <c r="W14" s="6" t="n">
        <f aca="false">IF(ABS(T14)&gt;=0.05,U14/T14,"")</f>
        <v>4.14905869324474</v>
      </c>
      <c r="X14" s="5" t="n">
        <f aca="false">MAX(I$2:I14)</f>
        <v>1880</v>
      </c>
      <c r="Y14" s="7" t="n">
        <f aca="false">I14/X14-1</f>
        <v>0</v>
      </c>
      <c r="Z14" s="5" t="n">
        <f aca="false">LN(I14/I13)</f>
        <v>0.535961597037533</v>
      </c>
      <c r="AA14" s="5" t="n">
        <f aca="false">LN(K14/K13)</f>
        <v>0.0527167821724044</v>
      </c>
      <c r="AB14" s="5" t="n">
        <f aca="false">LN(S14/S13)</f>
        <v>0.588678379209937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s">
        <v>73</v>
      </c>
      <c r="D15" s="0" t="n">
        <v>2026</v>
      </c>
      <c r="E15" s="4" t="n">
        <v>4700</v>
      </c>
      <c r="F15" s="5" t="s">
        <v>48</v>
      </c>
      <c r="G15" s="4" t="n">
        <v>565</v>
      </c>
      <c r="H15" s="4" t="n">
        <v>0.001</v>
      </c>
      <c r="I15" s="4" t="n">
        <v>2480</v>
      </c>
      <c r="J15" s="5" t="s">
        <v>49</v>
      </c>
      <c r="K15" s="4" t="n">
        <v>1850</v>
      </c>
      <c r="L15" s="5" t="s">
        <v>50</v>
      </c>
      <c r="M15" s="5" t="s">
        <v>74</v>
      </c>
      <c r="N15" s="5" t="s">
        <v>52</v>
      </c>
      <c r="O15" s="5" t="s">
        <v>53</v>
      </c>
      <c r="P15" s="5" t="s">
        <v>75</v>
      </c>
      <c r="Q15" s="6" t="n">
        <f aca="false">E15*G15*H15</f>
        <v>2655.5</v>
      </c>
      <c r="R15" s="7" t="n">
        <f aca="false">I15/Q15</f>
        <v>0.933910751270947</v>
      </c>
      <c r="S15" s="6" t="n">
        <f aca="false">I15*K15/1000</f>
        <v>4588</v>
      </c>
      <c r="T15" s="7" t="n">
        <f aca="false">Q15/Q14-1</f>
        <v>-0.427693965517241</v>
      </c>
      <c r="U15" s="7" t="n">
        <f aca="false">I15/I14-1</f>
        <v>0.319148936170213</v>
      </c>
      <c r="V15" s="7" t="n">
        <f aca="false">S15/S14-1</f>
        <v>0.319148936170213</v>
      </c>
      <c r="W15" s="6" t="n">
        <f aca="false">IF(ABS(T15)&gt;=0.05,U15/T15,"")</f>
        <v>-0.746208648944211</v>
      </c>
      <c r="X15" s="5" t="n">
        <f aca="false">MAX(I$2:I15)</f>
        <v>2480</v>
      </c>
      <c r="Y15" s="7" t="n">
        <f aca="false">I15/X15-1</f>
        <v>0</v>
      </c>
      <c r="Z15" s="5" t="n">
        <f aca="false">LN(I15/I14)</f>
        <v>0.276986783335033</v>
      </c>
      <c r="AA15" s="5" t="n">
        <f aca="false">LN(K15/K14)</f>
        <v>0</v>
      </c>
      <c r="AB15" s="5" t="n">
        <f aca="false">LN(S15/S14)</f>
        <v>0.276986783335033</v>
      </c>
    </row>
    <row r="16" customFormat="false" ht="15" hidden="false" customHeight="false" outlineLevel="0" collapsed="false">
      <c r="A16" s="0" t="s">
        <v>45</v>
      </c>
      <c r="B16" s="0" t="s">
        <v>76</v>
      </c>
      <c r="C16" s="0" t="s">
        <v>47</v>
      </c>
      <c r="D16" s="0" t="n">
        <v>2013</v>
      </c>
      <c r="E16" s="4" t="n">
        <v>2340</v>
      </c>
      <c r="F16" s="5" t="s">
        <v>48</v>
      </c>
      <c r="G16" s="4" t="n">
        <v>1.95</v>
      </c>
      <c r="H16" s="4" t="n">
        <v>0.001</v>
      </c>
      <c r="I16" s="4" t="n">
        <v>3.392</v>
      </c>
      <c r="J16" s="5" t="s">
        <v>77</v>
      </c>
      <c r="K16" s="4" t="n">
        <v>835</v>
      </c>
      <c r="L16" s="5" t="s">
        <v>78</v>
      </c>
      <c r="M16" s="5" t="s">
        <v>79</v>
      </c>
      <c r="N16" s="5" t="s">
        <v>80</v>
      </c>
      <c r="O16" s="5" t="s">
        <v>81</v>
      </c>
      <c r="Q16" s="6" t="n">
        <f aca="false">E16*G16*H16</f>
        <v>4.563</v>
      </c>
      <c r="R16" s="7" t="n">
        <f aca="false">I16/Q16</f>
        <v>0.743370589524436</v>
      </c>
      <c r="S16" s="6" t="n">
        <f aca="false">I16*K16/1000</f>
        <v>2.83232</v>
      </c>
      <c r="T16" s="7"/>
      <c r="U16" s="7"/>
      <c r="V16" s="7"/>
      <c r="W16" s="6"/>
      <c r="X16" s="5" t="n">
        <f aca="false">MAX(I$16:I16)</f>
        <v>3.392</v>
      </c>
      <c r="Y16" s="7" t="n">
        <f aca="false">I16/X16-1</f>
        <v>0</v>
      </c>
    </row>
    <row r="17" customFormat="false" ht="15" hidden="false" customHeight="false" outlineLevel="0" collapsed="false">
      <c r="A17" s="0" t="s">
        <v>45</v>
      </c>
      <c r="B17" s="0" t="s">
        <v>76</v>
      </c>
      <c r="C17" s="0" t="s">
        <v>55</v>
      </c>
      <c r="D17" s="0" t="n">
        <v>2014</v>
      </c>
      <c r="E17" s="4" t="n">
        <v>2920</v>
      </c>
      <c r="F17" s="5" t="s">
        <v>48</v>
      </c>
      <c r="G17" s="4" t="n">
        <v>2.5</v>
      </c>
      <c r="H17" s="4" t="n">
        <v>0.001</v>
      </c>
      <c r="I17" s="4" t="n">
        <v>3.392</v>
      </c>
      <c r="J17" s="5" t="s">
        <v>77</v>
      </c>
      <c r="K17" s="4" t="n">
        <v>897</v>
      </c>
      <c r="L17" s="5" t="s">
        <v>78</v>
      </c>
      <c r="M17" s="5" t="s">
        <v>79</v>
      </c>
      <c r="N17" s="5" t="s">
        <v>80</v>
      </c>
      <c r="O17" s="5" t="s">
        <v>81</v>
      </c>
      <c r="Q17" s="6" t="n">
        <f aca="false">E17*G17*H17</f>
        <v>7.3</v>
      </c>
      <c r="R17" s="7" t="n">
        <f aca="false">I17/Q17</f>
        <v>0.464657534246575</v>
      </c>
      <c r="S17" s="6" t="n">
        <f aca="false">I17*K17/1000</f>
        <v>3.042624</v>
      </c>
      <c r="T17" s="7" t="n">
        <f aca="false">Q17/Q16-1</f>
        <v>0.599824676747754</v>
      </c>
      <c r="U17" s="7" t="n">
        <f aca="false">I17/I16-1</f>
        <v>0</v>
      </c>
      <c r="V17" s="7" t="n">
        <f aca="false">S17/S16-1</f>
        <v>0.0742514970059882</v>
      </c>
      <c r="W17" s="6" t="n">
        <f aca="false">IF(ABS(T17)&gt;=0.05,U17/T17,"")</f>
        <v>0</v>
      </c>
      <c r="X17" s="5" t="n">
        <f aca="false">MAX(I$16:I17)</f>
        <v>3.392</v>
      </c>
      <c r="Y17" s="7" t="n">
        <f aca="false">I17/X17-1</f>
        <v>0</v>
      </c>
      <c r="Z17" s="5" t="n">
        <f aca="false">LN(I17/I16)</f>
        <v>0</v>
      </c>
      <c r="AA17" s="5" t="n">
        <f aca="false">LN(K17/K16)</f>
        <v>0.0716241372079406</v>
      </c>
      <c r="AB17" s="5" t="n">
        <f aca="false">LN(S17/S16)</f>
        <v>0.0716241372079408</v>
      </c>
    </row>
    <row r="18" customFormat="false" ht="15" hidden="false" customHeight="false" outlineLevel="0" collapsed="false">
      <c r="A18" s="0" t="s">
        <v>45</v>
      </c>
      <c r="B18" s="0" t="s">
        <v>76</v>
      </c>
      <c r="C18" s="0" t="s">
        <v>56</v>
      </c>
      <c r="D18" s="0" t="n">
        <v>2015</v>
      </c>
      <c r="E18" s="4" t="n">
        <v>3080</v>
      </c>
      <c r="F18" s="5" t="s">
        <v>48</v>
      </c>
      <c r="G18" s="4" t="n">
        <v>3.3</v>
      </c>
      <c r="H18" s="4" t="n">
        <v>0.001</v>
      </c>
      <c r="I18" s="4" t="n">
        <v>5.2</v>
      </c>
      <c r="J18" s="5" t="s">
        <v>77</v>
      </c>
      <c r="K18" s="4" t="n">
        <v>740</v>
      </c>
      <c r="L18" s="5" t="s">
        <v>78</v>
      </c>
      <c r="M18" s="5" t="s">
        <v>79</v>
      </c>
      <c r="N18" s="5" t="s">
        <v>80</v>
      </c>
      <c r="O18" s="5" t="s">
        <v>81</v>
      </c>
      <c r="Q18" s="6" t="n">
        <f aca="false">E18*G18*H18</f>
        <v>10.164</v>
      </c>
      <c r="R18" s="7" t="n">
        <f aca="false">I18/Q18</f>
        <v>0.511609602518694</v>
      </c>
      <c r="S18" s="6" t="n">
        <f aca="false">I18*K18/1000</f>
        <v>3.848</v>
      </c>
      <c r="T18" s="7" t="n">
        <f aca="false">Q18/Q17-1</f>
        <v>0.392328767123288</v>
      </c>
      <c r="U18" s="7" t="n">
        <f aca="false">I18/I17-1</f>
        <v>0.533018867924529</v>
      </c>
      <c r="V18" s="7" t="n">
        <f aca="false">S18/S17-1</f>
        <v>0.264697839759366</v>
      </c>
      <c r="W18" s="6" t="n">
        <f aca="false">IF(ABS(T18)&gt;=0.05,U18/T18,"")</f>
        <v>1.35860256139981</v>
      </c>
      <c r="X18" s="5" t="n">
        <f aca="false">MAX(I$16:I18)</f>
        <v>5.2</v>
      </c>
      <c r="Y18" s="7" t="n">
        <f aca="false">I18/X18-1</f>
        <v>0</v>
      </c>
      <c r="Z18" s="5" t="n">
        <f aca="false">LN(I18/I17)</f>
        <v>0.427238907657725</v>
      </c>
      <c r="AA18" s="5" t="n">
        <f aca="false">LN(K18/K17)</f>
        <v>-0.192405675860581</v>
      </c>
      <c r="AB18" s="5" t="n">
        <f aca="false">LN(S18/S17)</f>
        <v>0.234833231797144</v>
      </c>
    </row>
    <row r="19" customFormat="false" ht="15" hidden="false" customHeight="false" outlineLevel="0" collapsed="false">
      <c r="A19" s="0" t="s">
        <v>45</v>
      </c>
      <c r="B19" s="0" t="s">
        <v>76</v>
      </c>
      <c r="C19" s="0" t="s">
        <v>57</v>
      </c>
      <c r="D19" s="0" t="n">
        <v>2016</v>
      </c>
      <c r="E19" s="4" t="n">
        <v>3000</v>
      </c>
      <c r="F19" s="5" t="s">
        <v>48</v>
      </c>
      <c r="G19" s="4" t="n">
        <v>3.85</v>
      </c>
      <c r="H19" s="4" t="n">
        <v>0.001</v>
      </c>
      <c r="I19" s="4" t="n">
        <v>6.72</v>
      </c>
      <c r="J19" s="5" t="s">
        <v>77</v>
      </c>
      <c r="K19" s="4" t="n">
        <v>778</v>
      </c>
      <c r="L19" s="5" t="s">
        <v>78</v>
      </c>
      <c r="M19" s="5" t="s">
        <v>79</v>
      </c>
      <c r="N19" s="5" t="s">
        <v>80</v>
      </c>
      <c r="O19" s="5" t="s">
        <v>81</v>
      </c>
      <c r="Q19" s="6" t="n">
        <f aca="false">E19*G19*H19</f>
        <v>11.55</v>
      </c>
      <c r="R19" s="7" t="n">
        <f aca="false">I19/Q19</f>
        <v>0.581818181818182</v>
      </c>
      <c r="S19" s="6" t="n">
        <f aca="false">I19*K19/1000</f>
        <v>5.22816</v>
      </c>
      <c r="T19" s="7" t="n">
        <f aca="false">Q19/Q18-1</f>
        <v>0.136363636363636</v>
      </c>
      <c r="U19" s="7" t="n">
        <f aca="false">I19/I18-1</f>
        <v>0.292307692307692</v>
      </c>
      <c r="V19" s="7" t="n">
        <f aca="false">S19/S18-1</f>
        <v>0.358669438669439</v>
      </c>
      <c r="W19" s="6" t="n">
        <f aca="false">IF(ABS(T19)&gt;=0.05,U19/T19,"")</f>
        <v>2.14358974358974</v>
      </c>
      <c r="X19" s="5" t="n">
        <f aca="false">MAX(I$16:I19)</f>
        <v>6.72</v>
      </c>
      <c r="Y19" s="7" t="n">
        <f aca="false">I19/X19-1</f>
        <v>0</v>
      </c>
      <c r="Z19" s="5" t="n">
        <f aca="false">LN(I19/I18)</f>
        <v>0.256429528947676</v>
      </c>
      <c r="AA19" s="5" t="n">
        <f aca="false">LN(K19/K18)</f>
        <v>0.0500763379801761</v>
      </c>
      <c r="AB19" s="5" t="n">
        <f aca="false">LN(S19/S18)</f>
        <v>0.306505866927853</v>
      </c>
    </row>
    <row r="20" customFormat="false" ht="15" hidden="false" customHeight="false" outlineLevel="0" collapsed="false">
      <c r="A20" s="0" t="s">
        <v>45</v>
      </c>
      <c r="B20" s="0" t="s">
        <v>76</v>
      </c>
      <c r="C20" s="0" t="s">
        <v>58</v>
      </c>
      <c r="D20" s="0" t="n">
        <v>2017</v>
      </c>
      <c r="E20" s="4" t="n">
        <v>2180</v>
      </c>
      <c r="F20" s="5" t="s">
        <v>48</v>
      </c>
      <c r="G20" s="4" t="n">
        <v>4.25</v>
      </c>
      <c r="H20" s="4" t="n">
        <v>0.001</v>
      </c>
      <c r="I20" s="4" t="n">
        <v>7.6</v>
      </c>
      <c r="J20" s="5" t="s">
        <v>77</v>
      </c>
      <c r="K20" s="4" t="n">
        <v>969</v>
      </c>
      <c r="L20" s="5" t="s">
        <v>78</v>
      </c>
      <c r="M20" s="5" t="s">
        <v>79</v>
      </c>
      <c r="N20" s="5" t="s">
        <v>80</v>
      </c>
      <c r="O20" s="5" t="s">
        <v>81</v>
      </c>
      <c r="P20" s="5" t="s">
        <v>82</v>
      </c>
      <c r="Q20" s="6" t="n">
        <f aca="false">E20*G20*H20</f>
        <v>9.265</v>
      </c>
      <c r="R20" s="7" t="n">
        <f aca="false">I20/Q20</f>
        <v>0.820291419320022</v>
      </c>
      <c r="S20" s="6" t="n">
        <f aca="false">I20*K20/1000</f>
        <v>7.3644</v>
      </c>
      <c r="T20" s="7" t="n">
        <f aca="false">Q20/Q19-1</f>
        <v>-0.197835497835498</v>
      </c>
      <c r="U20" s="7" t="n">
        <f aca="false">I20/I19-1</f>
        <v>0.130952380952381</v>
      </c>
      <c r="V20" s="7" t="n">
        <f aca="false">S20/S19-1</f>
        <v>0.40860264414249</v>
      </c>
      <c r="W20" s="6" t="n">
        <f aca="false">IF(ABS(T20)&gt;=0.05,U20/T20,"")</f>
        <v>-0.661925601750547</v>
      </c>
      <c r="X20" s="5" t="n">
        <f aca="false">MAX(I$16:I20)</f>
        <v>7.6</v>
      </c>
      <c r="Y20" s="7" t="n">
        <f aca="false">I20/X20-1</f>
        <v>0</v>
      </c>
      <c r="Z20" s="5" t="n">
        <f aca="false">LN(I20/I19)</f>
        <v>0.123060092757227</v>
      </c>
      <c r="AA20" s="5" t="n">
        <f aca="false">LN(K20/K19)</f>
        <v>0.219538087712375</v>
      </c>
      <c r="AB20" s="5" t="n">
        <f aca="false">LN(S20/S19)</f>
        <v>0.342598180469602</v>
      </c>
    </row>
    <row r="21" customFormat="false" ht="15" hidden="false" customHeight="false" outlineLevel="0" collapsed="false">
      <c r="A21" s="0" t="s">
        <v>45</v>
      </c>
      <c r="B21" s="0" t="s">
        <v>76</v>
      </c>
      <c r="C21" s="0" t="s">
        <v>60</v>
      </c>
      <c r="D21" s="0" t="n">
        <v>2018</v>
      </c>
      <c r="E21" s="4" t="n">
        <v>2200</v>
      </c>
      <c r="F21" s="5" t="s">
        <v>48</v>
      </c>
      <c r="G21" s="4" t="n">
        <v>4.45</v>
      </c>
      <c r="H21" s="4" t="n">
        <v>0.001</v>
      </c>
      <c r="I21" s="4" t="n">
        <v>7.6</v>
      </c>
      <c r="J21" s="5" t="s">
        <v>77</v>
      </c>
      <c r="K21" s="4" t="n">
        <v>905</v>
      </c>
      <c r="L21" s="5" t="s">
        <v>78</v>
      </c>
      <c r="M21" s="5" t="s">
        <v>79</v>
      </c>
      <c r="N21" s="5" t="s">
        <v>80</v>
      </c>
      <c r="O21" s="5" t="s">
        <v>81</v>
      </c>
      <c r="Q21" s="6" t="n">
        <f aca="false">E21*G21*H21</f>
        <v>9.79</v>
      </c>
      <c r="R21" s="7" t="n">
        <f aca="false">I21/Q21</f>
        <v>0.776302349336057</v>
      </c>
      <c r="S21" s="6" t="n">
        <f aca="false">I21*K21/1000</f>
        <v>6.878</v>
      </c>
      <c r="T21" s="7" t="n">
        <f aca="false">Q21/Q20-1</f>
        <v>0.0566648677819752</v>
      </c>
      <c r="U21" s="7" t="n">
        <f aca="false">I21/I20-1</f>
        <v>0</v>
      </c>
      <c r="V21" s="7" t="n">
        <f aca="false">S21/S20-1</f>
        <v>-0.066047471620227</v>
      </c>
      <c r="W21" s="6" t="n">
        <f aca="false">IF(ABS(T21)&gt;=0.05,U21/T21,"")</f>
        <v>0</v>
      </c>
      <c r="X21" s="5" t="n">
        <f aca="false">MAX(I$16:I21)</f>
        <v>7.6</v>
      </c>
      <c r="Y21" s="7" t="n">
        <f aca="false">I21/X21-1</f>
        <v>0</v>
      </c>
      <c r="Z21" s="5" t="n">
        <f aca="false">LN(I21/I20)</f>
        <v>0</v>
      </c>
      <c r="AA21" s="5" t="n">
        <f aca="false">LN(K21/K20)</f>
        <v>-0.0683296681908401</v>
      </c>
      <c r="AB21" s="5" t="n">
        <f aca="false">LN(S21/S20)</f>
        <v>-0.06832966819084</v>
      </c>
    </row>
    <row r="22" customFormat="false" ht="15" hidden="false" customHeight="false" outlineLevel="0" collapsed="false">
      <c r="A22" s="0" t="s">
        <v>45</v>
      </c>
      <c r="B22" s="0" t="s">
        <v>76</v>
      </c>
      <c r="C22" s="0" t="s">
        <v>62</v>
      </c>
      <c r="D22" s="0" t="n">
        <v>2019</v>
      </c>
      <c r="E22" s="4" t="n">
        <v>2300</v>
      </c>
      <c r="F22" s="5" t="s">
        <v>48</v>
      </c>
      <c r="G22" s="4" t="n">
        <v>5</v>
      </c>
      <c r="H22" s="4" t="n">
        <v>0.001</v>
      </c>
      <c r="I22" s="4" t="n">
        <v>7.6</v>
      </c>
      <c r="J22" s="5" t="s">
        <v>77</v>
      </c>
      <c r="K22" s="4" t="n">
        <v>812</v>
      </c>
      <c r="L22" s="5" t="s">
        <v>78</v>
      </c>
      <c r="M22" s="5" t="s">
        <v>79</v>
      </c>
      <c r="N22" s="5" t="s">
        <v>80</v>
      </c>
      <c r="O22" s="5" t="s">
        <v>81</v>
      </c>
      <c r="Q22" s="6" t="n">
        <f aca="false">E22*G22*H22</f>
        <v>11.5</v>
      </c>
      <c r="R22" s="7" t="n">
        <f aca="false">I22/Q22</f>
        <v>0.660869565217391</v>
      </c>
      <c r="S22" s="6" t="n">
        <f aca="false">I22*K22/1000</f>
        <v>6.1712</v>
      </c>
      <c r="T22" s="7" t="n">
        <f aca="false">Q22/Q21-1</f>
        <v>0.174668028600613</v>
      </c>
      <c r="U22" s="7" t="n">
        <f aca="false">I22/I21-1</f>
        <v>0</v>
      </c>
      <c r="V22" s="7" t="n">
        <f aca="false">S22/S21-1</f>
        <v>-0.102762430939227</v>
      </c>
      <c r="W22" s="6" t="n">
        <f aca="false">IF(ABS(T22)&gt;=0.05,U22/T22,"")</f>
        <v>0</v>
      </c>
      <c r="X22" s="5" t="n">
        <f aca="false">MAX(I$16:I22)</f>
        <v>7.6</v>
      </c>
      <c r="Y22" s="7" t="n">
        <f aca="false">I22/X22-1</f>
        <v>0</v>
      </c>
      <c r="Z22" s="5" t="n">
        <f aca="false">LN(I22/I21)</f>
        <v>0</v>
      </c>
      <c r="AA22" s="5" t="n">
        <f aca="false">LN(K22/K21)</f>
        <v>-0.108434603538248</v>
      </c>
      <c r="AB22" s="5" t="n">
        <f aca="false">LN(S22/S21)</f>
        <v>-0.108434603538248</v>
      </c>
    </row>
    <row r="23" customFormat="false" ht="15" hidden="false" customHeight="false" outlineLevel="0" collapsed="false">
      <c r="A23" s="0" t="s">
        <v>45</v>
      </c>
      <c r="B23" s="0" t="s">
        <v>76</v>
      </c>
      <c r="C23" s="0" t="s">
        <v>63</v>
      </c>
      <c r="D23" s="0" t="n">
        <v>2020</v>
      </c>
      <c r="E23" s="4" t="n">
        <v>2450</v>
      </c>
      <c r="F23" s="5" t="s">
        <v>48</v>
      </c>
      <c r="G23" s="4" t="n">
        <v>5.6</v>
      </c>
      <c r="H23" s="4" t="n">
        <v>0.001</v>
      </c>
      <c r="I23" s="4" t="n">
        <v>8.24</v>
      </c>
      <c r="J23" s="5" t="s">
        <v>77</v>
      </c>
      <c r="K23" s="4" t="n">
        <v>771</v>
      </c>
      <c r="L23" s="5" t="s">
        <v>78</v>
      </c>
      <c r="M23" s="5" t="s">
        <v>79</v>
      </c>
      <c r="N23" s="5" t="s">
        <v>80</v>
      </c>
      <c r="O23" s="5" t="s">
        <v>81</v>
      </c>
      <c r="Q23" s="6" t="n">
        <f aca="false">E23*G23*H23</f>
        <v>13.72</v>
      </c>
      <c r="R23" s="7" t="n">
        <f aca="false">I23/Q23</f>
        <v>0.600583090379009</v>
      </c>
      <c r="S23" s="6" t="n">
        <f aca="false">I23*K23/1000</f>
        <v>6.35304</v>
      </c>
      <c r="T23" s="7" t="n">
        <f aca="false">Q23/Q22-1</f>
        <v>0.19304347826087</v>
      </c>
      <c r="U23" s="7" t="n">
        <f aca="false">I23/I22-1</f>
        <v>0.0842105263157895</v>
      </c>
      <c r="V23" s="7" t="n">
        <f aca="false">S23/S22-1</f>
        <v>0.029465906144672</v>
      </c>
      <c r="W23" s="6" t="n">
        <f aca="false">IF(ABS(T23)&gt;=0.05,U23/T23,"")</f>
        <v>0.436225699383594</v>
      </c>
      <c r="X23" s="5" t="n">
        <f aca="false">MAX(I$16:I23)</f>
        <v>8.24</v>
      </c>
      <c r="Y23" s="7" t="n">
        <f aca="false">I23/X23-1</f>
        <v>0</v>
      </c>
      <c r="Z23" s="5" t="n">
        <f aca="false">LN(I23/I22)</f>
        <v>0.080852096629095</v>
      </c>
      <c r="AA23" s="5" t="n">
        <f aca="false">LN(K23/K22)</f>
        <v>-0.0518119665983484</v>
      </c>
      <c r="AB23" s="5" t="n">
        <f aca="false">LN(S23/S22)</f>
        <v>0.0290401300307465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0" t="s">
        <v>64</v>
      </c>
      <c r="D24" s="0" t="n">
        <v>2021</v>
      </c>
      <c r="E24" s="4" t="n">
        <v>2420</v>
      </c>
      <c r="F24" s="5" t="s">
        <v>48</v>
      </c>
      <c r="G24" s="4" t="n">
        <v>5.75</v>
      </c>
      <c r="H24" s="4" t="n">
        <v>0.001</v>
      </c>
      <c r="I24" s="4" t="n">
        <v>10.56</v>
      </c>
      <c r="J24" s="5" t="s">
        <v>77</v>
      </c>
      <c r="K24" s="4" t="n">
        <v>1047</v>
      </c>
      <c r="L24" s="5" t="s">
        <v>78</v>
      </c>
      <c r="M24" s="5" t="s">
        <v>79</v>
      </c>
      <c r="N24" s="5" t="s">
        <v>80</v>
      </c>
      <c r="O24" s="5" t="s">
        <v>81</v>
      </c>
      <c r="Q24" s="6" t="n">
        <f aca="false">E24*G24*H24</f>
        <v>13.915</v>
      </c>
      <c r="R24" s="7" t="n">
        <f aca="false">I24/Q24</f>
        <v>0.758893280632411</v>
      </c>
      <c r="S24" s="6" t="n">
        <f aca="false">I24*K24/1000</f>
        <v>11.05632</v>
      </c>
      <c r="T24" s="7" t="n">
        <f aca="false">Q24/Q23-1</f>
        <v>0.0142128279883382</v>
      </c>
      <c r="U24" s="7" t="n">
        <f aca="false">I24/I23-1</f>
        <v>0.281553398058253</v>
      </c>
      <c r="V24" s="7" t="n">
        <f aca="false">S24/S23-1</f>
        <v>0.740319595028522</v>
      </c>
      <c r="W24" s="6" t="str">
        <f aca="false">IF(ABS(T24)&gt;=0.05,U24/T24,"")</f>
        <v/>
      </c>
      <c r="X24" s="5" t="n">
        <f aca="false">MAX(I$16:I24)</f>
        <v>10.56</v>
      </c>
      <c r="Y24" s="7" t="n">
        <f aca="false">I24/X24-1</f>
        <v>0</v>
      </c>
      <c r="Z24" s="5" t="n">
        <f aca="false">LN(I24/I23)</f>
        <v>0.248072934356735</v>
      </c>
      <c r="AA24" s="5" t="n">
        <f aca="false">LN(K24/K23)</f>
        <v>0.305995837307207</v>
      </c>
      <c r="AB24" s="5" t="n">
        <f aca="false">LN(S24/S23)</f>
        <v>0.554068771663942</v>
      </c>
    </row>
    <row r="25" customFormat="false" ht="15" hidden="false" customHeight="false" outlineLevel="0" collapsed="false">
      <c r="A25" s="0" t="s">
        <v>45</v>
      </c>
      <c r="B25" s="0" t="s">
        <v>76</v>
      </c>
      <c r="C25" s="0" t="s">
        <v>66</v>
      </c>
      <c r="D25" s="0" t="n">
        <v>2022</v>
      </c>
      <c r="E25" s="4" t="n">
        <v>2450</v>
      </c>
      <c r="F25" s="5" t="s">
        <v>48</v>
      </c>
      <c r="G25" s="4" t="n">
        <v>6.8</v>
      </c>
      <c r="H25" s="4" t="n">
        <v>0.001</v>
      </c>
      <c r="I25" s="4" t="n">
        <v>10.56</v>
      </c>
      <c r="J25" s="5" t="s">
        <v>77</v>
      </c>
      <c r="K25" s="4" t="n">
        <v>683</v>
      </c>
      <c r="L25" s="5" t="s">
        <v>78</v>
      </c>
      <c r="M25" s="5" t="s">
        <v>79</v>
      </c>
      <c r="N25" s="5" t="s">
        <v>80</v>
      </c>
      <c r="O25" s="5" t="s">
        <v>81</v>
      </c>
      <c r="Q25" s="6" t="n">
        <f aca="false">E25*G25*H25</f>
        <v>16.66</v>
      </c>
      <c r="R25" s="7" t="n">
        <f aca="false">I25/Q25</f>
        <v>0.633853541416567</v>
      </c>
      <c r="S25" s="6" t="n">
        <f aca="false">I25*K25/1000</f>
        <v>7.21248</v>
      </c>
      <c r="T25" s="7" t="n">
        <f aca="false">Q25/Q24-1</f>
        <v>0.197269134028027</v>
      </c>
      <c r="U25" s="7" t="n">
        <f aca="false">I25/I24-1</f>
        <v>0</v>
      </c>
      <c r="V25" s="7" t="n">
        <f aca="false">S25/S24-1</f>
        <v>-0.347659980897803</v>
      </c>
      <c r="W25" s="6" t="n">
        <f aca="false">IF(ABS(T25)&gt;=0.05,U25/T25,"")</f>
        <v>0</v>
      </c>
      <c r="X25" s="5" t="n">
        <f aca="false">MAX(I$16:I25)</f>
        <v>10.56</v>
      </c>
      <c r="Y25" s="7" t="n">
        <f aca="false">I25/X25-1</f>
        <v>0</v>
      </c>
      <c r="Z25" s="5" t="n">
        <f aca="false">LN(I25/I24)</f>
        <v>0</v>
      </c>
      <c r="AA25" s="5" t="n">
        <f aca="false">LN(K25/K24)</f>
        <v>-0.427189351299747</v>
      </c>
      <c r="AB25" s="5" t="n">
        <f aca="false">LN(S25/S24)</f>
        <v>-0.427189351299747</v>
      </c>
    </row>
    <row r="26" customFormat="false" ht="15" hidden="false" customHeight="false" outlineLevel="0" collapsed="false">
      <c r="A26" s="0" t="s">
        <v>45</v>
      </c>
      <c r="B26" s="0" t="s">
        <v>76</v>
      </c>
      <c r="C26" s="0" t="s">
        <v>67</v>
      </c>
      <c r="D26" s="0" t="n">
        <v>2023</v>
      </c>
      <c r="E26" s="4" t="n">
        <v>2750</v>
      </c>
      <c r="F26" s="5" t="s">
        <v>48</v>
      </c>
      <c r="G26" s="4" t="n">
        <v>11</v>
      </c>
      <c r="H26" s="4" t="n">
        <v>0.001</v>
      </c>
      <c r="I26" s="4" t="n">
        <v>12.8</v>
      </c>
      <c r="J26" s="5" t="s">
        <v>77</v>
      </c>
      <c r="K26" s="4" t="n">
        <v>654</v>
      </c>
      <c r="L26" s="5" t="s">
        <v>78</v>
      </c>
      <c r="M26" s="5" t="s">
        <v>79</v>
      </c>
      <c r="N26" s="5" t="s">
        <v>80</v>
      </c>
      <c r="O26" s="5" t="s">
        <v>81</v>
      </c>
      <c r="Q26" s="6" t="n">
        <f aca="false">E26*G26*H26</f>
        <v>30.25</v>
      </c>
      <c r="R26" s="7" t="n">
        <f aca="false">I26/Q26</f>
        <v>0.423140495867769</v>
      </c>
      <c r="S26" s="6" t="n">
        <f aca="false">I26*K26/1000</f>
        <v>8.3712</v>
      </c>
      <c r="T26" s="7" t="n">
        <f aca="false">Q26/Q25-1</f>
        <v>0.815726290516206</v>
      </c>
      <c r="U26" s="7" t="n">
        <f aca="false">I26/I25-1</f>
        <v>0.212121212121212</v>
      </c>
      <c r="V26" s="7" t="n">
        <f aca="false">S26/S25-1</f>
        <v>0.160654864900839</v>
      </c>
      <c r="W26" s="6" t="n">
        <f aca="false">IF(ABS(T26)&gt;=0.05,U26/T26,"")</f>
        <v>0.260039690503267</v>
      </c>
      <c r="X26" s="5" t="n">
        <f aca="false">MAX(I$16:I26)</f>
        <v>12.8</v>
      </c>
      <c r="Y26" s="7" t="n">
        <f aca="false">I26/X26-1</f>
        <v>0</v>
      </c>
      <c r="Z26" s="5" t="n">
        <f aca="false">LN(I26/I25)</f>
        <v>0.192371892647456</v>
      </c>
      <c r="AA26" s="5" t="n">
        <f aca="false">LN(K26/K25)</f>
        <v>-0.0433875081135914</v>
      </c>
      <c r="AB26" s="5" t="n">
        <f aca="false">LN(S26/S25)</f>
        <v>0.148984384533865</v>
      </c>
    </row>
    <row r="27" customFormat="false" ht="15" hidden="false" customHeight="false" outlineLevel="0" collapsed="false">
      <c r="A27" s="0" t="s">
        <v>45</v>
      </c>
      <c r="B27" s="0" t="s">
        <v>76</v>
      </c>
      <c r="C27" s="0" t="s">
        <v>69</v>
      </c>
      <c r="D27" s="0" t="n">
        <v>2024</v>
      </c>
      <c r="E27" s="4" t="n">
        <v>6550</v>
      </c>
      <c r="F27" s="5" t="s">
        <v>48</v>
      </c>
      <c r="G27" s="4" t="n">
        <v>12</v>
      </c>
      <c r="H27" s="4" t="n">
        <v>0.001</v>
      </c>
      <c r="I27" s="4" t="n">
        <v>22.7</v>
      </c>
      <c r="J27" s="5" t="s">
        <v>77</v>
      </c>
      <c r="K27" s="4" t="n">
        <v>432</v>
      </c>
      <c r="L27" s="5" t="s">
        <v>78</v>
      </c>
      <c r="M27" s="5" t="s">
        <v>79</v>
      </c>
      <c r="N27" s="5" t="s">
        <v>80</v>
      </c>
      <c r="O27" s="5" t="s">
        <v>81</v>
      </c>
      <c r="P27" s="5" t="s">
        <v>83</v>
      </c>
      <c r="Q27" s="6" t="n">
        <f aca="false">E27*G27*H27</f>
        <v>78.6</v>
      </c>
      <c r="R27" s="7" t="n">
        <f aca="false">I27/Q27</f>
        <v>0.288804071246819</v>
      </c>
      <c r="S27" s="6" t="n">
        <f aca="false">I27*K27/1000</f>
        <v>9.8064</v>
      </c>
      <c r="T27" s="7" t="n">
        <f aca="false">Q27/Q26-1</f>
        <v>1.59834710743802</v>
      </c>
      <c r="U27" s="7" t="n">
        <f aca="false">I27/I26-1</f>
        <v>0.7734375</v>
      </c>
      <c r="V27" s="7" t="n">
        <f aca="false">S27/S26-1</f>
        <v>0.17144495412844</v>
      </c>
      <c r="W27" s="6" t="n">
        <f aca="false">IF(ABS(T27)&gt;=0.05,U27/T27,"")</f>
        <v>0.483898332471561</v>
      </c>
      <c r="X27" s="5" t="n">
        <f aca="false">MAX(I$16:I27)</f>
        <v>22.7</v>
      </c>
      <c r="Y27" s="7" t="n">
        <f aca="false">I27/X27-1</f>
        <v>0</v>
      </c>
      <c r="Z27" s="5" t="n">
        <f aca="false">LN(I27/I26)</f>
        <v>0.572919753561785</v>
      </c>
      <c r="AA27" s="5" t="n">
        <f aca="false">LN(K27/K26)</f>
        <v>-0.414681763213088</v>
      </c>
      <c r="AB27" s="5" t="n">
        <f aca="false">LN(S27/S26)</f>
        <v>0.158237990348697</v>
      </c>
    </row>
    <row r="28" customFormat="false" ht="15" hidden="false" customHeight="false" outlineLevel="0" collapsed="false">
      <c r="A28" s="0" t="s">
        <v>45</v>
      </c>
      <c r="B28" s="0" t="s">
        <v>76</v>
      </c>
      <c r="C28" s="0" t="s">
        <v>71</v>
      </c>
      <c r="D28" s="0" t="n">
        <v>2025</v>
      </c>
      <c r="E28" s="4" t="n">
        <v>8000</v>
      </c>
      <c r="F28" s="5" t="s">
        <v>48</v>
      </c>
      <c r="G28" s="4" t="n">
        <v>15</v>
      </c>
      <c r="H28" s="4" t="n">
        <v>0.001</v>
      </c>
      <c r="I28" s="4" t="n">
        <v>49.9</v>
      </c>
      <c r="J28" s="5" t="s">
        <v>77</v>
      </c>
      <c r="K28" s="4" t="n">
        <v>600</v>
      </c>
      <c r="L28" s="5" t="s">
        <v>78</v>
      </c>
      <c r="M28" s="5" t="s">
        <v>79</v>
      </c>
      <c r="N28" s="5" t="s">
        <v>80</v>
      </c>
      <c r="O28" s="5" t="s">
        <v>81</v>
      </c>
      <c r="P28" s="5" t="s">
        <v>84</v>
      </c>
      <c r="Q28" s="6" t="n">
        <f aca="false">E28*G28*H28</f>
        <v>120</v>
      </c>
      <c r="R28" s="7" t="n">
        <f aca="false">I28/Q28</f>
        <v>0.415833333333333</v>
      </c>
      <c r="S28" s="6" t="n">
        <f aca="false">I28*K28/1000</f>
        <v>29.94</v>
      </c>
      <c r="T28" s="7" t="n">
        <f aca="false">Q28/Q27-1</f>
        <v>0.526717557251908</v>
      </c>
      <c r="U28" s="7" t="n">
        <f aca="false">I28/I27-1</f>
        <v>1.19823788546256</v>
      </c>
      <c r="V28" s="7" t="n">
        <f aca="false">S28/S27-1</f>
        <v>2.05310817425355</v>
      </c>
      <c r="W28" s="6" t="n">
        <f aca="false">IF(ABS(T28)&gt;=0.05,U28/T28,"")</f>
        <v>2.27491540573326</v>
      </c>
      <c r="X28" s="5" t="n">
        <f aca="false">MAX(I$16:I28)</f>
        <v>49.9</v>
      </c>
      <c r="Y28" s="7" t="n">
        <f aca="false">I28/X28-1</f>
        <v>0</v>
      </c>
      <c r="Z28" s="5" t="n">
        <f aca="false">LN(I28/I27)</f>
        <v>0.787656078270116</v>
      </c>
      <c r="AA28" s="5" t="n">
        <f aca="false">LN(K28/K27)</f>
        <v>0.328504066972036</v>
      </c>
      <c r="AB28" s="5" t="n">
        <f aca="false">LN(S28/S27)</f>
        <v>1.11616014524215</v>
      </c>
    </row>
    <row r="29" customFormat="false" ht="15" hidden="false" customHeight="false" outlineLevel="0" collapsed="false">
      <c r="A29" s="0" t="s">
        <v>45</v>
      </c>
      <c r="B29" s="0" t="s">
        <v>76</v>
      </c>
      <c r="C29" s="0" t="s">
        <v>73</v>
      </c>
      <c r="D29" s="0" t="n">
        <v>2026</v>
      </c>
      <c r="E29" s="4" t="n">
        <v>4700</v>
      </c>
      <c r="F29" s="5" t="s">
        <v>48</v>
      </c>
      <c r="G29" s="4" t="n">
        <v>11.5</v>
      </c>
      <c r="H29" s="4" t="n">
        <v>0.001</v>
      </c>
      <c r="I29" s="4" t="n">
        <v>49.7</v>
      </c>
      <c r="J29" s="5" t="s">
        <v>77</v>
      </c>
      <c r="K29" s="4" t="n">
        <v>650</v>
      </c>
      <c r="L29" s="5" t="s">
        <v>78</v>
      </c>
      <c r="M29" s="5" t="s">
        <v>74</v>
      </c>
      <c r="N29" s="5" t="s">
        <v>80</v>
      </c>
      <c r="O29" s="5" t="s">
        <v>81</v>
      </c>
      <c r="P29" s="5" t="s">
        <v>85</v>
      </c>
      <c r="Q29" s="6" t="n">
        <f aca="false">E29*G29*H29</f>
        <v>54.05</v>
      </c>
      <c r="R29" s="7" t="n">
        <f aca="false">I29/Q29</f>
        <v>0.919518963922294</v>
      </c>
      <c r="S29" s="6" t="n">
        <f aca="false">I29*K29/1000</f>
        <v>32.305</v>
      </c>
      <c r="T29" s="7" t="n">
        <f aca="false">Q29/Q28-1</f>
        <v>-0.549583333333333</v>
      </c>
      <c r="U29" s="7" t="n">
        <f aca="false">I29/I28-1</f>
        <v>-0.00400801603206402</v>
      </c>
      <c r="V29" s="7" t="n">
        <f aca="false">S29/S28-1</f>
        <v>0.078991315965264</v>
      </c>
      <c r="W29" s="6" t="n">
        <f aca="false">IF(ABS(T29)&gt;=0.05,U29/T29,"")</f>
        <v>0.00729282674522642</v>
      </c>
      <c r="X29" s="5" t="n">
        <f aca="false">MAX(I$16:I29)</f>
        <v>49.9</v>
      </c>
      <c r="Y29" s="7" t="n">
        <f aca="false">I29/X29-1</f>
        <v>-0.00400801603206402</v>
      </c>
      <c r="Z29" s="5" t="n">
        <f aca="false">LN(I29/I28)</f>
        <v>-0.00401606965488983</v>
      </c>
      <c r="AA29" s="5" t="n">
        <f aca="false">LN(K29/K28)</f>
        <v>0.0800427076735364</v>
      </c>
      <c r="AB29" s="5" t="n">
        <f aca="false">LN(S29/S28)</f>
        <v>0.0760266380186466</v>
      </c>
    </row>
    <row r="30" customFormat="false" ht="15" hidden="false" customHeight="false" outlineLevel="0" collapsed="false">
      <c r="A30" s="0" t="s">
        <v>86</v>
      </c>
      <c r="B30" s="0" t="s">
        <v>46</v>
      </c>
      <c r="C30" s="0" t="s">
        <v>56</v>
      </c>
      <c r="D30" s="0" t="n">
        <v>2015</v>
      </c>
      <c r="E30" s="4" t="n">
        <v>0.71</v>
      </c>
      <c r="F30" s="5" t="s">
        <v>87</v>
      </c>
      <c r="G30" s="4" t="n">
        <v>560</v>
      </c>
      <c r="H30" s="4" t="n">
        <v>2.20462</v>
      </c>
      <c r="I30" s="4" t="n">
        <v>250</v>
      </c>
      <c r="J30" s="5" t="s">
        <v>49</v>
      </c>
      <c r="K30" s="4" t="n">
        <v>450</v>
      </c>
      <c r="L30" s="5" t="s">
        <v>88</v>
      </c>
      <c r="M30" s="5" t="s">
        <v>79</v>
      </c>
      <c r="N30" s="5" t="s">
        <v>89</v>
      </c>
      <c r="O30" s="5" t="s">
        <v>90</v>
      </c>
      <c r="Q30" s="6" t="n">
        <f aca="false">E30*G30*H30</f>
        <v>876.556912</v>
      </c>
      <c r="R30" s="7" t="n">
        <f aca="false">I30/Q30</f>
        <v>0.285206809252792</v>
      </c>
      <c r="S30" s="6" t="n">
        <f aca="false">I30*K30/1000</f>
        <v>112.5</v>
      </c>
      <c r="T30" s="7"/>
      <c r="U30" s="7"/>
      <c r="V30" s="7"/>
      <c r="W30" s="6"/>
      <c r="X30" s="5" t="n">
        <f aca="false">MAX(I$30:I30)</f>
        <v>250</v>
      </c>
      <c r="Y30" s="7" t="n">
        <f aca="false">I30/X30-1</f>
        <v>0</v>
      </c>
    </row>
    <row r="31" customFormat="false" ht="15" hidden="false" customHeight="false" outlineLevel="0" collapsed="false">
      <c r="A31" s="0" t="s">
        <v>86</v>
      </c>
      <c r="B31" s="0" t="s">
        <v>46</v>
      </c>
      <c r="C31" s="0" t="s">
        <v>57</v>
      </c>
      <c r="D31" s="0" t="n">
        <v>2016</v>
      </c>
      <c r="E31" s="4" t="n">
        <v>0.7</v>
      </c>
      <c r="F31" s="5" t="s">
        <v>87</v>
      </c>
      <c r="G31" s="4" t="n">
        <v>590</v>
      </c>
      <c r="H31" s="4" t="n">
        <v>2.20462</v>
      </c>
      <c r="I31" s="4" t="n">
        <v>250</v>
      </c>
      <c r="J31" s="5" t="s">
        <v>49</v>
      </c>
      <c r="K31" s="4" t="n">
        <v>400</v>
      </c>
      <c r="L31" s="5" t="s">
        <v>88</v>
      </c>
      <c r="M31" s="5" t="s">
        <v>79</v>
      </c>
      <c r="N31" s="5" t="s">
        <v>89</v>
      </c>
      <c r="O31" s="5" t="s">
        <v>90</v>
      </c>
      <c r="Q31" s="6" t="n">
        <f aca="false">E31*G31*H31</f>
        <v>910.50806</v>
      </c>
      <c r="R31" s="7" t="n">
        <f aca="false">I31/Q31</f>
        <v>0.274571979077264</v>
      </c>
      <c r="S31" s="6" t="n">
        <f aca="false">I31*K31/1000</f>
        <v>100</v>
      </c>
      <c r="T31" s="7" t="n">
        <f aca="false">Q31/Q30-1</f>
        <v>0.0387323943661972</v>
      </c>
      <c r="U31" s="7" t="n">
        <f aca="false">I31/I30-1</f>
        <v>0</v>
      </c>
      <c r="V31" s="7" t="n">
        <f aca="false">S31/S30-1</f>
        <v>-0.111111111111111</v>
      </c>
      <c r="W31" s="6" t="str">
        <f aca="false">IF(ABS(T31)&gt;=0.05,U31/T31,"")</f>
        <v/>
      </c>
      <c r="X31" s="5" t="n">
        <f aca="false">MAX(I$30:I31)</f>
        <v>250</v>
      </c>
      <c r="Y31" s="7" t="n">
        <f aca="false">I31/X31-1</f>
        <v>0</v>
      </c>
      <c r="Z31" s="5" t="n">
        <f aca="false">LN(I31/I30)</f>
        <v>0</v>
      </c>
      <c r="AA31" s="5" t="n">
        <f aca="false">LN(K31/K30)</f>
        <v>-0.117783035656384</v>
      </c>
      <c r="AB31" s="5" t="n">
        <f aca="false">LN(S31/S30)</f>
        <v>-0.117783035656384</v>
      </c>
    </row>
    <row r="32" customFormat="false" ht="15" hidden="false" customHeight="false" outlineLevel="0" collapsed="false">
      <c r="A32" s="0" t="s">
        <v>86</v>
      </c>
      <c r="B32" s="0" t="s">
        <v>46</v>
      </c>
      <c r="C32" s="0" t="s">
        <v>58</v>
      </c>
      <c r="D32" s="0" t="n">
        <v>2017</v>
      </c>
      <c r="E32" s="4" t="n">
        <v>0.83</v>
      </c>
      <c r="F32" s="5" t="s">
        <v>87</v>
      </c>
      <c r="G32" s="4" t="n">
        <v>600</v>
      </c>
      <c r="H32" s="4" t="n">
        <v>2.20462</v>
      </c>
      <c r="I32" s="4" t="n">
        <v>265</v>
      </c>
      <c r="J32" s="5" t="s">
        <v>49</v>
      </c>
      <c r="K32" s="4" t="n">
        <v>328</v>
      </c>
      <c r="L32" s="5" t="s">
        <v>88</v>
      </c>
      <c r="M32" s="5" t="s">
        <v>79</v>
      </c>
      <c r="N32" s="5" t="s">
        <v>89</v>
      </c>
      <c r="O32" s="5" t="s">
        <v>90</v>
      </c>
      <c r="Q32" s="6" t="n">
        <f aca="false">E32*G32*H32</f>
        <v>1097.90076</v>
      </c>
      <c r="R32" s="7" t="n">
        <f aca="false">I32/Q32</f>
        <v>0.241369720884427</v>
      </c>
      <c r="S32" s="6" t="n">
        <f aca="false">I32*K32/1000</f>
        <v>86.92</v>
      </c>
      <c r="T32" s="7" t="n">
        <f aca="false">Q32/Q31-1</f>
        <v>0.205811138014528</v>
      </c>
      <c r="U32" s="7" t="n">
        <f aca="false">I32/I31-1</f>
        <v>0.0600000000000001</v>
      </c>
      <c r="V32" s="7" t="n">
        <f aca="false">S32/S31-1</f>
        <v>-0.1308</v>
      </c>
      <c r="W32" s="6" t="n">
        <f aca="false">IF(ABS(T32)&gt;=0.05,U32/T32,"")</f>
        <v>0.291529411764706</v>
      </c>
      <c r="X32" s="5" t="n">
        <f aca="false">MAX(I$30:I32)</f>
        <v>265</v>
      </c>
      <c r="Y32" s="7" t="n">
        <f aca="false">I32/X32-1</f>
        <v>0</v>
      </c>
      <c r="Z32" s="5" t="n">
        <f aca="false">LN(I32/I31)</f>
        <v>0.0582689081239758</v>
      </c>
      <c r="AA32" s="5" t="n">
        <f aca="false">LN(K32/K31)</f>
        <v>-0.198450938723838</v>
      </c>
      <c r="AB32" s="5" t="n">
        <f aca="false">LN(S32/S31)</f>
        <v>-0.140182030599863</v>
      </c>
    </row>
    <row r="33" customFormat="false" ht="15" hidden="false" customHeight="false" outlineLevel="0" collapsed="false">
      <c r="A33" s="0" t="s">
        <v>86</v>
      </c>
      <c r="B33" s="0" t="s">
        <v>46</v>
      </c>
      <c r="C33" s="0" t="s">
        <v>60</v>
      </c>
      <c r="D33" s="0" t="n">
        <v>2018</v>
      </c>
      <c r="E33" s="4" t="n">
        <v>0.88</v>
      </c>
      <c r="F33" s="5" t="s">
        <v>87</v>
      </c>
      <c r="G33" s="4" t="n">
        <v>555</v>
      </c>
      <c r="H33" s="4" t="n">
        <v>2.20462</v>
      </c>
      <c r="I33" s="4" t="n">
        <v>265</v>
      </c>
      <c r="J33" s="5" t="s">
        <v>49</v>
      </c>
      <c r="K33" s="4" t="n">
        <v>413</v>
      </c>
      <c r="L33" s="5" t="s">
        <v>88</v>
      </c>
      <c r="M33" s="5" t="s">
        <v>79</v>
      </c>
      <c r="N33" s="5" t="s">
        <v>89</v>
      </c>
      <c r="O33" s="5" t="s">
        <v>90</v>
      </c>
      <c r="Q33" s="6" t="n">
        <f aca="false">E33*G33*H33</f>
        <v>1076.736408</v>
      </c>
      <c r="R33" s="7" t="n">
        <f aca="false">I33/Q33</f>
        <v>0.246114088862499</v>
      </c>
      <c r="S33" s="6" t="n">
        <f aca="false">I33*K33/1000</f>
        <v>109.445</v>
      </c>
      <c r="T33" s="7" t="n">
        <f aca="false">Q33/Q32-1</f>
        <v>-0.0192771084337352</v>
      </c>
      <c r="U33" s="7" t="n">
        <f aca="false">I33/I32-1</f>
        <v>0</v>
      </c>
      <c r="V33" s="7" t="n">
        <f aca="false">S33/S32-1</f>
        <v>0.259146341463415</v>
      </c>
      <c r="W33" s="6" t="str">
        <f aca="false">IF(ABS(T33)&gt;=0.05,U33/T33,"")</f>
        <v/>
      </c>
      <c r="X33" s="5" t="n">
        <f aca="false">MAX(I$30:I33)</f>
        <v>265</v>
      </c>
      <c r="Y33" s="7" t="n">
        <f aca="false">I33/X33-1</f>
        <v>0</v>
      </c>
      <c r="Z33" s="5" t="n">
        <f aca="false">LN(I33/I32)</f>
        <v>0</v>
      </c>
      <c r="AA33" s="5" t="n">
        <f aca="false">LN(K33/K32)</f>
        <v>0.230433984576889</v>
      </c>
      <c r="AB33" s="5" t="n">
        <f aca="false">LN(S33/S32)</f>
        <v>0.230433984576889</v>
      </c>
    </row>
    <row r="34" customFormat="false" ht="15" hidden="false" customHeight="false" outlineLevel="0" collapsed="false">
      <c r="A34" s="0" t="s">
        <v>86</v>
      </c>
      <c r="B34" s="0" t="s">
        <v>46</v>
      </c>
      <c r="C34" s="0" t="s">
        <v>62</v>
      </c>
      <c r="D34" s="0" t="n">
        <v>2019</v>
      </c>
      <c r="E34" s="4" t="n">
        <v>0.84</v>
      </c>
      <c r="F34" s="5" t="s">
        <v>87</v>
      </c>
      <c r="G34" s="4" t="n">
        <v>575</v>
      </c>
      <c r="H34" s="4" t="n">
        <v>2.20462</v>
      </c>
      <c r="I34" s="4" t="n">
        <v>265</v>
      </c>
      <c r="J34" s="5" t="s">
        <v>49</v>
      </c>
      <c r="K34" s="4" t="n">
        <v>482</v>
      </c>
      <c r="L34" s="5" t="s">
        <v>88</v>
      </c>
      <c r="M34" s="5" t="s">
        <v>79</v>
      </c>
      <c r="N34" s="5" t="s">
        <v>89</v>
      </c>
      <c r="O34" s="5" t="s">
        <v>90</v>
      </c>
      <c r="Q34" s="6" t="n">
        <f aca="false">E34*G34*H34</f>
        <v>1064.83146</v>
      </c>
      <c r="R34" s="7" t="n">
        <f aca="false">I34/Q34</f>
        <v>0.248865674949161</v>
      </c>
      <c r="S34" s="6" t="n">
        <f aca="false">I34*K34/1000</f>
        <v>127.73</v>
      </c>
      <c r="T34" s="7" t="n">
        <f aca="false">Q34/Q33-1</f>
        <v>-0.011056511056511</v>
      </c>
      <c r="U34" s="7" t="n">
        <f aca="false">I34/I33-1</f>
        <v>0</v>
      </c>
      <c r="V34" s="7" t="n">
        <f aca="false">S34/S33-1</f>
        <v>0.167070217917676</v>
      </c>
      <c r="W34" s="6" t="str">
        <f aca="false">IF(ABS(T34)&gt;=0.05,U34/T34,"")</f>
        <v/>
      </c>
      <c r="X34" s="5" t="n">
        <f aca="false">MAX(I$30:I34)</f>
        <v>265</v>
      </c>
      <c r="Y34" s="7" t="n">
        <f aca="false">I34/X34-1</f>
        <v>0</v>
      </c>
      <c r="Z34" s="5" t="n">
        <f aca="false">LN(I34/I33)</f>
        <v>0</v>
      </c>
      <c r="AA34" s="5" t="n">
        <f aca="false">LN(K34/K33)</f>
        <v>0.154496521089568</v>
      </c>
      <c r="AB34" s="5" t="n">
        <f aca="false">LN(S34/S33)</f>
        <v>0.154496521089568</v>
      </c>
    </row>
    <row r="35" customFormat="false" ht="15" hidden="false" customHeight="false" outlineLevel="0" collapsed="false">
      <c r="A35" s="0" t="s">
        <v>86</v>
      </c>
      <c r="B35" s="0" t="s">
        <v>46</v>
      </c>
      <c r="C35" s="0" t="s">
        <v>63</v>
      </c>
      <c r="D35" s="0" t="n">
        <v>2020</v>
      </c>
      <c r="E35" s="4" t="n">
        <v>0.72</v>
      </c>
      <c r="F35" s="5" t="s">
        <v>87</v>
      </c>
      <c r="G35" s="4" t="n">
        <v>590</v>
      </c>
      <c r="H35" s="4" t="n">
        <v>2.20462</v>
      </c>
      <c r="I35" s="4" t="n">
        <v>300</v>
      </c>
      <c r="J35" s="5" t="s">
        <v>49</v>
      </c>
      <c r="K35" s="4" t="n">
        <v>490</v>
      </c>
      <c r="L35" s="5" t="s">
        <v>88</v>
      </c>
      <c r="M35" s="5" t="s">
        <v>79</v>
      </c>
      <c r="N35" s="5" t="s">
        <v>89</v>
      </c>
      <c r="O35" s="5" t="s">
        <v>90</v>
      </c>
      <c r="Q35" s="6" t="n">
        <f aca="false">E35*G35*H35</f>
        <v>936.522576</v>
      </c>
      <c r="R35" s="7" t="n">
        <f aca="false">I35/Q35</f>
        <v>0.320333975590141</v>
      </c>
      <c r="S35" s="6" t="n">
        <f aca="false">I35*K35/1000</f>
        <v>147</v>
      </c>
      <c r="T35" s="7" t="n">
        <f aca="false">Q35/Q34-1</f>
        <v>-0.120496894409938</v>
      </c>
      <c r="U35" s="7" t="n">
        <f aca="false">I35/I34-1</f>
        <v>0.132075471698113</v>
      </c>
      <c r="V35" s="7" t="n">
        <f aca="false">S35/S34-1</f>
        <v>0.150865106083144</v>
      </c>
      <c r="W35" s="6" t="n">
        <f aca="false">IF(ABS(T35)&gt;=0.05,U35/T35,"")</f>
        <v>-1.09609025481424</v>
      </c>
      <c r="X35" s="5" t="n">
        <f aca="false">MAX(I$30:I35)</f>
        <v>300</v>
      </c>
      <c r="Y35" s="7" t="n">
        <f aca="false">I35/X35-1</f>
        <v>0</v>
      </c>
      <c r="Z35" s="5" t="n">
        <f aca="false">LN(I35/I34)</f>
        <v>0.124052648669979</v>
      </c>
      <c r="AA35" s="5" t="n">
        <f aca="false">LN(K35/K34)</f>
        <v>0.0164612770540719</v>
      </c>
      <c r="AB35" s="5" t="n">
        <f aca="false">LN(S35/S34)</f>
        <v>0.140513925724051</v>
      </c>
    </row>
    <row r="36" customFormat="false" ht="15" hidden="false" customHeight="false" outlineLevel="0" collapsed="false">
      <c r="A36" s="0" t="s">
        <v>86</v>
      </c>
      <c r="B36" s="0" t="s">
        <v>46</v>
      </c>
      <c r="C36" s="0" t="s">
        <v>64</v>
      </c>
      <c r="D36" s="0" t="n">
        <v>2021</v>
      </c>
      <c r="E36" s="4" t="n">
        <v>0.87</v>
      </c>
      <c r="F36" s="5" t="s">
        <v>87</v>
      </c>
      <c r="G36" s="4" t="n">
        <v>550</v>
      </c>
      <c r="H36" s="4" t="n">
        <v>2.20462</v>
      </c>
      <c r="I36" s="4" t="n">
        <v>300</v>
      </c>
      <c r="J36" s="5" t="s">
        <v>49</v>
      </c>
      <c r="K36" s="4" t="n">
        <v>560</v>
      </c>
      <c r="L36" s="5" t="s">
        <v>88</v>
      </c>
      <c r="M36" s="5" t="s">
        <v>79</v>
      </c>
      <c r="N36" s="5" t="s">
        <v>89</v>
      </c>
      <c r="O36" s="5" t="s">
        <v>90</v>
      </c>
      <c r="P36" s="5" t="s">
        <v>91</v>
      </c>
      <c r="Q36" s="6" t="n">
        <f aca="false">E36*G36*H36</f>
        <v>1054.91067</v>
      </c>
      <c r="R36" s="7" t="n">
        <f aca="false">I36/Q36</f>
        <v>0.284384269238646</v>
      </c>
      <c r="S36" s="6" t="n">
        <f aca="false">I36*K36/1000</f>
        <v>168</v>
      </c>
      <c r="T36" s="7" t="n">
        <f aca="false">Q36/Q35-1</f>
        <v>0.126412429378531</v>
      </c>
      <c r="U36" s="7" t="n">
        <f aca="false">I36/I35-1</f>
        <v>0</v>
      </c>
      <c r="V36" s="7" t="n">
        <f aca="false">S36/S35-1</f>
        <v>0.142857142857143</v>
      </c>
      <c r="W36" s="6" t="n">
        <f aca="false">IF(ABS(T36)&gt;=0.05,U36/T36,"")</f>
        <v>0</v>
      </c>
      <c r="X36" s="5" t="n">
        <f aca="false">MAX(I$30:I36)</f>
        <v>300</v>
      </c>
      <c r="Y36" s="7" t="n">
        <f aca="false">I36/X36-1</f>
        <v>0</v>
      </c>
      <c r="Z36" s="5" t="n">
        <f aca="false">LN(I36/I35)</f>
        <v>0</v>
      </c>
      <c r="AA36" s="5" t="n">
        <f aca="false">LN(K36/K35)</f>
        <v>0.133531392624523</v>
      </c>
      <c r="AB36" s="5" t="n">
        <f aca="false">LN(S36/S35)</f>
        <v>0.133531392624523</v>
      </c>
    </row>
    <row r="37" customFormat="false" ht="15" hidden="false" customHeight="false" outlineLevel="0" collapsed="false">
      <c r="A37" s="0" t="s">
        <v>86</v>
      </c>
      <c r="B37" s="0" t="s">
        <v>46</v>
      </c>
      <c r="C37" s="0" t="s">
        <v>66</v>
      </c>
      <c r="D37" s="0" t="n">
        <v>2022</v>
      </c>
      <c r="E37" s="4" t="n">
        <v>1.3</v>
      </c>
      <c r="F37" s="5" t="s">
        <v>87</v>
      </c>
      <c r="G37" s="4" t="n">
        <v>590</v>
      </c>
      <c r="H37" s="4" t="n">
        <v>2.20462</v>
      </c>
      <c r="I37" s="4" t="n">
        <v>300</v>
      </c>
      <c r="J37" s="5" t="s">
        <v>49</v>
      </c>
      <c r="K37" s="4" t="n">
        <v>560</v>
      </c>
      <c r="L37" s="5" t="s">
        <v>88</v>
      </c>
      <c r="M37" s="5" t="s">
        <v>79</v>
      </c>
      <c r="N37" s="5" t="s">
        <v>89</v>
      </c>
      <c r="O37" s="5" t="s">
        <v>90</v>
      </c>
      <c r="P37" s="5" t="s">
        <v>92</v>
      </c>
      <c r="Q37" s="6" t="n">
        <f aca="false">E37*G37*H37</f>
        <v>1690.94354</v>
      </c>
      <c r="R37" s="7" t="n">
        <f aca="false">I37/Q37</f>
        <v>0.177415740326847</v>
      </c>
      <c r="S37" s="6" t="n">
        <f aca="false">I37*K37/1000</f>
        <v>168</v>
      </c>
      <c r="T37" s="7" t="n">
        <f aca="false">Q37/Q36-1</f>
        <v>0.602925809822361</v>
      </c>
      <c r="U37" s="7" t="n">
        <f aca="false">I37/I36-1</f>
        <v>0</v>
      </c>
      <c r="V37" s="7" t="n">
        <f aca="false">S37/S36-1</f>
        <v>0</v>
      </c>
      <c r="W37" s="6" t="n">
        <f aca="false">IF(ABS(T37)&gt;=0.05,U37/T37,"")</f>
        <v>0</v>
      </c>
      <c r="X37" s="5" t="n">
        <f aca="false">MAX(I$30:I37)</f>
        <v>300</v>
      </c>
      <c r="Y37" s="7" t="n">
        <f aca="false">I37/X37-1</f>
        <v>0</v>
      </c>
      <c r="Z37" s="5" t="n">
        <f aca="false">LN(I37/I36)</f>
        <v>0</v>
      </c>
      <c r="AA37" s="5" t="n">
        <f aca="false">LN(K37/K36)</f>
        <v>0</v>
      </c>
      <c r="AB37" s="5" t="n">
        <f aca="false">LN(S37/S36)</f>
        <v>0</v>
      </c>
    </row>
    <row r="38" customFormat="false" ht="15" hidden="false" customHeight="false" outlineLevel="0" collapsed="false">
      <c r="A38" s="0" t="s">
        <v>86</v>
      </c>
      <c r="B38" s="0" t="s">
        <v>46</v>
      </c>
      <c r="C38" s="0" t="s">
        <v>67</v>
      </c>
      <c r="D38" s="0" t="n">
        <v>2023</v>
      </c>
      <c r="E38" s="4" t="n">
        <v>1</v>
      </c>
      <c r="F38" s="5" t="s">
        <v>87</v>
      </c>
      <c r="G38" s="4" t="n">
        <v>615</v>
      </c>
      <c r="H38" s="4" t="n">
        <v>2.20462</v>
      </c>
      <c r="I38" s="4" t="n">
        <v>310</v>
      </c>
      <c r="J38" s="5" t="s">
        <v>49</v>
      </c>
      <c r="K38" s="4" t="n">
        <v>236</v>
      </c>
      <c r="L38" s="5" t="s">
        <v>88</v>
      </c>
      <c r="M38" s="5" t="s">
        <v>79</v>
      </c>
      <c r="N38" s="5" t="s">
        <v>89</v>
      </c>
      <c r="O38" s="5" t="s">
        <v>90</v>
      </c>
      <c r="P38" s="5" t="s">
        <v>93</v>
      </c>
      <c r="Q38" s="6" t="n">
        <f aca="false">E38*G38*H38</f>
        <v>1355.8413</v>
      </c>
      <c r="R38" s="7" t="n">
        <f aca="false">I38/Q38</f>
        <v>0.228640328333412</v>
      </c>
      <c r="S38" s="6" t="n">
        <f aca="false">I38*K38/1000</f>
        <v>73.16</v>
      </c>
      <c r="T38" s="7" t="n">
        <f aca="false">Q38/Q37-1</f>
        <v>-0.198174706649283</v>
      </c>
      <c r="U38" s="7" t="n">
        <f aca="false">I38/I37-1</f>
        <v>0.0333333333333334</v>
      </c>
      <c r="V38" s="7" t="n">
        <f aca="false">S38/S37-1</f>
        <v>-0.56452380952381</v>
      </c>
      <c r="W38" s="6" t="n">
        <f aca="false">IF(ABS(T38)&gt;=0.05,U38/T38,"")</f>
        <v>-0.168201754385965</v>
      </c>
      <c r="X38" s="5" t="n">
        <f aca="false">MAX(I$30:I38)</f>
        <v>310</v>
      </c>
      <c r="Y38" s="7" t="n">
        <f aca="false">I38/X38-1</f>
        <v>0</v>
      </c>
      <c r="Z38" s="5" t="n">
        <f aca="false">LN(I38/I37)</f>
        <v>0.032789822822991</v>
      </c>
      <c r="AA38" s="5" t="n">
        <f aca="false">LN(K38/K37)</f>
        <v>-0.864104978703585</v>
      </c>
      <c r="AB38" s="5" t="n">
        <f aca="false">LN(S38/S37)</f>
        <v>-0.831315155880594</v>
      </c>
    </row>
    <row r="39" customFormat="false" ht="15" hidden="false" customHeight="false" outlineLevel="0" collapsed="false">
      <c r="A39" s="0" t="s">
        <v>86</v>
      </c>
      <c r="B39" s="0" t="s">
        <v>46</v>
      </c>
      <c r="C39" s="0" t="s">
        <v>69</v>
      </c>
      <c r="D39" s="0" t="n">
        <v>2024</v>
      </c>
      <c r="E39" s="4" t="n">
        <v>0.92</v>
      </c>
      <c r="F39" s="5" t="s">
        <v>87</v>
      </c>
      <c r="G39" s="4" t="n">
        <v>605</v>
      </c>
      <c r="H39" s="4" t="n">
        <v>2.20462</v>
      </c>
      <c r="I39" s="4" t="n">
        <v>310</v>
      </c>
      <c r="J39" s="5" t="s">
        <v>49</v>
      </c>
      <c r="K39" s="4" t="n">
        <v>340</v>
      </c>
      <c r="L39" s="5" t="s">
        <v>88</v>
      </c>
      <c r="M39" s="5" t="s">
        <v>79</v>
      </c>
      <c r="N39" s="5" t="s">
        <v>89</v>
      </c>
      <c r="O39" s="5" t="s">
        <v>90</v>
      </c>
      <c r="Q39" s="6" t="n">
        <f aca="false">E39*G39*H39</f>
        <v>1227.091492</v>
      </c>
      <c r="R39" s="7" t="n">
        <f aca="false">I39/Q39</f>
        <v>0.252629899254489</v>
      </c>
      <c r="S39" s="6" t="n">
        <f aca="false">I39*K39/1000</f>
        <v>105.4</v>
      </c>
      <c r="T39" s="7" t="n">
        <f aca="false">Q39/Q38-1</f>
        <v>-0.0949593495934958</v>
      </c>
      <c r="U39" s="7" t="n">
        <f aca="false">I39/I38-1</f>
        <v>0</v>
      </c>
      <c r="V39" s="7" t="n">
        <f aca="false">S39/S38-1</f>
        <v>0.440677966101695</v>
      </c>
      <c r="W39" s="6" t="n">
        <f aca="false">IF(ABS(T39)&gt;=0.05,U39/T39,"")</f>
        <v>-0</v>
      </c>
      <c r="X39" s="5" t="n">
        <f aca="false">MAX(I$30:I39)</f>
        <v>310</v>
      </c>
      <c r="Y39" s="7" t="n">
        <f aca="false">I39/X39-1</f>
        <v>0</v>
      </c>
      <c r="Z39" s="5" t="n">
        <f aca="false">LN(I39/I38)</f>
        <v>0</v>
      </c>
      <c r="AA39" s="5" t="n">
        <f aca="false">LN(K39/K38)</f>
        <v>0.365113812584597</v>
      </c>
      <c r="AB39" s="5" t="n">
        <f aca="false">LN(S39/S38)</f>
        <v>0.365113812584597</v>
      </c>
    </row>
    <row r="40" customFormat="false" ht="15" hidden="false" customHeight="false" outlineLevel="0" collapsed="false">
      <c r="A40" s="0" t="s">
        <v>86</v>
      </c>
      <c r="B40" s="0" t="s">
        <v>46</v>
      </c>
      <c r="C40" s="0" t="s">
        <v>71</v>
      </c>
      <c r="D40" s="0" t="n">
        <v>2025</v>
      </c>
      <c r="E40" s="4" t="n">
        <v>0.8</v>
      </c>
      <c r="F40" s="5" t="s">
        <v>87</v>
      </c>
      <c r="G40" s="4" t="n">
        <v>580</v>
      </c>
      <c r="H40" s="4" t="n">
        <v>2.20462</v>
      </c>
      <c r="I40" s="4" t="n">
        <v>310</v>
      </c>
      <c r="J40" s="5" t="s">
        <v>49</v>
      </c>
      <c r="K40" s="4" t="n">
        <v>470</v>
      </c>
      <c r="L40" s="5" t="s">
        <v>88</v>
      </c>
      <c r="M40" s="5" t="s">
        <v>79</v>
      </c>
      <c r="N40" s="5" t="s">
        <v>89</v>
      </c>
      <c r="O40" s="5" t="s">
        <v>90</v>
      </c>
      <c r="Q40" s="6" t="n">
        <f aca="false">E40*G40*H40</f>
        <v>1022.94368</v>
      </c>
      <c r="R40" s="7" t="n">
        <f aca="false">I40/Q40</f>
        <v>0.303046986907432</v>
      </c>
      <c r="S40" s="6" t="n">
        <f aca="false">I40*K40/1000</f>
        <v>145.7</v>
      </c>
      <c r="T40" s="7" t="n">
        <f aca="false">Q40/Q39-1</f>
        <v>-0.166367229608337</v>
      </c>
      <c r="U40" s="7" t="n">
        <f aca="false">I40/I39-1</f>
        <v>0</v>
      </c>
      <c r="V40" s="7" t="n">
        <f aca="false">S40/S39-1</f>
        <v>0.38235294117647</v>
      </c>
      <c r="W40" s="6" t="n">
        <f aca="false">IF(ABS(T40)&gt;=0.05,U40/T40,"")</f>
        <v>-0</v>
      </c>
      <c r="X40" s="5" t="n">
        <f aca="false">MAX(I$30:I40)</f>
        <v>310</v>
      </c>
      <c r="Y40" s="7" t="n">
        <f aca="false">I40/X40-1</f>
        <v>0</v>
      </c>
      <c r="Z40" s="5" t="n">
        <f aca="false">LN(I40/I39)</f>
        <v>0</v>
      </c>
      <c r="AA40" s="5" t="n">
        <f aca="false">LN(K40/K39)</f>
        <v>0.323787077093897</v>
      </c>
      <c r="AB40" s="5" t="n">
        <f aca="false">LN(S40/S39)</f>
        <v>0.323787077093897</v>
      </c>
    </row>
    <row r="41" customFormat="false" ht="15" hidden="false" customHeight="false" outlineLevel="0" collapsed="false">
      <c r="A41" s="0" t="s">
        <v>86</v>
      </c>
      <c r="B41" s="0" t="s">
        <v>46</v>
      </c>
      <c r="C41" s="0" t="s">
        <v>73</v>
      </c>
      <c r="D41" s="0" t="n">
        <v>2026</v>
      </c>
      <c r="E41" s="4" t="n">
        <v>0.77</v>
      </c>
      <c r="F41" s="5" t="s">
        <v>87</v>
      </c>
      <c r="G41" s="4" t="n">
        <v>565</v>
      </c>
      <c r="H41" s="4" t="n">
        <v>2.20462</v>
      </c>
      <c r="I41" s="4" t="n">
        <v>310</v>
      </c>
      <c r="J41" s="5" t="s">
        <v>49</v>
      </c>
      <c r="K41" s="4" t="n">
        <v>575</v>
      </c>
      <c r="L41" s="5" t="s">
        <v>88</v>
      </c>
      <c r="M41" s="5" t="s">
        <v>74</v>
      </c>
      <c r="N41" s="5" t="s">
        <v>89</v>
      </c>
      <c r="O41" s="5" t="s">
        <v>90</v>
      </c>
      <c r="P41" s="5" t="s">
        <v>94</v>
      </c>
      <c r="Q41" s="6" t="n">
        <f aca="false">E41*G41*H41</f>
        <v>959.119931</v>
      </c>
      <c r="R41" s="7" t="n">
        <f aca="false">I41/Q41</f>
        <v>0.323212968452013</v>
      </c>
      <c r="S41" s="6" t="n">
        <f aca="false">I41*K41/1000</f>
        <v>178.25</v>
      </c>
      <c r="T41" s="7" t="n">
        <f aca="false">Q41/Q40-1</f>
        <v>-0.0623922413793102</v>
      </c>
      <c r="U41" s="7" t="n">
        <f aca="false">I41/I40-1</f>
        <v>0</v>
      </c>
      <c r="V41" s="7" t="n">
        <f aca="false">S41/S40-1</f>
        <v>0.223404255319149</v>
      </c>
      <c r="W41" s="6" t="n">
        <f aca="false">IF(ABS(T41)&gt;=0.05,U41/T41,"")</f>
        <v>-0</v>
      </c>
      <c r="X41" s="5" t="n">
        <f aca="false">MAX(I$30:I41)</f>
        <v>310</v>
      </c>
      <c r="Y41" s="7" t="n">
        <f aca="false">I41/X41-1</f>
        <v>0</v>
      </c>
      <c r="Z41" s="5" t="n">
        <f aca="false">LN(I41/I40)</f>
        <v>0</v>
      </c>
      <c r="AA41" s="5" t="n">
        <f aca="false">LN(K41/K40)</f>
        <v>0.201637346093246</v>
      </c>
      <c r="AB41" s="5" t="n">
        <f aca="false">LN(S41/S40)</f>
        <v>0.201637346093246</v>
      </c>
    </row>
    <row r="42" customFormat="false" ht="15" hidden="false" customHeight="false" outlineLevel="0" collapsed="false">
      <c r="A42" s="0" t="s">
        <v>95</v>
      </c>
      <c r="B42" s="0" t="s">
        <v>46</v>
      </c>
      <c r="C42" s="0" t="s">
        <v>96</v>
      </c>
      <c r="D42" s="0" t="n">
        <v>2016</v>
      </c>
      <c r="E42" s="4" t="n">
        <v>1350</v>
      </c>
      <c r="F42" s="5" t="s">
        <v>48</v>
      </c>
      <c r="G42" s="4" t="n">
        <v>593</v>
      </c>
      <c r="H42" s="4" t="n">
        <v>0.001</v>
      </c>
      <c r="I42" s="4" t="n">
        <v>350</v>
      </c>
      <c r="J42" s="5" t="s">
        <v>49</v>
      </c>
      <c r="K42" s="4" t="n">
        <v>650</v>
      </c>
      <c r="L42" s="5" t="s">
        <v>97</v>
      </c>
      <c r="M42" s="5" t="s">
        <v>98</v>
      </c>
      <c r="N42" s="5" t="s">
        <v>99</v>
      </c>
      <c r="O42" s="5" t="s">
        <v>100</v>
      </c>
      <c r="Q42" s="6" t="n">
        <f aca="false">E42*G42*H42</f>
        <v>800.55</v>
      </c>
      <c r="R42" s="7" t="n">
        <f aca="false">I42/Q42</f>
        <v>0.437199425395041</v>
      </c>
      <c r="S42" s="6" t="n">
        <f aca="false">I42*K42/1000</f>
        <v>227.5</v>
      </c>
      <c r="T42" s="7"/>
      <c r="U42" s="7"/>
      <c r="V42" s="7"/>
      <c r="W42" s="6"/>
      <c r="X42" s="5" t="n">
        <f aca="false">MAX(I$42:I42)</f>
        <v>350</v>
      </c>
      <c r="Y42" s="7" t="n">
        <f aca="false">I42/X42-1</f>
        <v>0</v>
      </c>
    </row>
    <row r="43" customFormat="false" ht="15" hidden="false" customHeight="false" outlineLevel="0" collapsed="false">
      <c r="A43" s="0" t="s">
        <v>95</v>
      </c>
      <c r="B43" s="0" t="s">
        <v>46</v>
      </c>
      <c r="C43" s="0" t="s">
        <v>101</v>
      </c>
      <c r="D43" s="0" t="n">
        <v>2017</v>
      </c>
      <c r="E43" s="4" t="n">
        <v>1800</v>
      </c>
      <c r="F43" s="5" t="s">
        <v>48</v>
      </c>
      <c r="G43" s="4" t="n">
        <v>582</v>
      </c>
      <c r="H43" s="4" t="n">
        <v>0.001</v>
      </c>
      <c r="I43" s="4" t="n">
        <v>440</v>
      </c>
      <c r="J43" s="5" t="s">
        <v>49</v>
      </c>
      <c r="K43" s="4" t="n">
        <v>711</v>
      </c>
      <c r="L43" s="5" t="s">
        <v>97</v>
      </c>
      <c r="M43" s="5" t="s">
        <v>98</v>
      </c>
      <c r="N43" s="5" t="s">
        <v>99</v>
      </c>
      <c r="O43" s="5" t="s">
        <v>100</v>
      </c>
      <c r="Q43" s="6" t="n">
        <f aca="false">E43*G43*H43</f>
        <v>1047.6</v>
      </c>
      <c r="R43" s="7" t="n">
        <f aca="false">I43/Q43</f>
        <v>0.420007636502482</v>
      </c>
      <c r="S43" s="6" t="n">
        <f aca="false">I43*K43/1000</f>
        <v>312.84</v>
      </c>
      <c r="T43" s="7" t="n">
        <f aca="false">Q43/Q42-1</f>
        <v>0.308600337268128</v>
      </c>
      <c r="U43" s="7" t="n">
        <f aca="false">I43/I42-1</f>
        <v>0.257142857142857</v>
      </c>
      <c r="V43" s="7" t="n">
        <f aca="false">S43/S42-1</f>
        <v>0.375120879120879</v>
      </c>
      <c r="W43" s="6" t="n">
        <f aca="false">IF(ABS(T43)&gt;=0.05,U43/T43,"")</f>
        <v>0.833255269320844</v>
      </c>
      <c r="X43" s="5" t="n">
        <f aca="false">MAX(I$42:I43)</f>
        <v>440</v>
      </c>
      <c r="Y43" s="7" t="n">
        <f aca="false">I43/X43-1</f>
        <v>0</v>
      </c>
      <c r="Z43" s="5" t="n">
        <f aca="false">LN(I43/I42)</f>
        <v>0.228841572428847</v>
      </c>
      <c r="AA43" s="5" t="n">
        <f aca="false">LN(K43/K42)</f>
        <v>0.0897000669135581</v>
      </c>
      <c r="AB43" s="5" t="n">
        <f aca="false">LN(S43/S42)</f>
        <v>0.318541639342406</v>
      </c>
    </row>
    <row r="44" customFormat="false" ht="15" hidden="false" customHeight="false" outlineLevel="0" collapsed="false">
      <c r="A44" s="0" t="s">
        <v>95</v>
      </c>
      <c r="B44" s="0" t="s">
        <v>46</v>
      </c>
      <c r="C44" s="0" t="s">
        <v>102</v>
      </c>
      <c r="D44" s="0" t="n">
        <v>2018</v>
      </c>
      <c r="E44" s="4" t="n">
        <v>1600</v>
      </c>
      <c r="F44" s="5" t="s">
        <v>48</v>
      </c>
      <c r="G44" s="4" t="n">
        <v>555</v>
      </c>
      <c r="H44" s="4" t="n">
        <v>0.001</v>
      </c>
      <c r="I44" s="4" t="n">
        <v>500</v>
      </c>
      <c r="J44" s="5" t="s">
        <v>49</v>
      </c>
      <c r="K44" s="4" t="n">
        <v>761</v>
      </c>
      <c r="L44" s="5" t="s">
        <v>97</v>
      </c>
      <c r="M44" s="5" t="s">
        <v>98</v>
      </c>
      <c r="N44" s="5" t="s">
        <v>99</v>
      </c>
      <c r="O44" s="5" t="s">
        <v>100</v>
      </c>
      <c r="P44" s="5" t="s">
        <v>103</v>
      </c>
      <c r="Q44" s="6" t="n">
        <f aca="false">E44*G44*H44</f>
        <v>888</v>
      </c>
      <c r="R44" s="7" t="n">
        <f aca="false">I44/Q44</f>
        <v>0.563063063063063</v>
      </c>
      <c r="S44" s="6" t="n">
        <f aca="false">I44*K44/1000</f>
        <v>380.5</v>
      </c>
      <c r="T44" s="7" t="n">
        <f aca="false">Q44/Q43-1</f>
        <v>-0.152348224513173</v>
      </c>
      <c r="U44" s="7" t="n">
        <f aca="false">I44/I43-1</f>
        <v>0.136363636363636</v>
      </c>
      <c r="V44" s="7" t="n">
        <f aca="false">S44/S43-1</f>
        <v>0.216276690960235</v>
      </c>
      <c r="W44" s="6" t="n">
        <f aca="false">IF(ABS(T44)&gt;=0.05,U44/T44,"")</f>
        <v>-0.895078605604923</v>
      </c>
      <c r="X44" s="5" t="n">
        <f aca="false">MAX(I$42:I44)</f>
        <v>500</v>
      </c>
      <c r="Y44" s="7" t="n">
        <f aca="false">I44/X44-1</f>
        <v>0</v>
      </c>
      <c r="Z44" s="5" t="n">
        <f aca="false">LN(I44/I43)</f>
        <v>0.127833371509885</v>
      </c>
      <c r="AA44" s="5" t="n">
        <f aca="false">LN(K44/K43)</f>
        <v>0.0679609280584449</v>
      </c>
      <c r="AB44" s="5" t="n">
        <f aca="false">LN(S44/S43)</f>
        <v>0.19579429956833</v>
      </c>
    </row>
    <row r="45" customFormat="false" ht="15" hidden="false" customHeight="false" outlineLevel="0" collapsed="false">
      <c r="A45" s="0" t="s">
        <v>95</v>
      </c>
      <c r="B45" s="0" t="s">
        <v>46</v>
      </c>
      <c r="C45" s="0" t="s">
        <v>104</v>
      </c>
      <c r="D45" s="0" t="n">
        <v>2019</v>
      </c>
      <c r="E45" s="4" t="n">
        <v>1150</v>
      </c>
      <c r="F45" s="5" t="s">
        <v>48</v>
      </c>
      <c r="G45" s="4" t="n">
        <v>586</v>
      </c>
      <c r="H45" s="4" t="n">
        <v>0.001</v>
      </c>
      <c r="I45" s="4" t="n">
        <v>375</v>
      </c>
      <c r="J45" s="5" t="s">
        <v>49</v>
      </c>
      <c r="K45" s="4" t="n">
        <v>634</v>
      </c>
      <c r="L45" s="5" t="s">
        <v>97</v>
      </c>
      <c r="M45" s="5" t="s">
        <v>98</v>
      </c>
      <c r="N45" s="5" t="s">
        <v>99</v>
      </c>
      <c r="O45" s="5" t="s">
        <v>100</v>
      </c>
      <c r="Q45" s="6" t="n">
        <f aca="false">E45*G45*H45</f>
        <v>673.9</v>
      </c>
      <c r="R45" s="7" t="n">
        <f aca="false">I45/Q45</f>
        <v>0.5564623831429</v>
      </c>
      <c r="S45" s="6" t="n">
        <f aca="false">I45*K45/1000</f>
        <v>237.75</v>
      </c>
      <c r="T45" s="7" t="n">
        <f aca="false">Q45/Q44-1</f>
        <v>-0.241103603603604</v>
      </c>
      <c r="U45" s="7" t="n">
        <f aca="false">I45/I44-1</f>
        <v>-0.25</v>
      </c>
      <c r="V45" s="7" t="n">
        <f aca="false">S45/S44-1</f>
        <v>-0.375164257555848</v>
      </c>
      <c r="W45" s="6" t="n">
        <f aca="false">IF(ABS(T45)&gt;=0.05,U45/T45,"")</f>
        <v>1.03689864549276</v>
      </c>
      <c r="X45" s="5" t="n">
        <f aca="false">MAX(I$42:I45)</f>
        <v>500</v>
      </c>
      <c r="Y45" s="7" t="n">
        <f aca="false">I45/X45-1</f>
        <v>-0.25</v>
      </c>
      <c r="Z45" s="5" t="n">
        <f aca="false">LN(I45/I44)</f>
        <v>-0.287682072451781</v>
      </c>
      <c r="AA45" s="5" t="n">
        <f aca="false">LN(K45/K44)</f>
        <v>-0.18258440342446</v>
      </c>
      <c r="AB45" s="5" t="n">
        <f aca="false">LN(S45/S44)</f>
        <v>-0.470266475876241</v>
      </c>
    </row>
    <row r="46" customFormat="false" ht="15" hidden="false" customHeight="false" outlineLevel="0" collapsed="false">
      <c r="A46" s="0" t="s">
        <v>95</v>
      </c>
      <c r="B46" s="0" t="s">
        <v>46</v>
      </c>
      <c r="C46" s="0" t="s">
        <v>105</v>
      </c>
      <c r="D46" s="0" t="n">
        <v>2020</v>
      </c>
      <c r="E46" s="4" t="n">
        <v>1000</v>
      </c>
      <c r="F46" s="5" t="s">
        <v>48</v>
      </c>
      <c r="G46" s="4" t="n">
        <v>575</v>
      </c>
      <c r="H46" s="4" t="n">
        <v>0.001</v>
      </c>
      <c r="I46" s="4" t="n">
        <v>400</v>
      </c>
      <c r="J46" s="5" t="s">
        <v>49</v>
      </c>
      <c r="K46" s="4" t="n">
        <v>848</v>
      </c>
      <c r="L46" s="5" t="s">
        <v>97</v>
      </c>
      <c r="M46" s="5" t="s">
        <v>98</v>
      </c>
      <c r="N46" s="5" t="s">
        <v>99</v>
      </c>
      <c r="O46" s="5" t="s">
        <v>100</v>
      </c>
      <c r="Q46" s="6" t="n">
        <f aca="false">E46*G46*H46</f>
        <v>575</v>
      </c>
      <c r="R46" s="7" t="n">
        <f aca="false">I46/Q46</f>
        <v>0.695652173913044</v>
      </c>
      <c r="S46" s="6" t="n">
        <f aca="false">I46*K46/1000</f>
        <v>339.2</v>
      </c>
      <c r="T46" s="7" t="n">
        <f aca="false">Q46/Q45-1</f>
        <v>-0.146757679180887</v>
      </c>
      <c r="U46" s="7" t="n">
        <f aca="false">I46/I45-1</f>
        <v>0.0666666666666667</v>
      </c>
      <c r="V46" s="7" t="n">
        <f aca="false">S46/S45-1</f>
        <v>0.4267087276551</v>
      </c>
      <c r="W46" s="6" t="n">
        <f aca="false">IF(ABS(T46)&gt;=0.05,U46/T46,"")</f>
        <v>-0.454263565891473</v>
      </c>
      <c r="X46" s="5" t="n">
        <f aca="false">MAX(I$42:I46)</f>
        <v>500</v>
      </c>
      <c r="Y46" s="7" t="n">
        <f aca="false">I46/X46-1</f>
        <v>-0.2</v>
      </c>
      <c r="Z46" s="5" t="n">
        <f aca="false">LN(I46/I45)</f>
        <v>0.0645385211375712</v>
      </c>
      <c r="AA46" s="5" t="n">
        <f aca="false">LN(K46/K45)</f>
        <v>0.290831681354677</v>
      </c>
      <c r="AB46" s="5" t="n">
        <f aca="false">LN(S46/S45)</f>
        <v>0.355370202492248</v>
      </c>
    </row>
    <row r="47" customFormat="false" ht="15" hidden="false" customHeight="false" outlineLevel="0" collapsed="false">
      <c r="A47" s="0" t="s">
        <v>95</v>
      </c>
      <c r="B47" s="0" t="s">
        <v>46</v>
      </c>
      <c r="C47" s="0" t="s">
        <v>106</v>
      </c>
      <c r="D47" s="0" t="n">
        <v>2021</v>
      </c>
      <c r="E47" s="4" t="n">
        <v>1100</v>
      </c>
      <c r="F47" s="5" t="s">
        <v>48</v>
      </c>
      <c r="G47" s="4" t="n">
        <v>554</v>
      </c>
      <c r="H47" s="4" t="n">
        <v>0.001</v>
      </c>
      <c r="I47" s="4" t="n">
        <v>305</v>
      </c>
      <c r="J47" s="5" t="s">
        <v>49</v>
      </c>
      <c r="K47" s="4" t="n">
        <v>968</v>
      </c>
      <c r="L47" s="5" t="s">
        <v>97</v>
      </c>
      <c r="M47" s="5" t="s">
        <v>98</v>
      </c>
      <c r="N47" s="5" t="s">
        <v>99</v>
      </c>
      <c r="O47" s="5" t="s">
        <v>100</v>
      </c>
      <c r="Q47" s="6" t="n">
        <f aca="false">E47*G47*H47</f>
        <v>609.4</v>
      </c>
      <c r="R47" s="7" t="n">
        <f aca="false">I47/Q47</f>
        <v>0.500492287495898</v>
      </c>
      <c r="S47" s="6" t="n">
        <f aca="false">I47*K47/1000</f>
        <v>295.24</v>
      </c>
      <c r="T47" s="7" t="n">
        <f aca="false">Q47/Q46-1</f>
        <v>0.0598260869565217</v>
      </c>
      <c r="U47" s="7" t="n">
        <f aca="false">I47/I46-1</f>
        <v>-0.2375</v>
      </c>
      <c r="V47" s="7" t="n">
        <f aca="false">S47/S46-1</f>
        <v>-0.129599056603774</v>
      </c>
      <c r="W47" s="6" t="n">
        <f aca="false">IF(ABS(T47)&gt;=0.05,U47/T47,"")</f>
        <v>-3.96984011627907</v>
      </c>
      <c r="X47" s="5" t="n">
        <f aca="false">MAX(I$42:I47)</f>
        <v>500</v>
      </c>
      <c r="Y47" s="7" t="n">
        <f aca="false">I47/X47-1</f>
        <v>-0.39</v>
      </c>
      <c r="Z47" s="5" t="n">
        <f aca="false">LN(I47/I46)</f>
        <v>-0.27115277050057</v>
      </c>
      <c r="AA47" s="5" t="n">
        <f aca="false">LN(K47/K46)</f>
        <v>0.132351451484674</v>
      </c>
      <c r="AB47" s="5" t="n">
        <f aca="false">LN(S47/S46)</f>
        <v>-0.138801319015896</v>
      </c>
    </row>
    <row r="48" customFormat="false" ht="15" hidden="false" customHeight="false" outlineLevel="0" collapsed="false">
      <c r="A48" s="0" t="s">
        <v>95</v>
      </c>
      <c r="B48" s="0" t="s">
        <v>46</v>
      </c>
      <c r="C48" s="0" t="s">
        <v>107</v>
      </c>
      <c r="D48" s="0" t="n">
        <v>2022</v>
      </c>
      <c r="E48" s="4" t="n">
        <v>1050</v>
      </c>
      <c r="F48" s="5" t="s">
        <v>48</v>
      </c>
      <c r="G48" s="4" t="n">
        <v>623</v>
      </c>
      <c r="H48" s="4" t="n">
        <v>0.001</v>
      </c>
      <c r="I48" s="4" t="n">
        <v>305</v>
      </c>
      <c r="J48" s="5" t="s">
        <v>49</v>
      </c>
      <c r="K48" s="4" t="n">
        <v>1028</v>
      </c>
      <c r="L48" s="5" t="s">
        <v>97</v>
      </c>
      <c r="M48" s="5" t="s">
        <v>98</v>
      </c>
      <c r="N48" s="5" t="s">
        <v>99</v>
      </c>
      <c r="O48" s="5" t="s">
        <v>100</v>
      </c>
      <c r="Q48" s="6" t="n">
        <f aca="false">E48*G48*H48</f>
        <v>654.15</v>
      </c>
      <c r="R48" s="7" t="n">
        <f aca="false">I48/Q48</f>
        <v>0.466253917297256</v>
      </c>
      <c r="S48" s="6" t="n">
        <f aca="false">I48*K48/1000</f>
        <v>313.54</v>
      </c>
      <c r="T48" s="7" t="n">
        <f aca="false">Q48/Q47-1</f>
        <v>0.0734328848047259</v>
      </c>
      <c r="U48" s="7" t="n">
        <f aca="false">I48/I47-1</f>
        <v>0</v>
      </c>
      <c r="V48" s="7" t="n">
        <f aca="false">S48/S47-1</f>
        <v>0.0619834710743803</v>
      </c>
      <c r="W48" s="6" t="n">
        <f aca="false">IF(ABS(T48)&gt;=0.05,U48/T48,"")</f>
        <v>0</v>
      </c>
      <c r="X48" s="5" t="n">
        <f aca="false">MAX(I$42:I48)</f>
        <v>500</v>
      </c>
      <c r="Y48" s="7" t="n">
        <f aca="false">I48/X48-1</f>
        <v>-0.39</v>
      </c>
      <c r="Z48" s="5" t="n">
        <f aca="false">LN(I48/I47)</f>
        <v>0</v>
      </c>
      <c r="AA48" s="5" t="n">
        <f aca="false">LN(K48/K47)</f>
        <v>0.0601383587385333</v>
      </c>
      <c r="AB48" s="5" t="n">
        <f aca="false">LN(S48/S47)</f>
        <v>0.0601383587385335</v>
      </c>
    </row>
    <row r="49" customFormat="false" ht="15" hidden="false" customHeight="false" outlineLevel="0" collapsed="false">
      <c r="A49" s="0" t="s">
        <v>95</v>
      </c>
      <c r="B49" s="0" t="s">
        <v>46</v>
      </c>
      <c r="C49" s="0" t="s">
        <v>108</v>
      </c>
      <c r="D49" s="0" t="n">
        <v>2023</v>
      </c>
      <c r="E49" s="4" t="n">
        <v>1000</v>
      </c>
      <c r="F49" s="5" t="s">
        <v>48</v>
      </c>
      <c r="G49" s="4" t="n">
        <v>607</v>
      </c>
      <c r="H49" s="4" t="n">
        <v>0.001</v>
      </c>
      <c r="I49" s="4" t="n">
        <v>315</v>
      </c>
      <c r="J49" s="5" t="s">
        <v>49</v>
      </c>
      <c r="K49" s="4" t="n">
        <v>1200</v>
      </c>
      <c r="L49" s="5" t="s">
        <v>97</v>
      </c>
      <c r="M49" s="5" t="s">
        <v>98</v>
      </c>
      <c r="N49" s="5" t="s">
        <v>99</v>
      </c>
      <c r="O49" s="5" t="s">
        <v>100</v>
      </c>
      <c r="Q49" s="6" t="n">
        <f aca="false">E49*G49*H49</f>
        <v>607</v>
      </c>
      <c r="R49" s="7" t="n">
        <f aca="false">I49/Q49</f>
        <v>0.518945634266886</v>
      </c>
      <c r="S49" s="6" t="n">
        <f aca="false">I49*K49/1000</f>
        <v>378</v>
      </c>
      <c r="T49" s="7" t="n">
        <f aca="false">Q49/Q48-1</f>
        <v>-0.0720782695100511</v>
      </c>
      <c r="U49" s="7" t="n">
        <f aca="false">I49/I48-1</f>
        <v>0.0327868852459017</v>
      </c>
      <c r="V49" s="7" t="n">
        <f aca="false">S49/S48-1</f>
        <v>0.20558780378899</v>
      </c>
      <c r="W49" s="6" t="n">
        <f aca="false">IF(ABS(T49)&gt;=0.05,U49/T49,"")</f>
        <v>-0.454878917998019</v>
      </c>
      <c r="X49" s="5" t="n">
        <f aca="false">MAX(I$42:I49)</f>
        <v>500</v>
      </c>
      <c r="Y49" s="7" t="n">
        <f aca="false">I49/X49-1</f>
        <v>-0.37</v>
      </c>
      <c r="Z49" s="5" t="n">
        <f aca="false">LN(I49/I48)</f>
        <v>0.0322608622182215</v>
      </c>
      <c r="AA49" s="5" t="n">
        <f aca="false">LN(K49/K48)</f>
        <v>0.154706389760981</v>
      </c>
      <c r="AB49" s="5" t="n">
        <f aca="false">LN(S49/S48)</f>
        <v>0.186967251979203</v>
      </c>
    </row>
    <row r="50" customFormat="false" ht="15" hidden="false" customHeight="false" outlineLevel="0" collapsed="false">
      <c r="A50" s="0" t="s">
        <v>95</v>
      </c>
      <c r="B50" s="0" t="s">
        <v>46</v>
      </c>
      <c r="C50" s="0" t="s">
        <v>109</v>
      </c>
      <c r="D50" s="0" t="n">
        <v>2024</v>
      </c>
      <c r="E50" s="4" t="n">
        <v>1350</v>
      </c>
      <c r="F50" s="5" t="s">
        <v>48</v>
      </c>
      <c r="G50" s="4" t="n">
        <v>607</v>
      </c>
      <c r="H50" s="4" t="n">
        <v>0.001</v>
      </c>
      <c r="I50" s="4" t="n">
        <v>275</v>
      </c>
      <c r="J50" s="5" t="s">
        <v>49</v>
      </c>
      <c r="K50" s="4" t="n">
        <v>1100</v>
      </c>
      <c r="L50" s="5" t="s">
        <v>97</v>
      </c>
      <c r="M50" s="5" t="s">
        <v>98</v>
      </c>
      <c r="N50" s="5" t="s">
        <v>99</v>
      </c>
      <c r="O50" s="5" t="s">
        <v>100</v>
      </c>
      <c r="P50" s="5" t="s">
        <v>110</v>
      </c>
      <c r="Q50" s="6" t="n">
        <f aca="false">E50*G50*H50</f>
        <v>819.45</v>
      </c>
      <c r="R50" s="7" t="n">
        <f aca="false">I50/Q50</f>
        <v>0.335590945146135</v>
      </c>
      <c r="S50" s="6" t="n">
        <f aca="false">I50*K50/1000</f>
        <v>302.5</v>
      </c>
      <c r="T50" s="7" t="n">
        <f aca="false">Q50/Q49-1</f>
        <v>0.35</v>
      </c>
      <c r="U50" s="7" t="n">
        <f aca="false">I50/I49-1</f>
        <v>-0.126984126984127</v>
      </c>
      <c r="V50" s="7" t="n">
        <f aca="false">S50/S49-1</f>
        <v>-0.19973544973545</v>
      </c>
      <c r="W50" s="6" t="n">
        <f aca="false">IF(ABS(T50)&gt;=0.05,U50/T50,"")</f>
        <v>-0.36281179138322</v>
      </c>
      <c r="X50" s="5" t="n">
        <f aca="false">MAX(I$42:I50)</f>
        <v>500</v>
      </c>
      <c r="Y50" s="7" t="n">
        <f aca="false">I50/X50-1</f>
        <v>-0.45</v>
      </c>
      <c r="Z50" s="5" t="n">
        <f aca="false">LN(I50/I49)</f>
        <v>-0.135801541159062</v>
      </c>
      <c r="AA50" s="5" t="n">
        <f aca="false">LN(K50/K49)</f>
        <v>-0.0870113769896298</v>
      </c>
      <c r="AB50" s="5" t="n">
        <f aca="false">LN(S50/S49)</f>
        <v>-0.222812918148692</v>
      </c>
    </row>
    <row r="51" customFormat="false" ht="15" hidden="false" customHeight="false" outlineLevel="0" collapsed="false">
      <c r="A51" s="0" t="s">
        <v>95</v>
      </c>
      <c r="B51" s="0" t="s">
        <v>46</v>
      </c>
      <c r="C51" s="0" t="s">
        <v>111</v>
      </c>
      <c r="D51" s="0" t="n">
        <v>2025</v>
      </c>
      <c r="E51" s="4" t="n">
        <v>1450</v>
      </c>
      <c r="F51" s="5" t="s">
        <v>48</v>
      </c>
      <c r="G51" s="4" t="n">
        <v>580</v>
      </c>
      <c r="H51" s="4" t="n">
        <v>0.001</v>
      </c>
      <c r="I51" s="4" t="n">
        <v>425</v>
      </c>
      <c r="J51" s="5" t="s">
        <v>49</v>
      </c>
      <c r="K51" s="4" t="n">
        <v>1200</v>
      </c>
      <c r="L51" s="5" t="s">
        <v>97</v>
      </c>
      <c r="M51" s="5" t="s">
        <v>98</v>
      </c>
      <c r="N51" s="5" t="s">
        <v>99</v>
      </c>
      <c r="O51" s="5" t="s">
        <v>100</v>
      </c>
      <c r="Q51" s="6" t="n">
        <f aca="false">E51*G51*H51</f>
        <v>841</v>
      </c>
      <c r="R51" s="7" t="n">
        <f aca="false">I51/Q51</f>
        <v>0.505350772889417</v>
      </c>
      <c r="S51" s="6" t="n">
        <f aca="false">I51*K51/1000</f>
        <v>510</v>
      </c>
      <c r="T51" s="7" t="n">
        <f aca="false">Q51/Q50-1</f>
        <v>0.0262981267923608</v>
      </c>
      <c r="U51" s="7" t="n">
        <f aca="false">I51/I50-1</f>
        <v>0.545454545454545</v>
      </c>
      <c r="V51" s="7" t="n">
        <f aca="false">S51/S50-1</f>
        <v>0.68595041322314</v>
      </c>
      <c r="W51" s="6" t="str">
        <f aca="false">IF(ABS(T51)&gt;=0.05,U51/T51,"")</f>
        <v/>
      </c>
      <c r="X51" s="5" t="n">
        <f aca="false">MAX(I$42:I51)</f>
        <v>500</v>
      </c>
      <c r="Y51" s="7" t="n">
        <f aca="false">I51/X51-1</f>
        <v>-0.15</v>
      </c>
      <c r="Z51" s="5" t="n">
        <f aca="false">LN(I51/I50)</f>
        <v>0.435318071257846</v>
      </c>
      <c r="AA51" s="5" t="n">
        <f aca="false">LN(K51/K50)</f>
        <v>0.0870113769896297</v>
      </c>
      <c r="AB51" s="5" t="n">
        <f aca="false">LN(S51/S50)</f>
        <v>0.522329448247475</v>
      </c>
    </row>
    <row r="52" customFormat="false" ht="15" hidden="false" customHeight="false" outlineLevel="0" collapsed="false">
      <c r="A52" s="0" t="s">
        <v>95</v>
      </c>
      <c r="B52" s="0" t="s">
        <v>46</v>
      </c>
      <c r="C52" s="0" t="s">
        <v>112</v>
      </c>
      <c r="D52" s="0" t="n">
        <v>2026</v>
      </c>
      <c r="E52" s="4" t="n">
        <v>1300</v>
      </c>
      <c r="F52" s="5" t="s">
        <v>48</v>
      </c>
      <c r="G52" s="4" t="n">
        <v>560</v>
      </c>
      <c r="H52" s="4" t="n">
        <v>0.001</v>
      </c>
      <c r="I52" s="4" t="n">
        <v>400</v>
      </c>
      <c r="J52" s="5" t="s">
        <v>49</v>
      </c>
      <c r="K52" s="4" t="n">
        <v>1200</v>
      </c>
      <c r="L52" s="5" t="s">
        <v>97</v>
      </c>
      <c r="M52" s="5" t="s">
        <v>113</v>
      </c>
      <c r="N52" s="5" t="s">
        <v>99</v>
      </c>
      <c r="O52" s="5" t="s">
        <v>100</v>
      </c>
      <c r="P52" s="5" t="s">
        <v>114</v>
      </c>
      <c r="Q52" s="6" t="n">
        <f aca="false">E52*G52*H52</f>
        <v>728</v>
      </c>
      <c r="R52" s="7" t="n">
        <f aca="false">I52/Q52</f>
        <v>0.54945054945055</v>
      </c>
      <c r="S52" s="6" t="n">
        <f aca="false">I52*K52/1000</f>
        <v>480</v>
      </c>
      <c r="T52" s="7" t="n">
        <f aca="false">Q52/Q51-1</f>
        <v>-0.13436385255648</v>
      </c>
      <c r="U52" s="7" t="n">
        <f aca="false">I52/I51-1</f>
        <v>-0.0588235294117647</v>
      </c>
      <c r="V52" s="7" t="n">
        <f aca="false">S52/S51-1</f>
        <v>-0.0588235294117647</v>
      </c>
      <c r="W52" s="6" t="n">
        <f aca="false">IF(ABS(T52)&gt;=0.05,U52/T52,"")</f>
        <v>0.437792816241541</v>
      </c>
      <c r="X52" s="5" t="n">
        <f aca="false">MAX(I$42:I52)</f>
        <v>500</v>
      </c>
      <c r="Y52" s="7" t="n">
        <f aca="false">I52/X52-1</f>
        <v>-0.2</v>
      </c>
      <c r="Z52" s="5" t="n">
        <f aca="false">LN(I52/I51)</f>
        <v>-0.0606246218164349</v>
      </c>
      <c r="AA52" s="5" t="n">
        <f aca="false">LN(K52/K51)</f>
        <v>0</v>
      </c>
      <c r="AB52" s="5" t="n">
        <f aca="false">LN(S52/S51)</f>
        <v>-0.0606246218164349</v>
      </c>
    </row>
    <row r="53" customFormat="false" ht="15" hidden="false" customHeight="false" outlineLevel="0" collapsed="false">
      <c r="A53" s="0" t="s">
        <v>115</v>
      </c>
      <c r="B53" s="0" t="s">
        <v>46</v>
      </c>
      <c r="C53" s="0" t="s">
        <v>116</v>
      </c>
      <c r="D53" s="0" t="n">
        <v>2011</v>
      </c>
      <c r="E53" s="4" t="n">
        <v>4.52</v>
      </c>
      <c r="F53" s="5" t="s">
        <v>117</v>
      </c>
      <c r="G53" s="4" t="n">
        <v>471</v>
      </c>
      <c r="H53" s="4" t="n">
        <v>1</v>
      </c>
      <c r="I53" s="4" t="n">
        <v>950</v>
      </c>
      <c r="J53" s="5" t="s">
        <v>49</v>
      </c>
      <c r="K53" s="4" t="n">
        <v>235</v>
      </c>
      <c r="L53" s="5" t="s">
        <v>118</v>
      </c>
      <c r="M53" s="5" t="s">
        <v>119</v>
      </c>
      <c r="N53" s="5" t="s">
        <v>120</v>
      </c>
      <c r="O53" s="5" t="s">
        <v>121</v>
      </c>
      <c r="P53" s="5" t="s">
        <v>122</v>
      </c>
      <c r="Q53" s="6" t="n">
        <f aca="false">E53*G53*H53</f>
        <v>2128.92</v>
      </c>
      <c r="R53" s="7" t="n">
        <f aca="false">I53/Q53</f>
        <v>0.44623565000094</v>
      </c>
      <c r="S53" s="6" t="n">
        <f aca="false">I53*K53/1000</f>
        <v>223.25</v>
      </c>
      <c r="T53" s="7"/>
      <c r="U53" s="7"/>
      <c r="V53" s="7"/>
      <c r="W53" s="6"/>
      <c r="X53" s="5" t="n">
        <f aca="false">MAX(I$53:I53)</f>
        <v>950</v>
      </c>
      <c r="Y53" s="7" t="n">
        <f aca="false">I53/X53-1</f>
        <v>0</v>
      </c>
    </row>
    <row r="54" customFormat="false" ht="15" hidden="false" customHeight="false" outlineLevel="0" collapsed="false">
      <c r="A54" s="0" t="s">
        <v>115</v>
      </c>
      <c r="B54" s="0" t="s">
        <v>46</v>
      </c>
      <c r="C54" s="0" t="s">
        <v>123</v>
      </c>
      <c r="D54" s="0" t="n">
        <v>2012</v>
      </c>
      <c r="E54" s="4" t="n">
        <v>3.16</v>
      </c>
      <c r="F54" s="5" t="s">
        <v>117</v>
      </c>
      <c r="G54" s="4" t="n">
        <v>510</v>
      </c>
      <c r="H54" s="4" t="n">
        <v>1</v>
      </c>
      <c r="I54" s="4" t="n">
        <v>650</v>
      </c>
      <c r="J54" s="5" t="s">
        <v>49</v>
      </c>
      <c r="K54" s="4" t="n">
        <v>256</v>
      </c>
      <c r="L54" s="5" t="s">
        <v>118</v>
      </c>
      <c r="M54" s="5" t="s">
        <v>119</v>
      </c>
      <c r="N54" s="5" t="s">
        <v>120</v>
      </c>
      <c r="O54" s="5" t="s">
        <v>121</v>
      </c>
      <c r="Q54" s="6" t="n">
        <f aca="false">E54*G54*H54</f>
        <v>1611.6</v>
      </c>
      <c r="R54" s="7" t="n">
        <f aca="false">I54/Q54</f>
        <v>0.403325887316952</v>
      </c>
      <c r="S54" s="6" t="n">
        <f aca="false">I54*K54/1000</f>
        <v>166.4</v>
      </c>
      <c r="T54" s="7" t="n">
        <f aca="false">Q54/Q53-1</f>
        <v>-0.242996448903669</v>
      </c>
      <c r="U54" s="7" t="n">
        <f aca="false">I54/I53-1</f>
        <v>-0.315789473684211</v>
      </c>
      <c r="V54" s="7" t="n">
        <f aca="false">S54/S53-1</f>
        <v>-0.25464725643897</v>
      </c>
      <c r="W54" s="6" t="n">
        <f aca="false">IF(ABS(T54)&gt;=0.05,U54/T54,"")</f>
        <v>1.29956415045966</v>
      </c>
      <c r="X54" s="5" t="n">
        <f aca="false">MAX(I$53:I54)</f>
        <v>950</v>
      </c>
      <c r="Y54" s="7" t="n">
        <f aca="false">I54/X54-1</f>
        <v>-0.315789473684211</v>
      </c>
      <c r="Z54" s="5" t="n">
        <f aca="false">LN(I54/I53)</f>
        <v>-0.379489621704904</v>
      </c>
      <c r="AA54" s="5" t="n">
        <f aca="false">LN(K54/K53)</f>
        <v>0.0855919303354035</v>
      </c>
      <c r="AB54" s="5" t="n">
        <f aca="false">LN(S54/S53)</f>
        <v>-0.2938976913695</v>
      </c>
    </row>
    <row r="55" customFormat="false" ht="15" hidden="false" customHeight="false" outlineLevel="0" collapsed="false">
      <c r="A55" s="0" t="s">
        <v>115</v>
      </c>
      <c r="B55" s="0" t="s">
        <v>46</v>
      </c>
      <c r="C55" s="0" t="s">
        <v>124</v>
      </c>
      <c r="D55" s="0" t="n">
        <v>2013</v>
      </c>
      <c r="E55" s="4" t="n">
        <v>2.52</v>
      </c>
      <c r="F55" s="5" t="s">
        <v>117</v>
      </c>
      <c r="G55" s="4" t="n">
        <v>494</v>
      </c>
      <c r="H55" s="4" t="n">
        <v>1</v>
      </c>
      <c r="I55" s="4" t="n">
        <v>500</v>
      </c>
      <c r="J55" s="5" t="s">
        <v>49</v>
      </c>
      <c r="K55" s="4" t="n">
        <v>290</v>
      </c>
      <c r="L55" s="5" t="s">
        <v>118</v>
      </c>
      <c r="M55" s="5" t="s">
        <v>119</v>
      </c>
      <c r="N55" s="5" t="s">
        <v>120</v>
      </c>
      <c r="O55" s="5" t="s">
        <v>121</v>
      </c>
      <c r="Q55" s="6" t="n">
        <f aca="false">E55*G55*H55</f>
        <v>1244.88</v>
      </c>
      <c r="R55" s="7" t="n">
        <f aca="false">I55/Q55</f>
        <v>0.401645138487244</v>
      </c>
      <c r="S55" s="6" t="n">
        <f aca="false">I55*K55/1000</f>
        <v>145</v>
      </c>
      <c r="T55" s="7" t="n">
        <f aca="false">Q55/Q54-1</f>
        <v>-0.227550260610573</v>
      </c>
      <c r="U55" s="7" t="n">
        <f aca="false">I55/I54-1</f>
        <v>-0.230769230769231</v>
      </c>
      <c r="V55" s="7" t="n">
        <f aca="false">S55/S54-1</f>
        <v>-0.128605769230769</v>
      </c>
      <c r="W55" s="6" t="n">
        <f aca="false">IF(ABS(T55)&gt;=0.05,U55/T55,"")</f>
        <v>1.01414619412002</v>
      </c>
      <c r="X55" s="5" t="n">
        <f aca="false">MAX(I$53:I55)</f>
        <v>950</v>
      </c>
      <c r="Y55" s="7" t="n">
        <f aca="false">I55/X55-1</f>
        <v>-0.473684210526316</v>
      </c>
      <c r="Z55" s="5" t="n">
        <f aca="false">LN(I55/I54)</f>
        <v>-0.262364264467491</v>
      </c>
      <c r="AA55" s="5" t="n">
        <f aca="false">LN(K55/K54)</f>
        <v>0.124703478500957</v>
      </c>
      <c r="AB55" s="5" t="n">
        <f aca="false">LN(S55/S54)</f>
        <v>-0.137660785966534</v>
      </c>
    </row>
    <row r="56" customFormat="false" ht="15" hidden="false" customHeight="false" outlineLevel="0" collapsed="false">
      <c r="A56" s="0" t="s">
        <v>115</v>
      </c>
      <c r="B56" s="0" t="s">
        <v>46</v>
      </c>
      <c r="C56" s="0" t="s">
        <v>125</v>
      </c>
      <c r="D56" s="0" t="n">
        <v>2014</v>
      </c>
      <c r="E56" s="4" t="n">
        <v>1.66</v>
      </c>
      <c r="F56" s="5" t="s">
        <v>117</v>
      </c>
      <c r="G56" s="4" t="n">
        <v>494</v>
      </c>
      <c r="H56" s="4" t="n">
        <v>1</v>
      </c>
      <c r="I56" s="4" t="n">
        <v>330</v>
      </c>
      <c r="J56" s="5" t="s">
        <v>49</v>
      </c>
      <c r="K56" s="4" t="n">
        <v>312</v>
      </c>
      <c r="L56" s="5" t="s">
        <v>118</v>
      </c>
      <c r="M56" s="5" t="s">
        <v>119</v>
      </c>
      <c r="N56" s="5" t="s">
        <v>120</v>
      </c>
      <c r="O56" s="5" t="s">
        <v>121</v>
      </c>
      <c r="Q56" s="6" t="n">
        <f aca="false">E56*G56*H56</f>
        <v>820.04</v>
      </c>
      <c r="R56" s="7" t="n">
        <f aca="false">I56/Q56</f>
        <v>0.402419394175894</v>
      </c>
      <c r="S56" s="6" t="n">
        <f aca="false">I56*K56/1000</f>
        <v>102.96</v>
      </c>
      <c r="T56" s="7" t="n">
        <f aca="false">Q56/Q55-1</f>
        <v>-0.341269841269841</v>
      </c>
      <c r="U56" s="7" t="n">
        <f aca="false">I56/I55-1</f>
        <v>-0.34</v>
      </c>
      <c r="V56" s="7" t="n">
        <f aca="false">S56/S55-1</f>
        <v>-0.289931034482759</v>
      </c>
      <c r="W56" s="6" t="n">
        <f aca="false">IF(ABS(T56)&gt;=0.05,U56/T56,"")</f>
        <v>0.996279069767441</v>
      </c>
      <c r="X56" s="5" t="n">
        <f aca="false">MAX(I$53:I56)</f>
        <v>950</v>
      </c>
      <c r="Y56" s="7" t="n">
        <f aca="false">I56/X56-1</f>
        <v>-0.652631578947369</v>
      </c>
      <c r="Z56" s="5" t="n">
        <f aca="false">LN(I56/I55)</f>
        <v>-0.415515443961666</v>
      </c>
      <c r="AA56" s="5" t="n">
        <f aca="false">LN(K56/K55)</f>
        <v>0.0731222648289626</v>
      </c>
      <c r="AB56" s="5" t="n">
        <f aca="false">LN(S56/S55)</f>
        <v>-0.342393179132703</v>
      </c>
    </row>
    <row r="57" customFormat="false" ht="15" hidden="false" customHeight="false" outlineLevel="0" collapsed="false">
      <c r="A57" s="0" t="s">
        <v>115</v>
      </c>
      <c r="B57" s="0" t="s">
        <v>46</v>
      </c>
      <c r="C57" s="0" t="s">
        <v>126</v>
      </c>
      <c r="D57" s="0" t="n">
        <v>2015</v>
      </c>
      <c r="E57" s="4" t="n">
        <v>1.37</v>
      </c>
      <c r="F57" s="5" t="s">
        <v>117</v>
      </c>
      <c r="G57" s="4" t="n">
        <v>592</v>
      </c>
      <c r="H57" s="4" t="n">
        <v>1</v>
      </c>
      <c r="I57" s="4" t="n">
        <v>280</v>
      </c>
      <c r="J57" s="5" t="s">
        <v>49</v>
      </c>
      <c r="K57" s="4" t="n">
        <v>400</v>
      </c>
      <c r="L57" s="5" t="s">
        <v>118</v>
      </c>
      <c r="M57" s="5" t="s">
        <v>119</v>
      </c>
      <c r="N57" s="5" t="s">
        <v>120</v>
      </c>
      <c r="O57" s="5" t="s">
        <v>121</v>
      </c>
      <c r="Q57" s="6" t="n">
        <f aca="false">E57*G57*H57</f>
        <v>811.04</v>
      </c>
      <c r="R57" s="7" t="n">
        <f aca="false">I57/Q57</f>
        <v>0.345235746695601</v>
      </c>
      <c r="S57" s="6" t="n">
        <f aca="false">I57*K57/1000</f>
        <v>112</v>
      </c>
      <c r="T57" s="7" t="n">
        <f aca="false">Q57/Q56-1</f>
        <v>-0.0109750743866152</v>
      </c>
      <c r="U57" s="7" t="n">
        <f aca="false">I57/I56-1</f>
        <v>-0.151515151515152</v>
      </c>
      <c r="V57" s="7" t="n">
        <f aca="false">S57/S56-1</f>
        <v>0.087801087801088</v>
      </c>
      <c r="W57" s="6" t="str">
        <f aca="false">IF(ABS(T57)&gt;=0.05,U57/T57,"")</f>
        <v/>
      </c>
      <c r="X57" s="5" t="n">
        <f aca="false">MAX(I$53:I57)</f>
        <v>950</v>
      </c>
      <c r="Y57" s="7" t="n">
        <f aca="false">I57/X57-1</f>
        <v>-0.705263157894737</v>
      </c>
      <c r="Z57" s="5" t="n">
        <f aca="false">LN(I57/I56)</f>
        <v>-0.164303051291276</v>
      </c>
      <c r="AA57" s="5" t="n">
        <f aca="false">LN(K57/K56)</f>
        <v>0.2484613592985</v>
      </c>
      <c r="AB57" s="5" t="n">
        <f aca="false">LN(S57/S56)</f>
        <v>0.0841583080072235</v>
      </c>
    </row>
    <row r="58" customFormat="false" ht="15" hidden="false" customHeight="false" outlineLevel="0" collapsed="false">
      <c r="A58" s="0" t="s">
        <v>115</v>
      </c>
      <c r="B58" s="0" t="s">
        <v>46</v>
      </c>
      <c r="C58" s="0" t="s">
        <v>96</v>
      </c>
      <c r="D58" s="0" t="n">
        <v>2016</v>
      </c>
      <c r="E58" s="4" t="n">
        <v>1.37</v>
      </c>
      <c r="F58" s="5" t="s">
        <v>117</v>
      </c>
      <c r="G58" s="4" t="n">
        <v>593</v>
      </c>
      <c r="H58" s="4" t="n">
        <v>1</v>
      </c>
      <c r="I58" s="4" t="n">
        <v>260</v>
      </c>
      <c r="J58" s="5" t="s">
        <v>49</v>
      </c>
      <c r="K58" s="4" t="n">
        <v>453</v>
      </c>
      <c r="L58" s="5" t="s">
        <v>118</v>
      </c>
      <c r="M58" s="5" t="s">
        <v>119</v>
      </c>
      <c r="N58" s="5" t="s">
        <v>120</v>
      </c>
      <c r="O58" s="5" t="s">
        <v>121</v>
      </c>
      <c r="P58" s="5" t="s">
        <v>127</v>
      </c>
      <c r="Q58" s="6" t="n">
        <f aca="false">E58*G58*H58</f>
        <v>812.41</v>
      </c>
      <c r="R58" s="7" t="n">
        <f aca="false">I58/Q58</f>
        <v>0.320035450080624</v>
      </c>
      <c r="S58" s="6" t="n">
        <f aca="false">I58*K58/1000</f>
        <v>117.78</v>
      </c>
      <c r="T58" s="7" t="n">
        <f aca="false">Q58/Q57-1</f>
        <v>0.00168918918918926</v>
      </c>
      <c r="U58" s="7" t="n">
        <f aca="false">I58/I57-1</f>
        <v>-0.0714285714285714</v>
      </c>
      <c r="V58" s="7" t="n">
        <f aca="false">S58/S57-1</f>
        <v>0.051607142857143</v>
      </c>
      <c r="W58" s="6" t="str">
        <f aca="false">IF(ABS(T58)&gt;=0.05,U58/T58,"")</f>
        <v/>
      </c>
      <c r="X58" s="5" t="n">
        <f aca="false">MAX(I$53:I58)</f>
        <v>950</v>
      </c>
      <c r="Y58" s="7" t="n">
        <f aca="false">I58/X58-1</f>
        <v>-0.726315789473684</v>
      </c>
      <c r="Z58" s="5" t="n">
        <f aca="false">LN(I58/I57)</f>
        <v>-0.0741079721537219</v>
      </c>
      <c r="AA58" s="5" t="n">
        <f aca="false">LN(K58/K57)</f>
        <v>0.124427578375052</v>
      </c>
      <c r="AB58" s="5" t="n">
        <f aca="false">LN(S58/S57)</f>
        <v>0.0503196062213303</v>
      </c>
    </row>
    <row r="59" customFormat="false" ht="15" hidden="false" customHeight="false" outlineLevel="0" collapsed="false">
      <c r="A59" s="0" t="s">
        <v>115</v>
      </c>
      <c r="B59" s="0" t="s">
        <v>46</v>
      </c>
      <c r="C59" s="0" t="s">
        <v>101</v>
      </c>
      <c r="D59" s="0" t="n">
        <v>2017</v>
      </c>
      <c r="E59" s="4" t="n">
        <v>1.65</v>
      </c>
      <c r="F59" s="5" t="s">
        <v>117</v>
      </c>
      <c r="G59" s="4" t="n">
        <v>582</v>
      </c>
      <c r="H59" s="4" t="n">
        <v>1</v>
      </c>
      <c r="I59" s="4" t="n">
        <v>380</v>
      </c>
      <c r="J59" s="5" t="s">
        <v>49</v>
      </c>
      <c r="K59" s="4" t="n">
        <v>580</v>
      </c>
      <c r="L59" s="5" t="s">
        <v>118</v>
      </c>
      <c r="M59" s="5" t="s">
        <v>119</v>
      </c>
      <c r="N59" s="5" t="s">
        <v>120</v>
      </c>
      <c r="O59" s="5" t="s">
        <v>121</v>
      </c>
      <c r="Q59" s="6" t="n">
        <f aca="false">E59*G59*H59</f>
        <v>960.3</v>
      </c>
      <c r="R59" s="7" t="n">
        <f aca="false">I59/Q59</f>
        <v>0.39570967406019</v>
      </c>
      <c r="S59" s="6" t="n">
        <f aca="false">I59*K59/1000</f>
        <v>220.4</v>
      </c>
      <c r="T59" s="7" t="n">
        <f aca="false">Q59/Q58-1</f>
        <v>0.182038625817013</v>
      </c>
      <c r="U59" s="7" t="n">
        <f aca="false">I59/I58-1</f>
        <v>0.461538461538461</v>
      </c>
      <c r="V59" s="7" t="n">
        <f aca="false">S59/S58-1</f>
        <v>0.871285447444388</v>
      </c>
      <c r="W59" s="6" t="n">
        <f aca="false">IF(ABS(T59)&gt;=0.05,U59/T59,"")</f>
        <v>2.53538752815242</v>
      </c>
      <c r="X59" s="5" t="n">
        <f aca="false">MAX(I$53:I59)</f>
        <v>950</v>
      </c>
      <c r="Y59" s="7" t="n">
        <f aca="false">I59/X59-1</f>
        <v>-0.6</v>
      </c>
      <c r="Z59" s="5" t="n">
        <f aca="false">LN(I59/I58)</f>
        <v>0.379489621704904</v>
      </c>
      <c r="AA59" s="5" t="n">
        <f aca="false">LN(K59/K58)</f>
        <v>0.247135978057431</v>
      </c>
      <c r="AB59" s="5" t="n">
        <f aca="false">LN(S59/S58)</f>
        <v>0.626625599762335</v>
      </c>
    </row>
    <row r="60" customFormat="false" ht="15" hidden="false" customHeight="false" outlineLevel="0" collapsed="false">
      <c r="A60" s="0" t="s">
        <v>115</v>
      </c>
      <c r="B60" s="0" t="s">
        <v>46</v>
      </c>
      <c r="C60" s="0" t="s">
        <v>102</v>
      </c>
      <c r="D60" s="0" t="n">
        <v>2018</v>
      </c>
      <c r="E60" s="4" t="n">
        <v>1.37</v>
      </c>
      <c r="F60" s="5" t="s">
        <v>117</v>
      </c>
      <c r="G60" s="4" t="n">
        <v>555</v>
      </c>
      <c r="H60" s="4" t="n">
        <v>1</v>
      </c>
      <c r="I60" s="4" t="n">
        <v>300</v>
      </c>
      <c r="J60" s="5" t="s">
        <v>49</v>
      </c>
      <c r="K60" s="4" t="n">
        <v>624</v>
      </c>
      <c r="L60" s="5" t="s">
        <v>118</v>
      </c>
      <c r="M60" s="5" t="s">
        <v>119</v>
      </c>
      <c r="N60" s="5" t="s">
        <v>120</v>
      </c>
      <c r="O60" s="5" t="s">
        <v>121</v>
      </c>
      <c r="Q60" s="6" t="n">
        <f aca="false">E60*G60*H60</f>
        <v>760.35</v>
      </c>
      <c r="R60" s="7" t="n">
        <f aca="false">I60/Q60</f>
        <v>0.394555139080687</v>
      </c>
      <c r="S60" s="6" t="n">
        <f aca="false">I60*K60/1000</f>
        <v>187.2</v>
      </c>
      <c r="T60" s="7" t="n">
        <f aca="false">Q60/Q59-1</f>
        <v>-0.208216182442986</v>
      </c>
      <c r="U60" s="7" t="n">
        <f aca="false">I60/I59-1</f>
        <v>-0.210526315789474</v>
      </c>
      <c r="V60" s="7" t="n">
        <f aca="false">S60/S59-1</f>
        <v>-0.150635208711434</v>
      </c>
      <c r="W60" s="6" t="n">
        <f aca="false">IF(ABS(T60)&gt;=0.05,U60/T60,"")</f>
        <v>1.0110948789829</v>
      </c>
      <c r="X60" s="5" t="n">
        <f aca="false">MAX(I$53:I60)</f>
        <v>950</v>
      </c>
      <c r="Y60" s="7" t="n">
        <f aca="false">I60/X60-1</f>
        <v>-0.68421052631579</v>
      </c>
      <c r="Z60" s="5" t="n">
        <f aca="false">LN(I60/I59)</f>
        <v>-0.23638877806423</v>
      </c>
      <c r="AA60" s="5" t="n">
        <f aca="false">LN(K60/K59)</f>
        <v>0.0731222648289626</v>
      </c>
      <c r="AB60" s="5" t="n">
        <f aca="false">LN(S60/S59)</f>
        <v>-0.163266513235268</v>
      </c>
    </row>
    <row r="61" customFormat="false" ht="15" hidden="false" customHeight="false" outlineLevel="0" collapsed="false">
      <c r="A61" s="0" t="s">
        <v>115</v>
      </c>
      <c r="B61" s="0" t="s">
        <v>46</v>
      </c>
      <c r="C61" s="0" t="s">
        <v>104</v>
      </c>
      <c r="D61" s="0" t="n">
        <v>2019</v>
      </c>
      <c r="E61" s="4" t="n">
        <v>1.41</v>
      </c>
      <c r="F61" s="5" t="s">
        <v>117</v>
      </c>
      <c r="G61" s="4" t="n">
        <v>586</v>
      </c>
      <c r="H61" s="4" t="n">
        <v>1</v>
      </c>
      <c r="I61" s="4" t="n">
        <v>300</v>
      </c>
      <c r="J61" s="5" t="s">
        <v>49</v>
      </c>
      <c r="K61" s="4" t="n">
        <v>780</v>
      </c>
      <c r="L61" s="5" t="s">
        <v>118</v>
      </c>
      <c r="M61" s="5" t="s">
        <v>119</v>
      </c>
      <c r="N61" s="5" t="s">
        <v>120</v>
      </c>
      <c r="O61" s="5" t="s">
        <v>121</v>
      </c>
      <c r="Q61" s="6" t="n">
        <f aca="false">E61*G61*H61</f>
        <v>826.26</v>
      </c>
      <c r="R61" s="7" t="n">
        <f aca="false">I61/Q61</f>
        <v>0.363081838646431</v>
      </c>
      <c r="S61" s="6" t="n">
        <f aca="false">I61*K61/1000</f>
        <v>234</v>
      </c>
      <c r="T61" s="7" t="n">
        <f aca="false">Q61/Q60-1</f>
        <v>0.0866837640560267</v>
      </c>
      <c r="U61" s="7" t="n">
        <f aca="false">I61/I60-1</f>
        <v>0</v>
      </c>
      <c r="V61" s="7" t="n">
        <f aca="false">S61/S60-1</f>
        <v>0.25</v>
      </c>
      <c r="W61" s="6" t="n">
        <f aca="false">IF(ABS(T61)&gt;=0.05,U61/T61,"")</f>
        <v>0</v>
      </c>
      <c r="X61" s="5" t="n">
        <f aca="false">MAX(I$53:I61)</f>
        <v>950</v>
      </c>
      <c r="Y61" s="7" t="n">
        <f aca="false">I61/X61-1</f>
        <v>-0.68421052631579</v>
      </c>
      <c r="Z61" s="5" t="n">
        <f aca="false">LN(I61/I60)</f>
        <v>0</v>
      </c>
      <c r="AA61" s="5" t="n">
        <f aca="false">LN(K61/K60)</f>
        <v>0.22314355131421</v>
      </c>
      <c r="AB61" s="5" t="n">
        <f aca="false">LN(S61/S60)</f>
        <v>0.22314355131421</v>
      </c>
    </row>
    <row r="62" customFormat="false" ht="15" hidden="false" customHeight="false" outlineLevel="0" collapsed="false">
      <c r="A62" s="0" t="s">
        <v>115</v>
      </c>
      <c r="B62" s="0" t="s">
        <v>46</v>
      </c>
      <c r="C62" s="0" t="s">
        <v>105</v>
      </c>
      <c r="D62" s="0" t="n">
        <v>2020</v>
      </c>
      <c r="E62" s="4" t="n">
        <v>1.33</v>
      </c>
      <c r="F62" s="5" t="s">
        <v>117</v>
      </c>
      <c r="G62" s="4" t="n">
        <v>575</v>
      </c>
      <c r="H62" s="4" t="n">
        <v>1</v>
      </c>
      <c r="I62" s="4" t="n">
        <v>290</v>
      </c>
      <c r="J62" s="5" t="s">
        <v>49</v>
      </c>
      <c r="K62" s="4" t="n">
        <v>936</v>
      </c>
      <c r="L62" s="5" t="s">
        <v>118</v>
      </c>
      <c r="M62" s="5" t="s">
        <v>119</v>
      </c>
      <c r="N62" s="5" t="s">
        <v>120</v>
      </c>
      <c r="O62" s="5" t="s">
        <v>121</v>
      </c>
      <c r="Q62" s="6" t="n">
        <f aca="false">E62*G62*H62</f>
        <v>764.75</v>
      </c>
      <c r="R62" s="7" t="n">
        <f aca="false">I62/Q62</f>
        <v>0.379208891794704</v>
      </c>
      <c r="S62" s="6" t="n">
        <f aca="false">I62*K62/1000</f>
        <v>271.44</v>
      </c>
      <c r="T62" s="7" t="n">
        <f aca="false">Q62/Q61-1</f>
        <v>-0.0744438796504732</v>
      </c>
      <c r="U62" s="7" t="n">
        <f aca="false">I62/I61-1</f>
        <v>-0.0333333333333333</v>
      </c>
      <c r="V62" s="7" t="n">
        <f aca="false">S62/S61-1</f>
        <v>0.16</v>
      </c>
      <c r="W62" s="6" t="n">
        <f aca="false">IF(ABS(T62)&gt;=0.05,U62/T62,"")</f>
        <v>0.447764591123395</v>
      </c>
      <c r="X62" s="5" t="n">
        <f aca="false">MAX(I$53:I62)</f>
        <v>950</v>
      </c>
      <c r="Y62" s="7" t="n">
        <f aca="false">I62/X62-1</f>
        <v>-0.694736842105263</v>
      </c>
      <c r="Z62" s="5" t="n">
        <f aca="false">LN(I62/I61)</f>
        <v>-0.0339015516756813</v>
      </c>
      <c r="AA62" s="5" t="n">
        <f aca="false">LN(K62/K61)</f>
        <v>0.182321556793955</v>
      </c>
      <c r="AB62" s="5" t="n">
        <f aca="false">LN(S62/S61)</f>
        <v>0.148420005118273</v>
      </c>
    </row>
    <row r="63" customFormat="false" ht="15" hidden="false" customHeight="false" outlineLevel="0" collapsed="false">
      <c r="A63" s="0" t="s">
        <v>115</v>
      </c>
      <c r="B63" s="0" t="s">
        <v>46</v>
      </c>
      <c r="C63" s="0" t="s">
        <v>106</v>
      </c>
      <c r="D63" s="0" t="n">
        <v>2021</v>
      </c>
      <c r="E63" s="4" t="n">
        <v>1.75</v>
      </c>
      <c r="F63" s="5" t="s">
        <v>117</v>
      </c>
      <c r="G63" s="4" t="n">
        <v>554</v>
      </c>
      <c r="H63" s="4" t="n">
        <v>1</v>
      </c>
      <c r="I63" s="4" t="n">
        <v>400</v>
      </c>
      <c r="J63" s="5" t="s">
        <v>49</v>
      </c>
      <c r="K63" s="4" t="n">
        <v>1100</v>
      </c>
      <c r="L63" s="5" t="s">
        <v>118</v>
      </c>
      <c r="M63" s="5" t="s">
        <v>119</v>
      </c>
      <c r="N63" s="5" t="s">
        <v>120</v>
      </c>
      <c r="O63" s="5" t="s">
        <v>121</v>
      </c>
      <c r="Q63" s="6" t="n">
        <f aca="false">E63*G63*H63</f>
        <v>969.5</v>
      </c>
      <c r="R63" s="7" t="n">
        <f aca="false">I63/Q63</f>
        <v>0.412583806085611</v>
      </c>
      <c r="S63" s="6" t="n">
        <f aca="false">I63*K63/1000</f>
        <v>440</v>
      </c>
      <c r="T63" s="7" t="n">
        <f aca="false">Q63/Q62-1</f>
        <v>0.267734553775744</v>
      </c>
      <c r="U63" s="7" t="n">
        <f aca="false">I63/I62-1</f>
        <v>0.379310344827586</v>
      </c>
      <c r="V63" s="7" t="n">
        <f aca="false">S63/S62-1</f>
        <v>0.620984379605069</v>
      </c>
      <c r="W63" s="6" t="n">
        <f aca="false">IF(ABS(T63)&gt;=0.05,U63/T63,"")</f>
        <v>1.41674034777483</v>
      </c>
      <c r="X63" s="5" t="n">
        <f aca="false">MAX(I$53:I63)</f>
        <v>950</v>
      </c>
      <c r="Y63" s="7" t="n">
        <f aca="false">I63/X63-1</f>
        <v>-0.578947368421053</v>
      </c>
      <c r="Z63" s="5" t="n">
        <f aca="false">LN(I63/I62)</f>
        <v>0.321583624127462</v>
      </c>
      <c r="AA63" s="5" t="n">
        <f aca="false">LN(K63/K62)</f>
        <v>0.16144998230887</v>
      </c>
      <c r="AB63" s="5" t="n">
        <f aca="false">LN(S63/S62)</f>
        <v>0.483033606436332</v>
      </c>
    </row>
    <row r="64" customFormat="false" ht="15" hidden="false" customHeight="false" outlineLevel="0" collapsed="false">
      <c r="A64" s="0" t="s">
        <v>115</v>
      </c>
      <c r="B64" s="0" t="s">
        <v>46</v>
      </c>
      <c r="C64" s="0" t="s">
        <v>107</v>
      </c>
      <c r="D64" s="0" t="n">
        <v>2022</v>
      </c>
      <c r="E64" s="4" t="n">
        <v>1.55</v>
      </c>
      <c r="F64" s="5" t="s">
        <v>117</v>
      </c>
      <c r="G64" s="4" t="n">
        <v>623</v>
      </c>
      <c r="H64" s="4" t="n">
        <v>1</v>
      </c>
      <c r="I64" s="4" t="n">
        <v>370</v>
      </c>
      <c r="J64" s="5" t="s">
        <v>49</v>
      </c>
      <c r="K64" s="4" t="n">
        <v>1280</v>
      </c>
      <c r="L64" s="5" t="s">
        <v>118</v>
      </c>
      <c r="M64" s="5" t="s">
        <v>119</v>
      </c>
      <c r="N64" s="5" t="s">
        <v>120</v>
      </c>
      <c r="O64" s="5" t="s">
        <v>121</v>
      </c>
      <c r="Q64" s="6" t="n">
        <f aca="false">E64*G64*H64</f>
        <v>965.65</v>
      </c>
      <c r="R64" s="7" t="n">
        <f aca="false">I64/Q64</f>
        <v>0.383161600994149</v>
      </c>
      <c r="S64" s="6" t="n">
        <f aca="false">I64*K64/1000</f>
        <v>473.6</v>
      </c>
      <c r="T64" s="7" t="n">
        <f aca="false">Q64/Q63-1</f>
        <v>-0.00397111913357406</v>
      </c>
      <c r="U64" s="7" t="n">
        <f aca="false">I64/I63-1</f>
        <v>-0.075</v>
      </c>
      <c r="V64" s="7" t="n">
        <f aca="false">S64/S63-1</f>
        <v>0.0763636363636364</v>
      </c>
      <c r="W64" s="6" t="str">
        <f aca="false">IF(ABS(T64)&gt;=0.05,U64/T64,"")</f>
        <v/>
      </c>
      <c r="X64" s="5" t="n">
        <f aca="false">MAX(I$53:I64)</f>
        <v>950</v>
      </c>
      <c r="Y64" s="7" t="n">
        <f aca="false">I64/X64-1</f>
        <v>-0.610526315789474</v>
      </c>
      <c r="Z64" s="5" t="n">
        <f aca="false">LN(I64/I63)</f>
        <v>-0.0779615414697118</v>
      </c>
      <c r="AA64" s="5" t="n">
        <f aca="false">LN(K64/K63)</f>
        <v>0.151549898127201</v>
      </c>
      <c r="AB64" s="5" t="n">
        <f aca="false">LN(S64/S63)</f>
        <v>0.0735883566574891</v>
      </c>
    </row>
    <row r="65" customFormat="false" ht="15" hidden="false" customHeight="false" outlineLevel="0" collapsed="false">
      <c r="A65" s="0" t="s">
        <v>115</v>
      </c>
      <c r="B65" s="0" t="s">
        <v>46</v>
      </c>
      <c r="C65" s="0" t="s">
        <v>108</v>
      </c>
      <c r="D65" s="0" t="n">
        <v>2023</v>
      </c>
      <c r="E65" s="4" t="n">
        <v>1.4</v>
      </c>
      <c r="F65" s="5" t="s">
        <v>117</v>
      </c>
      <c r="G65" s="4" t="n">
        <v>607</v>
      </c>
      <c r="H65" s="4" t="n">
        <v>1</v>
      </c>
      <c r="I65" s="4" t="n">
        <v>330</v>
      </c>
      <c r="J65" s="5" t="s">
        <v>49</v>
      </c>
      <c r="K65" s="4" t="n">
        <v>1450</v>
      </c>
      <c r="L65" s="5" t="s">
        <v>118</v>
      </c>
      <c r="M65" s="5" t="s">
        <v>119</v>
      </c>
      <c r="N65" s="5" t="s">
        <v>120</v>
      </c>
      <c r="O65" s="5" t="s">
        <v>121</v>
      </c>
      <c r="Q65" s="6" t="n">
        <f aca="false">E65*G65*H65</f>
        <v>849.8</v>
      </c>
      <c r="R65" s="7" t="n">
        <f aca="false">I65/Q65</f>
        <v>0.38832666509767</v>
      </c>
      <c r="S65" s="6" t="n">
        <f aca="false">I65*K65/1000</f>
        <v>478.5</v>
      </c>
      <c r="T65" s="7" t="n">
        <f aca="false">Q65/Q64-1</f>
        <v>-0.119971003986952</v>
      </c>
      <c r="U65" s="7" t="n">
        <f aca="false">I65/I64-1</f>
        <v>-0.108108108108108</v>
      </c>
      <c r="V65" s="7" t="n">
        <f aca="false">S65/S64-1</f>
        <v>0.0103462837837838</v>
      </c>
      <c r="W65" s="6" t="n">
        <f aca="false">IF(ABS(T65)&gt;=0.05,U65/T65,"")</f>
        <v>0.90111864129991</v>
      </c>
      <c r="X65" s="5" t="n">
        <f aca="false">MAX(I$53:I65)</f>
        <v>950</v>
      </c>
      <c r="Y65" s="7" t="n">
        <f aca="false">I65/X65-1</f>
        <v>-0.652631578947369</v>
      </c>
      <c r="Z65" s="5" t="n">
        <f aca="false">LN(I65/I64)</f>
        <v>-0.114410351177744</v>
      </c>
      <c r="AA65" s="5" t="n">
        <f aca="false">LN(K65/K64)</f>
        <v>0.124703478500957</v>
      </c>
      <c r="AB65" s="5" t="n">
        <f aca="false">LN(S65/S64)</f>
        <v>0.010293127323213</v>
      </c>
    </row>
    <row r="66" customFormat="false" ht="15" hidden="false" customHeight="false" outlineLevel="0" collapsed="false">
      <c r="A66" s="0" t="s">
        <v>115</v>
      </c>
      <c r="B66" s="0" t="s">
        <v>46</v>
      </c>
      <c r="C66" s="0" t="s">
        <v>109</v>
      </c>
      <c r="D66" s="0" t="n">
        <v>2024</v>
      </c>
      <c r="E66" s="4" t="n">
        <v>1.7</v>
      </c>
      <c r="F66" s="5" t="s">
        <v>117</v>
      </c>
      <c r="G66" s="4" t="n">
        <v>607</v>
      </c>
      <c r="H66" s="4" t="n">
        <v>1</v>
      </c>
      <c r="I66" s="4" t="n">
        <v>380</v>
      </c>
      <c r="J66" s="5" t="s">
        <v>49</v>
      </c>
      <c r="K66" s="4" t="n">
        <v>1550</v>
      </c>
      <c r="L66" s="5" t="s">
        <v>118</v>
      </c>
      <c r="M66" s="5" t="s">
        <v>119</v>
      </c>
      <c r="N66" s="5" t="s">
        <v>120</v>
      </c>
      <c r="O66" s="5" t="s">
        <v>121</v>
      </c>
      <c r="Q66" s="6" t="n">
        <f aca="false">E66*G66*H66</f>
        <v>1031.9</v>
      </c>
      <c r="R66" s="7" t="n">
        <f aca="false">I66/Q66</f>
        <v>0.368252737668379</v>
      </c>
      <c r="S66" s="6" t="n">
        <f aca="false">I66*K66/1000</f>
        <v>589</v>
      </c>
      <c r="T66" s="7" t="n">
        <f aca="false">Q66/Q65-1</f>
        <v>0.214285714285714</v>
      </c>
      <c r="U66" s="7" t="n">
        <f aca="false">I66/I65-1</f>
        <v>0.151515151515152</v>
      </c>
      <c r="V66" s="7" t="n">
        <f aca="false">S66/S65-1</f>
        <v>0.230929989550679</v>
      </c>
      <c r="W66" s="6" t="n">
        <f aca="false">IF(ABS(T66)&gt;=0.05,U66/T66,"")</f>
        <v>0.707070707070708</v>
      </c>
      <c r="X66" s="5" t="n">
        <f aca="false">MAX(I$53:I66)</f>
        <v>950</v>
      </c>
      <c r="Y66" s="7" t="n">
        <f aca="false">I66/X66-1</f>
        <v>-0.6</v>
      </c>
      <c r="Z66" s="5" t="n">
        <f aca="false">LN(I66/I65)</f>
        <v>0.141078598259906</v>
      </c>
      <c r="AA66" s="5" t="n">
        <f aca="false">LN(K66/K65)</f>
        <v>0.0666913744986721</v>
      </c>
      <c r="AB66" s="5" t="n">
        <f aca="false">LN(S66/S65)</f>
        <v>0.207769972758578</v>
      </c>
    </row>
    <row r="67" customFormat="false" ht="15" hidden="false" customHeight="false" outlineLevel="0" collapsed="false">
      <c r="A67" s="0" t="s">
        <v>115</v>
      </c>
      <c r="B67" s="0" t="s">
        <v>46</v>
      </c>
      <c r="C67" s="0" t="s">
        <v>111</v>
      </c>
      <c r="D67" s="0" t="n">
        <v>2025</v>
      </c>
      <c r="E67" s="4" t="n">
        <v>1.75</v>
      </c>
      <c r="F67" s="5" t="s">
        <v>117</v>
      </c>
      <c r="G67" s="4" t="n">
        <v>580</v>
      </c>
      <c r="H67" s="4" t="n">
        <v>1</v>
      </c>
      <c r="I67" s="4" t="n">
        <v>420</v>
      </c>
      <c r="J67" s="5" t="s">
        <v>49</v>
      </c>
      <c r="K67" s="4" t="n">
        <v>1600</v>
      </c>
      <c r="L67" s="5" t="s">
        <v>118</v>
      </c>
      <c r="M67" s="5" t="s">
        <v>119</v>
      </c>
      <c r="N67" s="5" t="s">
        <v>120</v>
      </c>
      <c r="O67" s="5" t="s">
        <v>121</v>
      </c>
      <c r="Q67" s="6" t="n">
        <f aca="false">E67*G67*H67</f>
        <v>1015</v>
      </c>
      <c r="R67" s="7" t="n">
        <f aca="false">I67/Q67</f>
        <v>0.413793103448276</v>
      </c>
      <c r="S67" s="6" t="n">
        <f aca="false">I67*K67/1000</f>
        <v>672</v>
      </c>
      <c r="T67" s="7" t="n">
        <f aca="false">Q67/Q66-1</f>
        <v>-0.0163775559647251</v>
      </c>
      <c r="U67" s="7" t="n">
        <f aca="false">I67/I66-1</f>
        <v>0.105263157894737</v>
      </c>
      <c r="V67" s="7" t="n">
        <f aca="false">S67/S66-1</f>
        <v>0.140916808149406</v>
      </c>
      <c r="W67" s="6" t="str">
        <f aca="false">IF(ABS(T67)&gt;=0.05,U67/T67,"")</f>
        <v/>
      </c>
      <c r="X67" s="5" t="n">
        <f aca="false">MAX(I$53:I67)</f>
        <v>950</v>
      </c>
      <c r="Y67" s="7" t="n">
        <f aca="false">I67/X67-1</f>
        <v>-0.557894736842105</v>
      </c>
      <c r="Z67" s="5" t="n">
        <f aca="false">LN(I67/I66)</f>
        <v>0.100083458556983</v>
      </c>
      <c r="AA67" s="5" t="n">
        <f aca="false">LN(K67/K66)</f>
        <v>0.0317486983145803</v>
      </c>
      <c r="AB67" s="5" t="n">
        <f aca="false">LN(S67/S66)</f>
        <v>0.131832156871563</v>
      </c>
    </row>
    <row r="68" customFormat="false" ht="15" hidden="false" customHeight="false" outlineLevel="0" collapsed="false">
      <c r="A68" s="0" t="s">
        <v>115</v>
      </c>
      <c r="B68" s="0" t="s">
        <v>46</v>
      </c>
      <c r="C68" s="0" t="s">
        <v>112</v>
      </c>
      <c r="D68" s="0" t="n">
        <v>2026</v>
      </c>
      <c r="E68" s="4" t="n">
        <v>1.8</v>
      </c>
      <c r="F68" s="5" t="s">
        <v>117</v>
      </c>
      <c r="G68" s="4" t="n">
        <v>560</v>
      </c>
      <c r="H68" s="4" t="n">
        <v>1</v>
      </c>
      <c r="I68" s="4" t="n">
        <v>450</v>
      </c>
      <c r="J68" s="5" t="s">
        <v>49</v>
      </c>
      <c r="K68" s="4" t="n">
        <v>1600</v>
      </c>
      <c r="L68" s="5" t="s">
        <v>118</v>
      </c>
      <c r="M68" s="5" t="s">
        <v>74</v>
      </c>
      <c r="N68" s="5" t="s">
        <v>120</v>
      </c>
      <c r="O68" s="5" t="s">
        <v>121</v>
      </c>
      <c r="P68" s="5" t="s">
        <v>128</v>
      </c>
      <c r="Q68" s="6" t="n">
        <f aca="false">E68*G68*H68</f>
        <v>1008</v>
      </c>
      <c r="R68" s="7" t="n">
        <f aca="false">I68/Q68</f>
        <v>0.446428571428571</v>
      </c>
      <c r="S68" s="6" t="n">
        <f aca="false">I68*K68/1000</f>
        <v>720</v>
      </c>
      <c r="T68" s="7" t="n">
        <f aca="false">Q68/Q67-1</f>
        <v>-0.00689655172413795</v>
      </c>
      <c r="U68" s="7" t="n">
        <f aca="false">I68/I67-1</f>
        <v>0.0714285714285714</v>
      </c>
      <c r="V68" s="7" t="n">
        <f aca="false">S68/S67-1</f>
        <v>0.0714285714285714</v>
      </c>
      <c r="W68" s="6" t="str">
        <f aca="false">IF(ABS(T68)&gt;=0.05,U68/T68,"")</f>
        <v/>
      </c>
      <c r="X68" s="5" t="n">
        <f aca="false">MAX(I$53:I68)</f>
        <v>950</v>
      </c>
      <c r="Y68" s="7" t="n">
        <f aca="false">I68/X68-1</f>
        <v>-0.526315789473684</v>
      </c>
      <c r="Z68" s="5" t="n">
        <f aca="false">LN(I68/I67)</f>
        <v>0.0689928714869514</v>
      </c>
      <c r="AA68" s="5" t="n">
        <f aca="false">LN(K68/K67)</f>
        <v>0</v>
      </c>
      <c r="AB68" s="5" t="n">
        <f aca="false">LN(S68/S67)</f>
        <v>0.0689928714869514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7" min="6" style="0" width="9"/>
    <col collapsed="false" customWidth="true" hidden="false" outlineLevel="0" max="9" min="8" style="0" width="8"/>
    <col collapsed="false" customWidth="true" hidden="false" outlineLevel="0" max="13" min="10" style="0" width="7"/>
    <col collapsed="false" customWidth="true" hidden="false" outlineLevel="0" max="16" min="14" style="0" width="8"/>
    <col collapsed="false" customWidth="true" hidden="false" outlineLevel="0" max="18" min="17" style="0" width="7"/>
    <col collapsed="false" customWidth="true" hidden="false" outlineLevel="0" max="20" min="19" style="0" width="8"/>
    <col collapsed="false" customWidth="true" hidden="false" outlineLevel="0" max="21" min="21" style="0" width="24"/>
    <col collapsed="false" customWidth="true" hidden="false" outlineLevel="0" max="22" min="22" style="0" width="40"/>
    <col collapsed="false" customWidth="true" hidden="false" outlineLevel="0" max="23" min="23" style="0" width="9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6" min="26" style="0" width="26"/>
    <col collapsed="false" customWidth="true" hidden="false" outlineLevel="0" max="27" min="27" style="0" width="30"/>
    <col collapsed="false" customWidth="true" hidden="false" outlineLevel="0" max="28" min="28" style="0" width="40"/>
    <col collapsed="false" customWidth="true" hidden="false" outlineLevel="0" max="40" min="29" style="0" width="11"/>
  </cols>
  <sheetData>
    <row r="1" customFormat="false" ht="55.2" hidden="false" customHeight="false" outlineLevel="0" collapsed="false">
      <c r="A1" s="3" t="s">
        <v>129</v>
      </c>
      <c r="B1" s="3" t="s">
        <v>17</v>
      </c>
      <c r="C1" s="3" t="s">
        <v>18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22</v>
      </c>
      <c r="K1" s="3" t="s">
        <v>136</v>
      </c>
      <c r="L1" s="3" t="s">
        <v>137</v>
      </c>
      <c r="M1" s="3" t="s">
        <v>24</v>
      </c>
      <c r="N1" s="3" t="s">
        <v>138</v>
      </c>
      <c r="O1" s="3" t="s">
        <v>139</v>
      </c>
      <c r="P1" s="3" t="s">
        <v>26</v>
      </c>
      <c r="Q1" s="3" t="s">
        <v>140</v>
      </c>
      <c r="R1" s="3" t="s">
        <v>141</v>
      </c>
      <c r="S1" s="3" t="s">
        <v>142</v>
      </c>
      <c r="T1" s="3" t="s">
        <v>143</v>
      </c>
      <c r="U1" s="3" t="s">
        <v>144</v>
      </c>
      <c r="V1" s="3" t="s">
        <v>145</v>
      </c>
      <c r="W1" s="3" t="s">
        <v>146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147</v>
      </c>
      <c r="AD1" s="3" t="s">
        <v>148</v>
      </c>
      <c r="AE1" s="3" t="s">
        <v>149</v>
      </c>
      <c r="AF1" s="3" t="s">
        <v>150</v>
      </c>
      <c r="AG1" s="3" t="s">
        <v>151</v>
      </c>
      <c r="AH1" s="3" t="s">
        <v>152</v>
      </c>
      <c r="AI1" s="3" t="s">
        <v>153</v>
      </c>
      <c r="AJ1" s="3" t="s">
        <v>154</v>
      </c>
      <c r="AK1" s="3" t="s">
        <v>155</v>
      </c>
      <c r="AL1" s="3" t="s">
        <v>38</v>
      </c>
      <c r="AM1" s="3" t="s">
        <v>156</v>
      </c>
      <c r="AN1" s="3" t="s">
        <v>157</v>
      </c>
    </row>
    <row r="2" customFormat="false" ht="15" hidden="false" customHeight="false" outlineLevel="0" collapsed="false">
      <c r="A2" s="0" t="s">
        <v>158</v>
      </c>
      <c r="B2" s="0" t="s">
        <v>45</v>
      </c>
      <c r="C2" s="0" t="s">
        <v>46</v>
      </c>
      <c r="D2" s="0" t="s">
        <v>159</v>
      </c>
      <c r="E2" s="0" t="s">
        <v>160</v>
      </c>
      <c r="F2" s="0" t="s">
        <v>161</v>
      </c>
      <c r="G2" s="0" t="s">
        <v>162</v>
      </c>
      <c r="H2" s="4" t="n">
        <v>3050</v>
      </c>
      <c r="I2" s="4" t="n">
        <v>1950</v>
      </c>
      <c r="J2" s="5" t="s">
        <v>48</v>
      </c>
      <c r="K2" s="4" t="n">
        <v>590</v>
      </c>
      <c r="L2" s="4" t="n">
        <v>620</v>
      </c>
      <c r="M2" s="0" t="n">
        <v>0.001</v>
      </c>
      <c r="N2" s="4" t="n">
        <v>1100</v>
      </c>
      <c r="O2" s="4" t="n">
        <v>700</v>
      </c>
      <c r="P2" s="5" t="s">
        <v>49</v>
      </c>
      <c r="Q2" s="4" t="n">
        <v>2020</v>
      </c>
      <c r="R2" s="4" t="n">
        <v>1964</v>
      </c>
      <c r="S2" s="4" t="n">
        <v>8</v>
      </c>
      <c r="T2" s="4" t="n">
        <v>42</v>
      </c>
      <c r="U2" s="5" t="s">
        <v>163</v>
      </c>
      <c r="V2" s="5" t="s">
        <v>164</v>
      </c>
      <c r="W2" s="4"/>
      <c r="X2" s="5" t="s">
        <v>165</v>
      </c>
      <c r="Y2" s="5" t="s">
        <v>166</v>
      </c>
      <c r="Z2" s="5" t="s">
        <v>167</v>
      </c>
      <c r="AA2" s="5" t="s">
        <v>168</v>
      </c>
      <c r="AB2" s="5" t="s">
        <v>169</v>
      </c>
      <c r="AC2" s="5" t="n">
        <f aca="false">H2*K2*M2</f>
        <v>1799.5</v>
      </c>
      <c r="AD2" s="5" t="n">
        <f aca="false">I2*L2*M2</f>
        <v>1209</v>
      </c>
      <c r="AE2" s="7" t="n">
        <f aca="false">I2/H2-1</f>
        <v>-0.360655737704918</v>
      </c>
      <c r="AF2" s="7" t="n">
        <f aca="false">AD2/AC2-1</f>
        <v>-0.328146707418727</v>
      </c>
      <c r="AG2" s="7" t="n">
        <f aca="false">O2/N2-1</f>
        <v>-0.363636363636364</v>
      </c>
      <c r="AH2" s="8" t="n">
        <f aca="false">AG2/AF2</f>
        <v>1.1081517973982</v>
      </c>
      <c r="AI2" s="8" t="n">
        <f aca="false">1-AH2</f>
        <v>-0.108151797398199</v>
      </c>
      <c r="AJ2" s="5" t="n">
        <f aca="false">N2*Q2/1000</f>
        <v>2222</v>
      </c>
      <c r="AK2" s="5" t="n">
        <f aca="false">O2*R2/1000</f>
        <v>1374.8</v>
      </c>
      <c r="AL2" s="7" t="n">
        <f aca="false">AK2/AJ2-1</f>
        <v>-0.381278127812781</v>
      </c>
      <c r="AM2" s="7" t="n">
        <f aca="false">N2/AC2</f>
        <v>0.611280911364268</v>
      </c>
      <c r="AN2" s="7" t="n">
        <f aca="false">O2/AD2</f>
        <v>0.578990901571547</v>
      </c>
    </row>
    <row r="3" customFormat="false" ht="15" hidden="false" customHeight="false" outlineLevel="0" collapsed="false">
      <c r="A3" s="0" t="s">
        <v>170</v>
      </c>
      <c r="B3" s="0" t="s">
        <v>45</v>
      </c>
      <c r="C3" s="0" t="s">
        <v>76</v>
      </c>
      <c r="D3" s="0" t="s">
        <v>159</v>
      </c>
      <c r="E3" s="0" t="s">
        <v>160</v>
      </c>
      <c r="F3" s="0" t="s">
        <v>161</v>
      </c>
      <c r="G3" s="0" t="s">
        <v>162</v>
      </c>
      <c r="H3" s="4" t="n">
        <v>3050</v>
      </c>
      <c r="I3" s="4" t="n">
        <v>1950</v>
      </c>
      <c r="J3" s="5" t="s">
        <v>48</v>
      </c>
      <c r="K3" s="4" t="n">
        <v>4</v>
      </c>
      <c r="L3" s="4" t="n">
        <v>4.4</v>
      </c>
      <c r="M3" s="0" t="n">
        <v>0.001</v>
      </c>
      <c r="N3" s="4" t="n">
        <v>7.6</v>
      </c>
      <c r="O3" s="4" t="n">
        <v>7.6</v>
      </c>
      <c r="P3" s="5" t="s">
        <v>77</v>
      </c>
      <c r="Q3" s="4" t="n">
        <v>969</v>
      </c>
      <c r="R3" s="4" t="n">
        <v>905</v>
      </c>
      <c r="S3" s="4"/>
      <c r="T3" s="4" t="n">
        <v>0</v>
      </c>
      <c r="U3" s="5" t="s">
        <v>171</v>
      </c>
      <c r="V3" s="5" t="s">
        <v>172</v>
      </c>
      <c r="W3" s="4"/>
      <c r="X3" s="5" t="s">
        <v>173</v>
      </c>
      <c r="Y3" s="5" t="s">
        <v>166</v>
      </c>
      <c r="Z3" s="5" t="s">
        <v>174</v>
      </c>
      <c r="AA3" s="5" t="s">
        <v>175</v>
      </c>
      <c r="AB3" s="5" t="s">
        <v>176</v>
      </c>
      <c r="AC3" s="5" t="n">
        <f aca="false">H3*K3*M3</f>
        <v>12.2</v>
      </c>
      <c r="AD3" s="5" t="n">
        <f aca="false">I3*L3*M3</f>
        <v>8.58</v>
      </c>
      <c r="AE3" s="7" t="n">
        <f aca="false">I3/H3-1</f>
        <v>-0.360655737704918</v>
      </c>
      <c r="AF3" s="7" t="n">
        <f aca="false">AD3/AC3-1</f>
        <v>-0.29672131147541</v>
      </c>
      <c r="AG3" s="7" t="n">
        <f aca="false">O3/N3-1</f>
        <v>0</v>
      </c>
      <c r="AH3" s="8" t="n">
        <f aca="false">AG3/AF3</f>
        <v>-0</v>
      </c>
      <c r="AI3" s="8" t="n">
        <f aca="false">1-AH3</f>
        <v>1</v>
      </c>
      <c r="AJ3" s="5" t="n">
        <f aca="false">N3*Q3/1000</f>
        <v>7.3644</v>
      </c>
      <c r="AK3" s="5" t="n">
        <f aca="false">O3*R3/1000</f>
        <v>6.878</v>
      </c>
      <c r="AL3" s="7" t="n">
        <f aca="false">AK3/AJ3-1</f>
        <v>-0.066047471620227</v>
      </c>
      <c r="AM3" s="7" t="n">
        <f aca="false">N3/AC3</f>
        <v>0.622950819672131</v>
      </c>
      <c r="AN3" s="7" t="n">
        <f aca="false">O3/AD3</f>
        <v>0.885780885780886</v>
      </c>
    </row>
    <row r="4" customFormat="false" ht="15" hidden="false" customHeight="false" outlineLevel="0" collapsed="false">
      <c r="A4" s="0" t="s">
        <v>177</v>
      </c>
      <c r="B4" s="0" t="s">
        <v>45</v>
      </c>
      <c r="C4" s="0" t="s">
        <v>178</v>
      </c>
      <c r="D4" s="0" t="s">
        <v>159</v>
      </c>
      <c r="E4" s="0" t="s">
        <v>160</v>
      </c>
      <c r="F4" s="0" t="s">
        <v>161</v>
      </c>
      <c r="G4" s="0" t="s">
        <v>162</v>
      </c>
      <c r="H4" s="4" t="n">
        <v>3050</v>
      </c>
      <c r="I4" s="4" t="n">
        <v>1950</v>
      </c>
      <c r="J4" s="5" t="s">
        <v>48</v>
      </c>
      <c r="K4" s="4" t="n">
        <v>590</v>
      </c>
      <c r="L4" s="4" t="n">
        <v>620</v>
      </c>
      <c r="M4" s="0" t="n">
        <v>0.001</v>
      </c>
      <c r="N4" s="4" t="n">
        <v>1450</v>
      </c>
      <c r="O4" s="4" t="n">
        <v>950</v>
      </c>
      <c r="P4" s="5" t="s">
        <v>49</v>
      </c>
      <c r="Q4" s="4" t="n">
        <v>290</v>
      </c>
      <c r="R4" s="4" t="n">
        <v>280</v>
      </c>
      <c r="S4" s="4" t="n">
        <v>1</v>
      </c>
      <c r="T4" s="4"/>
      <c r="U4" s="5" t="s">
        <v>179</v>
      </c>
      <c r="V4" s="5" t="s">
        <v>180</v>
      </c>
      <c r="W4" s="4"/>
      <c r="X4" s="5" t="s">
        <v>181</v>
      </c>
      <c r="Y4" s="5" t="s">
        <v>182</v>
      </c>
      <c r="Z4" s="5" t="s">
        <v>183</v>
      </c>
      <c r="AA4" s="5" t="s">
        <v>184</v>
      </c>
      <c r="AB4" s="5" t="s">
        <v>185</v>
      </c>
      <c r="AC4" s="5" t="n">
        <f aca="false">H4*K4*M4</f>
        <v>1799.5</v>
      </c>
      <c r="AD4" s="5" t="n">
        <f aca="false">I4*L4*M4</f>
        <v>1209</v>
      </c>
      <c r="AE4" s="7" t="n">
        <f aca="false">I4/H4-1</f>
        <v>-0.360655737704918</v>
      </c>
      <c r="AF4" s="7" t="n">
        <f aca="false">AD4/AC4-1</f>
        <v>-0.328146707418727</v>
      </c>
      <c r="AG4" s="7" t="n">
        <f aca="false">O4/N4-1</f>
        <v>-0.344827586206897</v>
      </c>
      <c r="AH4" s="8" t="n">
        <f aca="false">AG4/AF4</f>
        <v>1.05083360098105</v>
      </c>
      <c r="AI4" s="8" t="n">
        <f aca="false">1-AH4</f>
        <v>-0.0508336009810506</v>
      </c>
      <c r="AJ4" s="5" t="n">
        <f aca="false">N4*Q4/1000</f>
        <v>420.5</v>
      </c>
      <c r="AK4" s="5" t="n">
        <f aca="false">O4*R4/1000</f>
        <v>266</v>
      </c>
      <c r="AL4" s="7" t="n">
        <f aca="false">AK4/AJ4-1</f>
        <v>-0.367419738406659</v>
      </c>
      <c r="AM4" s="7" t="n">
        <f aca="false">N4/AC4</f>
        <v>0.80577938316199</v>
      </c>
      <c r="AN4" s="7" t="n">
        <f aca="false">O4/AD4</f>
        <v>0.785773366418528</v>
      </c>
    </row>
    <row r="5" customFormat="false" ht="15" hidden="false" customHeight="false" outlineLevel="0" collapsed="false">
      <c r="A5" s="0" t="s">
        <v>186</v>
      </c>
      <c r="B5" s="0" t="s">
        <v>45</v>
      </c>
      <c r="C5" s="0" t="s">
        <v>187</v>
      </c>
      <c r="D5" s="0" t="s">
        <v>159</v>
      </c>
      <c r="E5" s="0" t="s">
        <v>160</v>
      </c>
      <c r="F5" s="0" t="s">
        <v>161</v>
      </c>
      <c r="G5" s="0" t="s">
        <v>162</v>
      </c>
      <c r="H5" s="4" t="n">
        <v>3050</v>
      </c>
      <c r="I5" s="4" t="n">
        <v>1950</v>
      </c>
      <c r="J5" s="5" t="s">
        <v>48</v>
      </c>
      <c r="K5" s="4" t="n">
        <v>1</v>
      </c>
      <c r="L5" s="4" t="n">
        <v>1</v>
      </c>
      <c r="M5" s="0" t="n">
        <v>0.001</v>
      </c>
      <c r="N5" s="4" t="n">
        <v>2.6</v>
      </c>
      <c r="O5" s="4" t="n">
        <v>1.7</v>
      </c>
      <c r="P5" s="5" t="s">
        <v>188</v>
      </c>
      <c r="Q5" s="4" t="n">
        <v>250</v>
      </c>
      <c r="R5" s="4" t="n">
        <v>290</v>
      </c>
      <c r="S5" s="4" t="n">
        <v>1</v>
      </c>
      <c r="T5" s="4"/>
      <c r="U5" s="5" t="s">
        <v>189</v>
      </c>
      <c r="V5" s="5" t="s">
        <v>190</v>
      </c>
      <c r="W5" s="4"/>
      <c r="X5" s="5" t="s">
        <v>191</v>
      </c>
      <c r="Y5" s="5" t="s">
        <v>182</v>
      </c>
      <c r="Z5" s="5" t="s">
        <v>192</v>
      </c>
      <c r="AA5" s="5" t="s">
        <v>193</v>
      </c>
      <c r="AB5" s="5" t="s">
        <v>194</v>
      </c>
      <c r="AC5" s="5" t="n">
        <f aca="false">H5*K5*M5</f>
        <v>3.05</v>
      </c>
      <c r="AD5" s="5" t="n">
        <f aca="false">I5*L5*M5</f>
        <v>1.95</v>
      </c>
      <c r="AE5" s="7" t="n">
        <f aca="false">I5/H5-1</f>
        <v>-0.360655737704918</v>
      </c>
      <c r="AF5" s="7" t="n">
        <f aca="false">AD5/AC5-1</f>
        <v>-0.360655737704918</v>
      </c>
      <c r="AG5" s="7" t="n">
        <f aca="false">O5/N5-1</f>
        <v>-0.346153846153846</v>
      </c>
      <c r="AH5" s="8" t="n">
        <f aca="false">AG5/AF5</f>
        <v>0.95979020979021</v>
      </c>
      <c r="AI5" s="8" t="n">
        <f aca="false">1-AH5</f>
        <v>0.0402097902097904</v>
      </c>
      <c r="AJ5" s="5" t="n">
        <f aca="false">N5*Q5/1000</f>
        <v>0.65</v>
      </c>
      <c r="AK5" s="5" t="n">
        <f aca="false">O5*R5/1000</f>
        <v>0.493</v>
      </c>
      <c r="AL5" s="7" t="n">
        <f aca="false">AK5/AJ5-1</f>
        <v>-0.241538461538462</v>
      </c>
      <c r="AM5" s="7" t="n">
        <f aca="false">N5/AC5</f>
        <v>0.852459016393443</v>
      </c>
      <c r="AN5" s="7" t="n">
        <f aca="false">O5/AD5</f>
        <v>0.871794871794872</v>
      </c>
    </row>
    <row r="6" customFormat="false" ht="15" hidden="false" customHeight="false" outlineLevel="0" collapsed="false">
      <c r="A6" s="0" t="s">
        <v>195</v>
      </c>
      <c r="B6" s="0" t="s">
        <v>45</v>
      </c>
      <c r="C6" s="0" t="s">
        <v>46</v>
      </c>
      <c r="D6" s="0" t="s">
        <v>196</v>
      </c>
      <c r="E6" s="0" t="s">
        <v>197</v>
      </c>
      <c r="F6" s="0" t="s">
        <v>67</v>
      </c>
      <c r="G6" s="0" t="s">
        <v>71</v>
      </c>
      <c r="H6" s="4" t="n">
        <v>2750</v>
      </c>
      <c r="I6" s="4" t="n">
        <v>8000</v>
      </c>
      <c r="J6" s="5" t="s">
        <v>48</v>
      </c>
      <c r="K6" s="4" t="n">
        <v>615</v>
      </c>
      <c r="L6" s="4" t="n">
        <v>580</v>
      </c>
      <c r="M6" s="0" t="n">
        <v>0.001</v>
      </c>
      <c r="N6" s="4" t="n">
        <v>900</v>
      </c>
      <c r="O6" s="4" t="n">
        <v>1800</v>
      </c>
      <c r="P6" s="5" t="s">
        <v>49</v>
      </c>
      <c r="Q6" s="4" t="n">
        <v>2241</v>
      </c>
      <c r="R6" s="4" t="n">
        <v>1850</v>
      </c>
      <c r="S6" s="4" t="n">
        <v>7</v>
      </c>
      <c r="T6" s="4"/>
      <c r="V6" s="5" t="s">
        <v>198</v>
      </c>
      <c r="W6" s="4"/>
      <c r="X6" s="5" t="s">
        <v>199</v>
      </c>
      <c r="Y6" s="5" t="s">
        <v>166</v>
      </c>
      <c r="Z6" s="5" t="s">
        <v>200</v>
      </c>
      <c r="AA6" s="5" t="s">
        <v>168</v>
      </c>
      <c r="AB6" s="5" t="s">
        <v>201</v>
      </c>
      <c r="AC6" s="5" t="n">
        <f aca="false">H6*K6*M6</f>
        <v>1691.25</v>
      </c>
      <c r="AD6" s="5" t="n">
        <f aca="false">I6*L6*M6</f>
        <v>4640</v>
      </c>
      <c r="AE6" s="7" t="n">
        <f aca="false">I6/H6-1</f>
        <v>1.90909090909091</v>
      </c>
      <c r="AF6" s="7" t="n">
        <f aca="false">AD6/AC6-1</f>
        <v>1.74353288987435</v>
      </c>
      <c r="AG6" s="7" t="n">
        <f aca="false">O6/N6-1</f>
        <v>1</v>
      </c>
      <c r="AH6" s="8" t="n">
        <f aca="false">AG6/AF6</f>
        <v>0.573548113607461</v>
      </c>
      <c r="AI6" s="8" t="n">
        <f aca="false">1-AH6</f>
        <v>0.426451886392539</v>
      </c>
      <c r="AJ6" s="5" t="n">
        <f aca="false">N6*Q6/1000</f>
        <v>2016.9</v>
      </c>
      <c r="AK6" s="5" t="n">
        <f aca="false">O6*R6/1000</f>
        <v>3330</v>
      </c>
      <c r="AL6" s="7" t="n">
        <f aca="false">AK6/AJ6-1</f>
        <v>0.651048639000446</v>
      </c>
      <c r="AM6" s="7" t="n">
        <f aca="false">N6/AC6</f>
        <v>0.532150776053215</v>
      </c>
      <c r="AN6" s="7" t="n">
        <f aca="false">O6/AD6</f>
        <v>0.387931034482759</v>
      </c>
    </row>
    <row r="7" customFormat="false" ht="15" hidden="false" customHeight="false" outlineLevel="0" collapsed="false">
      <c r="A7" s="0" t="s">
        <v>202</v>
      </c>
      <c r="B7" s="0" t="s">
        <v>45</v>
      </c>
      <c r="C7" s="0" t="s">
        <v>76</v>
      </c>
      <c r="D7" s="0" t="s">
        <v>196</v>
      </c>
      <c r="E7" s="0" t="s">
        <v>197</v>
      </c>
      <c r="F7" s="0" t="s">
        <v>67</v>
      </c>
      <c r="G7" s="0" t="s">
        <v>71</v>
      </c>
      <c r="H7" s="4" t="n">
        <v>2750</v>
      </c>
      <c r="I7" s="4" t="n">
        <v>8000</v>
      </c>
      <c r="J7" s="5" t="s">
        <v>48</v>
      </c>
      <c r="K7" s="4" t="n">
        <v>11</v>
      </c>
      <c r="L7" s="4" t="n">
        <v>15</v>
      </c>
      <c r="M7" s="0" t="n">
        <v>0.001</v>
      </c>
      <c r="N7" s="4" t="n">
        <v>12.8</v>
      </c>
      <c r="O7" s="4" t="n">
        <v>49.6</v>
      </c>
      <c r="P7" s="5" t="s">
        <v>77</v>
      </c>
      <c r="Q7" s="4" t="n">
        <v>654</v>
      </c>
      <c r="R7" s="4" t="n">
        <v>600</v>
      </c>
      <c r="S7" s="4" t="n">
        <v>6</v>
      </c>
      <c r="T7" s="4"/>
      <c r="V7" s="5" t="s">
        <v>203</v>
      </c>
      <c r="W7" s="4"/>
      <c r="X7" s="5" t="s">
        <v>204</v>
      </c>
      <c r="Y7" s="5" t="s">
        <v>166</v>
      </c>
      <c r="Z7" s="5" t="s">
        <v>205</v>
      </c>
      <c r="AA7" s="5" t="s">
        <v>206</v>
      </c>
      <c r="AB7" s="5" t="s">
        <v>207</v>
      </c>
      <c r="AC7" s="5" t="n">
        <f aca="false">H7*K7*M7</f>
        <v>30.25</v>
      </c>
      <c r="AD7" s="5" t="n">
        <f aca="false">I7*L7*M7</f>
        <v>120</v>
      </c>
      <c r="AE7" s="7" t="n">
        <f aca="false">I7/H7-1</f>
        <v>1.90909090909091</v>
      </c>
      <c r="AF7" s="7" t="n">
        <f aca="false">AD7/AC7-1</f>
        <v>2.96694214876033</v>
      </c>
      <c r="AG7" s="7" t="n">
        <f aca="false">O7/N7-1</f>
        <v>2.875</v>
      </c>
      <c r="AH7" s="8" t="n">
        <f aca="false">AG7/AF7</f>
        <v>0.969011142061281</v>
      </c>
      <c r="AI7" s="8" t="n">
        <f aca="false">1-AH7</f>
        <v>0.0309888579387188</v>
      </c>
      <c r="AJ7" s="5" t="n">
        <f aca="false">N7*Q7/1000</f>
        <v>8.3712</v>
      </c>
      <c r="AK7" s="5" t="n">
        <f aca="false">O7*R7/1000</f>
        <v>29.76</v>
      </c>
      <c r="AL7" s="7" t="n">
        <f aca="false">AK7/AJ7-1</f>
        <v>2.55504587155963</v>
      </c>
      <c r="AM7" s="7" t="n">
        <f aca="false">N7/AC7</f>
        <v>0.423140495867769</v>
      </c>
      <c r="AN7" s="7" t="n">
        <f aca="false">O7/AD7</f>
        <v>0.413333333333333</v>
      </c>
    </row>
    <row r="8" customFormat="false" ht="15" hidden="false" customHeight="false" outlineLevel="0" collapsed="false">
      <c r="A8" s="0" t="s">
        <v>208</v>
      </c>
      <c r="B8" s="0" t="s">
        <v>45</v>
      </c>
      <c r="C8" s="0" t="s">
        <v>178</v>
      </c>
      <c r="D8" s="0" t="s">
        <v>196</v>
      </c>
      <c r="E8" s="0" t="s">
        <v>197</v>
      </c>
      <c r="F8" s="0" t="s">
        <v>67</v>
      </c>
      <c r="G8" s="0" t="s">
        <v>71</v>
      </c>
      <c r="H8" s="4" t="n">
        <v>2750</v>
      </c>
      <c r="I8" s="4" t="n">
        <v>8000</v>
      </c>
      <c r="J8" s="5" t="s">
        <v>48</v>
      </c>
      <c r="K8" s="4" t="n">
        <v>615</v>
      </c>
      <c r="L8" s="4" t="n">
        <v>580</v>
      </c>
      <c r="M8" s="0" t="n">
        <v>0.001</v>
      </c>
      <c r="N8" s="4" t="n">
        <v>1350</v>
      </c>
      <c r="O8" s="4" t="n">
        <v>4500</v>
      </c>
      <c r="P8" s="5" t="s">
        <v>49</v>
      </c>
      <c r="Q8" s="4" t="n">
        <v>295</v>
      </c>
      <c r="R8" s="4" t="n">
        <v>300</v>
      </c>
      <c r="S8" s="4" t="n">
        <v>1</v>
      </c>
      <c r="T8" s="4"/>
      <c r="V8" s="5" t="s">
        <v>209</v>
      </c>
      <c r="W8" s="4"/>
      <c r="X8" s="5" t="s">
        <v>210</v>
      </c>
      <c r="Y8" s="5" t="s">
        <v>182</v>
      </c>
      <c r="Z8" s="5" t="s">
        <v>211</v>
      </c>
      <c r="AA8" s="5" t="s">
        <v>184</v>
      </c>
      <c r="AB8" s="5" t="s">
        <v>212</v>
      </c>
      <c r="AC8" s="5" t="n">
        <f aca="false">H8*K8*M8</f>
        <v>1691.25</v>
      </c>
      <c r="AD8" s="5" t="n">
        <f aca="false">I8*L8*M8</f>
        <v>4640</v>
      </c>
      <c r="AE8" s="7" t="n">
        <f aca="false">I8/H8-1</f>
        <v>1.90909090909091</v>
      </c>
      <c r="AF8" s="7" t="n">
        <f aca="false">AD8/AC8-1</f>
        <v>1.74353288987435</v>
      </c>
      <c r="AG8" s="7" t="n">
        <f aca="false">O8/N8-1</f>
        <v>2.33333333333333</v>
      </c>
      <c r="AH8" s="8" t="n">
        <f aca="false">AG8/AF8</f>
        <v>1.33827893175074</v>
      </c>
      <c r="AI8" s="8" t="n">
        <f aca="false">1-AH8</f>
        <v>-0.338278931750742</v>
      </c>
      <c r="AJ8" s="5" t="n">
        <f aca="false">N8*Q8/1000</f>
        <v>398.25</v>
      </c>
      <c r="AK8" s="5" t="n">
        <f aca="false">O8*R8/1000</f>
        <v>1350</v>
      </c>
      <c r="AL8" s="7" t="n">
        <f aca="false">AK8/AJ8-1</f>
        <v>2.38983050847458</v>
      </c>
      <c r="AM8" s="7" t="n">
        <f aca="false">N8/AC8</f>
        <v>0.798226164079823</v>
      </c>
      <c r="AN8" s="7" t="n">
        <f aca="false">O8/AD8</f>
        <v>0.969827586206897</v>
      </c>
    </row>
    <row r="9" customFormat="false" ht="15" hidden="false" customHeight="false" outlineLevel="0" collapsed="false">
      <c r="A9" s="0" t="s">
        <v>213</v>
      </c>
      <c r="B9" s="0" t="s">
        <v>45</v>
      </c>
      <c r="C9" s="0" t="s">
        <v>46</v>
      </c>
      <c r="D9" s="0" t="s">
        <v>159</v>
      </c>
      <c r="E9" s="0" t="s">
        <v>214</v>
      </c>
      <c r="F9" s="0" t="s">
        <v>71</v>
      </c>
      <c r="G9" s="0" t="s">
        <v>215</v>
      </c>
      <c r="H9" s="4" t="n">
        <v>8000</v>
      </c>
      <c r="I9" s="4" t="n">
        <v>2860</v>
      </c>
      <c r="J9" s="5" t="s">
        <v>48</v>
      </c>
      <c r="K9" s="4" t="n">
        <v>580</v>
      </c>
      <c r="L9" s="4" t="n">
        <v>565</v>
      </c>
      <c r="M9" s="0" t="n">
        <v>0.001</v>
      </c>
      <c r="N9" s="4" t="n">
        <v>2800</v>
      </c>
      <c r="O9" s="4" t="n">
        <v>1200</v>
      </c>
      <c r="P9" s="5" t="s">
        <v>49</v>
      </c>
      <c r="Q9" s="4" t="n">
        <v>1850</v>
      </c>
      <c r="R9" s="4" t="n">
        <v>1800</v>
      </c>
      <c r="S9" s="4" t="n">
        <v>15</v>
      </c>
      <c r="T9" s="4"/>
      <c r="U9" s="5" t="s">
        <v>216</v>
      </c>
      <c r="V9" s="5" t="s">
        <v>217</v>
      </c>
      <c r="W9" s="4" t="n">
        <v>240</v>
      </c>
      <c r="X9" s="5" t="s">
        <v>218</v>
      </c>
      <c r="Y9" s="5" t="s">
        <v>219</v>
      </c>
      <c r="Z9" s="5" t="s">
        <v>220</v>
      </c>
      <c r="AA9" s="5" t="s">
        <v>221</v>
      </c>
      <c r="AB9" s="5" t="s">
        <v>222</v>
      </c>
      <c r="AC9" s="5" t="n">
        <f aca="false">H9*K9*M9</f>
        <v>4640</v>
      </c>
      <c r="AD9" s="5" t="n">
        <f aca="false">I9*L9*M9</f>
        <v>1615.9</v>
      </c>
      <c r="AE9" s="7" t="n">
        <f aca="false">I9/H9-1</f>
        <v>-0.6425</v>
      </c>
      <c r="AF9" s="7" t="n">
        <f aca="false">AD9/AC9-1</f>
        <v>-0.651745689655172</v>
      </c>
      <c r="AG9" s="7" t="n">
        <f aca="false">O9/N9-1</f>
        <v>-0.571428571428571</v>
      </c>
      <c r="AH9" s="8" t="n">
        <f aca="false">AG9/AF9</f>
        <v>0.876766168919206</v>
      </c>
      <c r="AI9" s="8" t="n">
        <f aca="false">1-AH9</f>
        <v>0.123233831080794</v>
      </c>
      <c r="AJ9" s="5" t="n">
        <f aca="false">N9*Q9/1000</f>
        <v>5180</v>
      </c>
      <c r="AK9" s="5" t="n">
        <f aca="false">O9*R9/1000</f>
        <v>2160</v>
      </c>
      <c r="AL9" s="7" t="n">
        <f aca="false">AK9/AJ9-1</f>
        <v>-0.583011583011583</v>
      </c>
      <c r="AM9" s="7" t="n">
        <f aca="false">N9/AC9</f>
        <v>0.603448275862069</v>
      </c>
      <c r="AN9" s="7" t="n">
        <f aca="false">O9/AD9</f>
        <v>0.74262021164676</v>
      </c>
    </row>
    <row r="10" customFormat="false" ht="15" hidden="false" customHeight="false" outlineLevel="0" collapsed="false">
      <c r="A10" s="0" t="s">
        <v>223</v>
      </c>
      <c r="B10" s="0" t="s">
        <v>45</v>
      </c>
      <c r="C10" s="0" t="s">
        <v>76</v>
      </c>
      <c r="D10" s="0" t="s">
        <v>159</v>
      </c>
      <c r="E10" s="0" t="s">
        <v>214</v>
      </c>
      <c r="F10" s="0" t="s">
        <v>224</v>
      </c>
      <c r="G10" s="0" t="s">
        <v>225</v>
      </c>
      <c r="H10" s="4" t="n">
        <v>6000</v>
      </c>
      <c r="I10" s="4" t="n">
        <v>4100</v>
      </c>
      <c r="J10" s="5" t="s">
        <v>48</v>
      </c>
      <c r="K10" s="4" t="n">
        <v>11.5</v>
      </c>
      <c r="L10" s="4" t="n">
        <v>11</v>
      </c>
      <c r="M10" s="0" t="n">
        <v>0.001</v>
      </c>
      <c r="N10" s="4" t="n">
        <v>58</v>
      </c>
      <c r="O10" s="4" t="n">
        <v>41.392</v>
      </c>
      <c r="P10" s="5" t="s">
        <v>77</v>
      </c>
      <c r="Q10" s="4" t="n">
        <v>600</v>
      </c>
      <c r="R10" s="4" t="n">
        <v>650</v>
      </c>
      <c r="S10" s="4" t="n">
        <v>4</v>
      </c>
      <c r="T10" s="4"/>
      <c r="U10" s="5" t="s">
        <v>226</v>
      </c>
      <c r="V10" s="5" t="s">
        <v>227</v>
      </c>
      <c r="W10" s="4"/>
      <c r="X10" s="5" t="s">
        <v>228</v>
      </c>
      <c r="Y10" s="5" t="s">
        <v>229</v>
      </c>
      <c r="Z10" s="5" t="s">
        <v>230</v>
      </c>
      <c r="AA10" s="5" t="s">
        <v>231</v>
      </c>
      <c r="AB10" s="5" t="s">
        <v>232</v>
      </c>
      <c r="AC10" s="5" t="n">
        <f aca="false">H10*K10*M10</f>
        <v>69</v>
      </c>
      <c r="AD10" s="5" t="n">
        <f aca="false">I10*L10*M10</f>
        <v>45.1</v>
      </c>
      <c r="AE10" s="7" t="n">
        <f aca="false">I10/H10-1</f>
        <v>-0.316666666666667</v>
      </c>
      <c r="AF10" s="7" t="n">
        <f aca="false">AD10/AC10-1</f>
        <v>-0.346376811594203</v>
      </c>
      <c r="AG10" s="7" t="n">
        <f aca="false">O10/N10-1</f>
        <v>-0.286344827586207</v>
      </c>
      <c r="AH10" s="8" t="n">
        <f aca="false">AG10/AF10</f>
        <v>0.82668590390997</v>
      </c>
      <c r="AI10" s="8" t="n">
        <f aca="false">1-AH10</f>
        <v>0.17331409609003</v>
      </c>
      <c r="AJ10" s="5" t="n">
        <f aca="false">N10*Q10/1000</f>
        <v>34.8</v>
      </c>
      <c r="AK10" s="5" t="n">
        <f aca="false">O10*R10/1000</f>
        <v>26.9048</v>
      </c>
      <c r="AL10" s="7" t="n">
        <f aca="false">AK10/AJ10-1</f>
        <v>-0.226873563218391</v>
      </c>
      <c r="AM10" s="7" t="n">
        <f aca="false">N10/AC10</f>
        <v>0.840579710144928</v>
      </c>
      <c r="AN10" s="7" t="n">
        <f aca="false">O10/AD10</f>
        <v>0.917782705099778</v>
      </c>
    </row>
    <row r="11" customFormat="false" ht="15" hidden="false" customHeight="false" outlineLevel="0" collapsed="false">
      <c r="A11" s="0" t="s">
        <v>233</v>
      </c>
      <c r="B11" s="0" t="s">
        <v>234</v>
      </c>
      <c r="C11" s="0" t="s">
        <v>46</v>
      </c>
      <c r="D11" s="0" t="s">
        <v>196</v>
      </c>
      <c r="E11" s="0" t="s">
        <v>235</v>
      </c>
      <c r="F11" s="0" t="s">
        <v>67</v>
      </c>
      <c r="G11" s="0" t="s">
        <v>71</v>
      </c>
      <c r="H11" s="4" t="n">
        <v>2.25</v>
      </c>
      <c r="I11" s="4" t="n">
        <v>4.8</v>
      </c>
      <c r="J11" s="5" t="s">
        <v>117</v>
      </c>
      <c r="K11" s="4" t="n">
        <v>615</v>
      </c>
      <c r="L11" s="4" t="n">
        <v>580</v>
      </c>
      <c r="M11" s="0" t="n">
        <v>1</v>
      </c>
      <c r="N11" s="4" t="n">
        <v>900</v>
      </c>
      <c r="O11" s="4" t="n">
        <v>1500</v>
      </c>
      <c r="P11" s="5" t="s">
        <v>49</v>
      </c>
      <c r="Q11" s="4" t="n">
        <v>80</v>
      </c>
      <c r="R11" s="4" t="n">
        <v>60</v>
      </c>
      <c r="S11" s="4" t="n">
        <v>12</v>
      </c>
      <c r="T11" s="4"/>
      <c r="V11" s="5" t="s">
        <v>236</v>
      </c>
      <c r="W11" s="4"/>
      <c r="X11" s="5" t="s">
        <v>237</v>
      </c>
      <c r="Y11" s="5" t="s">
        <v>238</v>
      </c>
      <c r="Z11" s="5" t="s">
        <v>239</v>
      </c>
      <c r="AA11" s="5" t="s">
        <v>240</v>
      </c>
      <c r="AB11" s="5" t="s">
        <v>241</v>
      </c>
      <c r="AC11" s="5" t="n">
        <f aca="false">H11*K11*M11</f>
        <v>1383.75</v>
      </c>
      <c r="AD11" s="5" t="n">
        <f aca="false">I11*L11*M11</f>
        <v>2784</v>
      </c>
      <c r="AE11" s="7" t="n">
        <f aca="false">I11/H11-1</f>
        <v>1.13333333333333</v>
      </c>
      <c r="AF11" s="7" t="n">
        <f aca="false">AD11/AC11-1</f>
        <v>1.01192411924119</v>
      </c>
      <c r="AG11" s="7" t="n">
        <f aca="false">O11/N11-1</f>
        <v>0.666666666666667</v>
      </c>
      <c r="AH11" s="8" t="n">
        <f aca="false">AG11/AF11</f>
        <v>0.658810926620246</v>
      </c>
      <c r="AI11" s="8" t="n">
        <f aca="false">1-AH11</f>
        <v>0.341189073379754</v>
      </c>
      <c r="AJ11" s="5" t="n">
        <f aca="false">N11*Q11/1000</f>
        <v>72</v>
      </c>
      <c r="AK11" s="5" t="n">
        <f aca="false">O11*R11/1000</f>
        <v>90</v>
      </c>
      <c r="AL11" s="7" t="n">
        <f aca="false">AK11/AJ11-1</f>
        <v>0.25</v>
      </c>
      <c r="AM11" s="7" t="n">
        <f aca="false">N11/AC11</f>
        <v>0.650406504065041</v>
      </c>
      <c r="AN11" s="7" t="n">
        <f aca="false">O11/AD11</f>
        <v>0.538793103448276</v>
      </c>
    </row>
    <row r="12" customFormat="false" ht="15" hidden="false" customHeight="false" outlineLevel="0" collapsed="false">
      <c r="A12" s="0" t="s">
        <v>242</v>
      </c>
      <c r="B12" s="0" t="s">
        <v>234</v>
      </c>
      <c r="C12" s="0" t="s">
        <v>46</v>
      </c>
      <c r="D12" s="0" t="s">
        <v>159</v>
      </c>
      <c r="E12" s="0" t="s">
        <v>243</v>
      </c>
      <c r="F12" s="0" t="s">
        <v>73</v>
      </c>
      <c r="G12" s="0" t="s">
        <v>244</v>
      </c>
      <c r="H12" s="4" t="n">
        <v>4.6</v>
      </c>
      <c r="I12" s="4" t="n">
        <v>3.7</v>
      </c>
      <c r="J12" s="5" t="s">
        <v>117</v>
      </c>
      <c r="K12" s="4" t="n">
        <v>570</v>
      </c>
      <c r="L12" s="4" t="n">
        <v>560</v>
      </c>
      <c r="M12" s="0" t="n">
        <v>1</v>
      </c>
      <c r="N12" s="4" t="n">
        <v>1700</v>
      </c>
      <c r="O12" s="4" t="n">
        <v>1300</v>
      </c>
      <c r="P12" s="5" t="s">
        <v>49</v>
      </c>
      <c r="Q12" s="4" t="n">
        <v>60</v>
      </c>
      <c r="R12" s="4" t="n">
        <v>60</v>
      </c>
      <c r="S12" s="4" t="n">
        <v>10</v>
      </c>
      <c r="T12" s="4"/>
      <c r="U12" s="5" t="s">
        <v>245</v>
      </c>
      <c r="V12" s="5" t="s">
        <v>246</v>
      </c>
      <c r="W12" s="4"/>
      <c r="X12" s="5" t="s">
        <v>247</v>
      </c>
      <c r="Y12" s="5" t="s">
        <v>248</v>
      </c>
      <c r="Z12" s="5" t="s">
        <v>249</v>
      </c>
      <c r="AA12" s="5" t="s">
        <v>250</v>
      </c>
      <c r="AC12" s="5" t="n">
        <f aca="false">H12*K12*M12</f>
        <v>2622</v>
      </c>
      <c r="AD12" s="5" t="n">
        <f aca="false">I12*L12*M12</f>
        <v>2072</v>
      </c>
      <c r="AE12" s="7" t="n">
        <f aca="false">I12/H12-1</f>
        <v>-0.195652173913043</v>
      </c>
      <c r="AF12" s="7" t="n">
        <f aca="false">AD12/AC12-1</f>
        <v>-0.20976353928299</v>
      </c>
      <c r="AG12" s="7" t="n">
        <f aca="false">O12/N12-1</f>
        <v>-0.235294117647059</v>
      </c>
      <c r="AH12" s="8" t="n">
        <f aca="false">AG12/AF12</f>
        <v>1.12171122994652</v>
      </c>
      <c r="AI12" s="8" t="n">
        <f aca="false">1-AH12</f>
        <v>-0.121711229946524</v>
      </c>
      <c r="AJ12" s="5" t="n">
        <f aca="false">N12*Q12/1000</f>
        <v>102</v>
      </c>
      <c r="AK12" s="5" t="n">
        <f aca="false">O12*R12/1000</f>
        <v>78</v>
      </c>
      <c r="AL12" s="7" t="n">
        <f aca="false">AK12/AJ12-1</f>
        <v>-0.235294117647059</v>
      </c>
      <c r="AM12" s="7" t="n">
        <f aca="false">N12/AC12</f>
        <v>0.64836003051106</v>
      </c>
      <c r="AN12" s="7" t="n">
        <f aca="false">O12/AD12</f>
        <v>0.627413127413127</v>
      </c>
    </row>
    <row r="13" customFormat="false" ht="15" hidden="false" customHeight="false" outlineLevel="0" collapsed="false">
      <c r="A13" s="0" t="s">
        <v>251</v>
      </c>
      <c r="B13" s="0" t="s">
        <v>234</v>
      </c>
      <c r="C13" s="0" t="s">
        <v>252</v>
      </c>
      <c r="D13" s="0" t="s">
        <v>196</v>
      </c>
      <c r="E13" s="0" t="s">
        <v>235</v>
      </c>
      <c r="F13" s="0" t="s">
        <v>67</v>
      </c>
      <c r="G13" s="0" t="s">
        <v>71</v>
      </c>
      <c r="H13" s="4" t="n">
        <v>2.25</v>
      </c>
      <c r="I13" s="4" t="n">
        <v>4.8</v>
      </c>
      <c r="J13" s="5" t="s">
        <v>117</v>
      </c>
      <c r="K13" s="4" t="n">
        <v>23500</v>
      </c>
      <c r="L13" s="4" t="n">
        <v>25300</v>
      </c>
      <c r="M13" s="0" t="n">
        <v>1</v>
      </c>
      <c r="N13" s="4" t="n">
        <v>41000</v>
      </c>
      <c r="O13" s="4" t="n">
        <v>120000</v>
      </c>
      <c r="P13" s="5" t="s">
        <v>253</v>
      </c>
      <c r="Q13" s="4" t="n">
        <v>1800</v>
      </c>
      <c r="R13" s="4" t="n">
        <v>1700</v>
      </c>
      <c r="S13" s="4" t="n">
        <v>0</v>
      </c>
      <c r="T13" s="4"/>
      <c r="V13" s="5" t="s">
        <v>254</v>
      </c>
      <c r="W13" s="4"/>
      <c r="X13" s="5" t="s">
        <v>255</v>
      </c>
      <c r="Y13" s="5" t="s">
        <v>238</v>
      </c>
      <c r="Z13" s="5" t="s">
        <v>256</v>
      </c>
      <c r="AA13" s="5" t="s">
        <v>257</v>
      </c>
      <c r="AC13" s="5" t="n">
        <f aca="false">H13*K13*M13</f>
        <v>52875</v>
      </c>
      <c r="AD13" s="5" t="n">
        <f aca="false">I13*L13*M13</f>
        <v>121440</v>
      </c>
      <c r="AE13" s="7" t="n">
        <f aca="false">I13/H13-1</f>
        <v>1.13333333333333</v>
      </c>
      <c r="AF13" s="7" t="n">
        <f aca="false">AD13/AC13-1</f>
        <v>1.29673758865248</v>
      </c>
      <c r="AG13" s="7" t="n">
        <f aca="false">O13/N13-1</f>
        <v>1.92682926829268</v>
      </c>
      <c r="AH13" s="8" t="n">
        <f aca="false">AG13/AF13</f>
        <v>1.48590530972035</v>
      </c>
      <c r="AI13" s="8" t="n">
        <f aca="false">1-AH13</f>
        <v>-0.485905309720347</v>
      </c>
      <c r="AJ13" s="5" t="n">
        <f aca="false">N13*Q13/1000</f>
        <v>73800</v>
      </c>
      <c r="AK13" s="5" t="n">
        <f aca="false">O13*R13/1000</f>
        <v>204000</v>
      </c>
      <c r="AL13" s="7" t="n">
        <f aca="false">AK13/AJ13-1</f>
        <v>1.76422764227642</v>
      </c>
      <c r="AM13" s="7" t="n">
        <f aca="false">N13/AC13</f>
        <v>0.775413711583924</v>
      </c>
      <c r="AN13" s="7" t="n">
        <f aca="false">O13/AD13</f>
        <v>0.988142292490119</v>
      </c>
    </row>
    <row r="14" customFormat="false" ht="15" hidden="false" customHeight="false" outlineLevel="0" collapsed="false">
      <c r="A14" s="0" t="s">
        <v>258</v>
      </c>
      <c r="B14" s="0" t="s">
        <v>86</v>
      </c>
      <c r="C14" s="0" t="s">
        <v>46</v>
      </c>
      <c r="D14" s="0" t="s">
        <v>159</v>
      </c>
      <c r="E14" s="0" t="s">
        <v>259</v>
      </c>
      <c r="F14" s="0" t="s">
        <v>260</v>
      </c>
      <c r="G14" s="0" t="s">
        <v>261</v>
      </c>
      <c r="H14" s="4" t="n">
        <v>0.79</v>
      </c>
      <c r="I14" s="4" t="n">
        <v>0.66</v>
      </c>
      <c r="J14" s="5" t="s">
        <v>87</v>
      </c>
      <c r="K14" s="4" t="n">
        <v>590</v>
      </c>
      <c r="L14" s="4" t="n">
        <v>605</v>
      </c>
      <c r="M14" s="0" t="n">
        <v>2.20462</v>
      </c>
      <c r="N14" s="4" t="n">
        <v>300</v>
      </c>
      <c r="O14" s="4" t="n">
        <v>300</v>
      </c>
      <c r="P14" s="5" t="s">
        <v>49</v>
      </c>
      <c r="Q14" s="4" t="n">
        <v>490</v>
      </c>
      <c r="R14" s="4" t="n">
        <v>560</v>
      </c>
      <c r="S14" s="4"/>
      <c r="T14" s="4" t="n">
        <v>0</v>
      </c>
      <c r="U14" s="5" t="s">
        <v>262</v>
      </c>
      <c r="V14" s="5" t="s">
        <v>263</v>
      </c>
      <c r="W14" s="4"/>
      <c r="X14" s="5" t="s">
        <v>264</v>
      </c>
      <c r="Y14" s="5" t="s">
        <v>166</v>
      </c>
      <c r="Z14" s="5" t="s">
        <v>265</v>
      </c>
      <c r="AA14" s="5" t="s">
        <v>100</v>
      </c>
      <c r="AB14" s="5" t="s">
        <v>266</v>
      </c>
      <c r="AC14" s="5" t="n">
        <f aca="false">H14*K14*M14</f>
        <v>1027.573382</v>
      </c>
      <c r="AD14" s="5" t="n">
        <f aca="false">I14*L14*M14</f>
        <v>880.304766</v>
      </c>
      <c r="AE14" s="7" t="n">
        <f aca="false">I14/H14-1</f>
        <v>-0.164556962025316</v>
      </c>
      <c r="AF14" s="7" t="n">
        <f aca="false">AD14/AC14-1</f>
        <v>-0.143316884788672</v>
      </c>
      <c r="AG14" s="7" t="n">
        <f aca="false">O14/N14-1</f>
        <v>0</v>
      </c>
      <c r="AH14" s="8" t="n">
        <f aca="false">AG14/AF14</f>
        <v>-0</v>
      </c>
      <c r="AI14" s="8" t="n">
        <f aca="false">1-AH14</f>
        <v>1</v>
      </c>
      <c r="AJ14" s="5" t="n">
        <f aca="false">N14*Q14/1000</f>
        <v>147</v>
      </c>
      <c r="AK14" s="5" t="n">
        <f aca="false">O14*R14/1000</f>
        <v>168</v>
      </c>
      <c r="AL14" s="7" t="n">
        <f aca="false">AK14/AJ14-1</f>
        <v>0.142857142857143</v>
      </c>
      <c r="AM14" s="7" t="n">
        <f aca="false">N14/AC14</f>
        <v>0.291949952436584</v>
      </c>
      <c r="AN14" s="7" t="n">
        <f aca="false">O14/AD14</f>
        <v>0.340791066443005</v>
      </c>
    </row>
    <row r="15" customFormat="false" ht="15" hidden="false" customHeight="false" outlineLevel="0" collapsed="false">
      <c r="A15" s="0" t="s">
        <v>267</v>
      </c>
      <c r="B15" s="0" t="s">
        <v>86</v>
      </c>
      <c r="C15" s="0" t="s">
        <v>268</v>
      </c>
      <c r="D15" s="0" t="s">
        <v>159</v>
      </c>
      <c r="E15" s="0" t="s">
        <v>259</v>
      </c>
      <c r="F15" s="0" t="s">
        <v>260</v>
      </c>
      <c r="G15" s="0" t="s">
        <v>261</v>
      </c>
      <c r="H15" s="4" t="n">
        <v>0.79</v>
      </c>
      <c r="I15" s="4" t="n">
        <v>0.66</v>
      </c>
      <c r="J15" s="5" t="s">
        <v>87</v>
      </c>
      <c r="K15" s="4" t="n">
        <v>590</v>
      </c>
      <c r="L15" s="4" t="n">
        <v>605</v>
      </c>
      <c r="M15" s="0" t="n">
        <v>2.20462</v>
      </c>
      <c r="N15" s="4" t="n">
        <v>275</v>
      </c>
      <c r="O15" s="4" t="n">
        <v>200</v>
      </c>
      <c r="P15" s="5" t="s">
        <v>49</v>
      </c>
      <c r="Q15" s="4" t="n">
        <v>717</v>
      </c>
      <c r="R15" s="4" t="n">
        <v>147</v>
      </c>
      <c r="S15" s="4" t="n">
        <v>3</v>
      </c>
      <c r="T15" s="4" t="n">
        <v>12</v>
      </c>
      <c r="U15" s="5" t="s">
        <v>269</v>
      </c>
      <c r="V15" s="5" t="s">
        <v>270</v>
      </c>
      <c r="W15" s="4"/>
      <c r="X15" s="5" t="s">
        <v>271</v>
      </c>
      <c r="Y15" s="5" t="s">
        <v>166</v>
      </c>
      <c r="Z15" s="5" t="s">
        <v>272</v>
      </c>
      <c r="AA15" s="5" t="s">
        <v>273</v>
      </c>
      <c r="AB15" s="5" t="s">
        <v>274</v>
      </c>
      <c r="AC15" s="5" t="n">
        <f aca="false">H15*K15*M15</f>
        <v>1027.573382</v>
      </c>
      <c r="AD15" s="5" t="n">
        <f aca="false">I15*L15*M15</f>
        <v>880.304766</v>
      </c>
      <c r="AE15" s="7" t="n">
        <f aca="false">I15/H15-1</f>
        <v>-0.164556962025316</v>
      </c>
      <c r="AF15" s="7" t="n">
        <f aca="false">AD15/AC15-1</f>
        <v>-0.143316884788672</v>
      </c>
      <c r="AG15" s="7" t="n">
        <f aca="false">O15/N15-1</f>
        <v>-0.272727272727273</v>
      </c>
      <c r="AH15" s="8" t="n">
        <f aca="false">AG15/AF15</f>
        <v>1.90296679368536</v>
      </c>
      <c r="AI15" s="8" t="n">
        <f aca="false">1-AH15</f>
        <v>-0.902966793685356</v>
      </c>
      <c r="AJ15" s="5" t="n">
        <f aca="false">N15*Q15/1000</f>
        <v>197.175</v>
      </c>
      <c r="AK15" s="5" t="n">
        <f aca="false">O15*R15/1000</f>
        <v>29.4</v>
      </c>
      <c r="AL15" s="7" t="n">
        <f aca="false">AK15/AJ15-1</f>
        <v>-0.850893875998479</v>
      </c>
      <c r="AM15" s="7" t="n">
        <f aca="false">N15/AC15</f>
        <v>0.267620789733536</v>
      </c>
      <c r="AN15" s="7" t="n">
        <f aca="false">O15/AD15</f>
        <v>0.227194044295337</v>
      </c>
    </row>
    <row r="16" customFormat="false" ht="15" hidden="false" customHeight="false" outlineLevel="0" collapsed="false">
      <c r="A16" s="0" t="s">
        <v>275</v>
      </c>
      <c r="B16" s="0" t="s">
        <v>86</v>
      </c>
      <c r="C16" s="0" t="s">
        <v>276</v>
      </c>
      <c r="D16" s="0" t="s">
        <v>159</v>
      </c>
      <c r="E16" s="0" t="s">
        <v>259</v>
      </c>
      <c r="F16" s="0" t="s">
        <v>260</v>
      </c>
      <c r="G16" s="0" t="s">
        <v>261</v>
      </c>
      <c r="H16" s="4" t="n">
        <v>0.79</v>
      </c>
      <c r="I16" s="4" t="n">
        <v>0.66</v>
      </c>
      <c r="J16" s="5" t="s">
        <v>87</v>
      </c>
      <c r="K16" s="4" t="n">
        <v>590</v>
      </c>
      <c r="L16" s="4" t="n">
        <v>605</v>
      </c>
      <c r="M16" s="0" t="n">
        <v>2.20462</v>
      </c>
      <c r="N16" s="4" t="n">
        <v>265</v>
      </c>
      <c r="O16" s="4" t="n">
        <v>250</v>
      </c>
      <c r="P16" s="5" t="s">
        <v>49</v>
      </c>
      <c r="Q16" s="4" t="n">
        <v>637</v>
      </c>
      <c r="R16" s="4" t="n">
        <v>470</v>
      </c>
      <c r="S16" s="4" t="n">
        <v>3</v>
      </c>
      <c r="T16" s="4"/>
      <c r="U16" s="5" t="s">
        <v>277</v>
      </c>
      <c r="V16" s="5" t="s">
        <v>278</v>
      </c>
      <c r="W16" s="4"/>
      <c r="X16" s="5" t="s">
        <v>279</v>
      </c>
      <c r="Y16" s="5" t="s">
        <v>182</v>
      </c>
      <c r="Z16" s="5" t="s">
        <v>280</v>
      </c>
      <c r="AA16" s="5" t="s">
        <v>281</v>
      </c>
      <c r="AC16" s="5" t="n">
        <f aca="false">H16*K16*M16</f>
        <v>1027.573382</v>
      </c>
      <c r="AD16" s="5" t="n">
        <f aca="false">I16*L16*M16</f>
        <v>880.304766</v>
      </c>
      <c r="AE16" s="7" t="n">
        <f aca="false">I16/H16-1</f>
        <v>-0.164556962025316</v>
      </c>
      <c r="AF16" s="7" t="n">
        <f aca="false">AD16/AC16-1</f>
        <v>-0.143316884788672</v>
      </c>
      <c r="AG16" s="7" t="n">
        <f aca="false">O16/N16-1</f>
        <v>-0.0566037735849057</v>
      </c>
      <c r="AH16" s="8" t="n">
        <f aca="false">AG16/AF16</f>
        <v>0.394955372274319</v>
      </c>
      <c r="AI16" s="8" t="n">
        <f aca="false">1-AH16</f>
        <v>0.605044627725681</v>
      </c>
      <c r="AJ16" s="5" t="n">
        <f aca="false">N16*Q16/1000</f>
        <v>168.805</v>
      </c>
      <c r="AK16" s="5" t="n">
        <f aca="false">O16*R16/1000</f>
        <v>117.5</v>
      </c>
      <c r="AL16" s="7" t="n">
        <f aca="false">AK16/AJ16-1</f>
        <v>-0.303930570776932</v>
      </c>
      <c r="AM16" s="7" t="n">
        <f aca="false">N16/AC16</f>
        <v>0.257889124652316</v>
      </c>
      <c r="AN16" s="7" t="n">
        <f aca="false">O16/AD16</f>
        <v>0.283992555369171</v>
      </c>
    </row>
    <row r="17" customFormat="false" ht="15" hidden="false" customHeight="false" outlineLevel="0" collapsed="false">
      <c r="A17" s="0" t="s">
        <v>282</v>
      </c>
      <c r="B17" s="0" t="s">
        <v>86</v>
      </c>
      <c r="C17" s="0" t="s">
        <v>46</v>
      </c>
      <c r="D17" s="0" t="s">
        <v>196</v>
      </c>
      <c r="E17" s="0" t="s">
        <v>283</v>
      </c>
      <c r="F17" s="0" t="s">
        <v>63</v>
      </c>
      <c r="G17" s="0" t="s">
        <v>66</v>
      </c>
      <c r="H17" s="4" t="n">
        <v>0.72</v>
      </c>
      <c r="I17" s="4" t="n">
        <v>1.3</v>
      </c>
      <c r="J17" s="5" t="s">
        <v>87</v>
      </c>
      <c r="K17" s="4" t="n">
        <v>590</v>
      </c>
      <c r="L17" s="4" t="n">
        <v>590</v>
      </c>
      <c r="M17" s="0" t="n">
        <v>2.20462</v>
      </c>
      <c r="N17" s="4" t="n">
        <v>300</v>
      </c>
      <c r="O17" s="4" t="n">
        <v>300</v>
      </c>
      <c r="P17" s="5" t="s">
        <v>49</v>
      </c>
      <c r="Q17" s="4" t="n">
        <v>490</v>
      </c>
      <c r="R17" s="4" t="n">
        <v>560</v>
      </c>
      <c r="S17" s="4"/>
      <c r="T17" s="4"/>
      <c r="V17" s="5" t="s">
        <v>284</v>
      </c>
      <c r="W17" s="4"/>
      <c r="X17" s="5" t="s">
        <v>285</v>
      </c>
      <c r="Y17" s="5" t="s">
        <v>166</v>
      </c>
      <c r="Z17" s="5" t="s">
        <v>265</v>
      </c>
      <c r="AA17" s="5" t="s">
        <v>100</v>
      </c>
      <c r="AB17" s="5" t="s">
        <v>286</v>
      </c>
      <c r="AC17" s="5" t="n">
        <f aca="false">H17*K17*M17</f>
        <v>936.522576</v>
      </c>
      <c r="AD17" s="5" t="n">
        <f aca="false">I17*L17*M17</f>
        <v>1690.94354</v>
      </c>
      <c r="AE17" s="7" t="n">
        <f aca="false">I17/H17-1</f>
        <v>0.805555555555556</v>
      </c>
      <c r="AF17" s="7" t="n">
        <f aca="false">AD17/AC17-1</f>
        <v>0.805555555555555</v>
      </c>
      <c r="AG17" s="7" t="n">
        <f aca="false">O17/N17-1</f>
        <v>0</v>
      </c>
      <c r="AH17" s="8" t="n">
        <f aca="false">AG17/AF17</f>
        <v>0</v>
      </c>
      <c r="AI17" s="8" t="n">
        <f aca="false">1-AH17</f>
        <v>1</v>
      </c>
      <c r="AJ17" s="5" t="n">
        <f aca="false">N17*Q17/1000</f>
        <v>147</v>
      </c>
      <c r="AK17" s="5" t="n">
        <f aca="false">O17*R17/1000</f>
        <v>168</v>
      </c>
      <c r="AL17" s="7" t="n">
        <f aca="false">AK17/AJ17-1</f>
        <v>0.142857142857143</v>
      </c>
      <c r="AM17" s="7" t="n">
        <f aca="false">N17/AC17</f>
        <v>0.320333975590141</v>
      </c>
      <c r="AN17" s="7" t="n">
        <f aca="false">O17/AD17</f>
        <v>0.177415740326847</v>
      </c>
    </row>
    <row r="18" customFormat="false" ht="15" hidden="false" customHeight="false" outlineLevel="0" collapsed="false">
      <c r="A18" s="0" t="s">
        <v>287</v>
      </c>
      <c r="B18" s="0" t="s">
        <v>95</v>
      </c>
      <c r="C18" s="0" t="s">
        <v>46</v>
      </c>
      <c r="D18" s="0" t="s">
        <v>159</v>
      </c>
      <c r="E18" s="0" t="s">
        <v>288</v>
      </c>
      <c r="F18" s="0" t="s">
        <v>289</v>
      </c>
      <c r="G18" s="0" t="s">
        <v>104</v>
      </c>
      <c r="H18" s="4" t="n">
        <v>1700</v>
      </c>
      <c r="I18" s="4" t="n">
        <v>1150</v>
      </c>
      <c r="J18" s="5" t="s">
        <v>48</v>
      </c>
      <c r="K18" s="4" t="n">
        <v>555</v>
      </c>
      <c r="L18" s="4" t="n">
        <v>586</v>
      </c>
      <c r="M18" s="0" t="n">
        <v>0.001</v>
      </c>
      <c r="N18" s="4" t="n">
        <v>550</v>
      </c>
      <c r="O18" s="4" t="n">
        <v>330</v>
      </c>
      <c r="P18" s="5" t="s">
        <v>49</v>
      </c>
      <c r="Q18" s="4" t="n">
        <v>761</v>
      </c>
      <c r="R18" s="4" t="n">
        <v>634</v>
      </c>
      <c r="S18" s="4" t="n">
        <v>2</v>
      </c>
      <c r="T18" s="4" t="n">
        <v>72</v>
      </c>
      <c r="U18" s="5" t="s">
        <v>290</v>
      </c>
      <c r="V18" s="5" t="s">
        <v>291</v>
      </c>
      <c r="W18" s="4"/>
      <c r="X18" s="5" t="s">
        <v>292</v>
      </c>
      <c r="Y18" s="5" t="s">
        <v>182</v>
      </c>
      <c r="Z18" s="5" t="s">
        <v>293</v>
      </c>
      <c r="AA18" s="5" t="s">
        <v>100</v>
      </c>
      <c r="AB18" s="5" t="s">
        <v>294</v>
      </c>
      <c r="AC18" s="5" t="n">
        <f aca="false">H18*K18*M18</f>
        <v>943.5</v>
      </c>
      <c r="AD18" s="5" t="n">
        <f aca="false">I18*L18*M18</f>
        <v>673.9</v>
      </c>
      <c r="AE18" s="7" t="n">
        <f aca="false">I18/H18-1</f>
        <v>-0.323529411764706</v>
      </c>
      <c r="AF18" s="7" t="n">
        <f aca="false">AD18/AC18-1</f>
        <v>-0.285744568097509</v>
      </c>
      <c r="AG18" s="7" t="n">
        <f aca="false">O18/N18-1</f>
        <v>-0.4</v>
      </c>
      <c r="AH18" s="8" t="n">
        <f aca="false">AG18/AF18</f>
        <v>1.39985163204748</v>
      </c>
      <c r="AI18" s="8" t="n">
        <f aca="false">1-AH18</f>
        <v>-0.399851632047478</v>
      </c>
      <c r="AJ18" s="5" t="n">
        <f aca="false">N18*Q18/1000</f>
        <v>418.55</v>
      </c>
      <c r="AK18" s="5" t="n">
        <f aca="false">O18*R18/1000</f>
        <v>209.22</v>
      </c>
      <c r="AL18" s="7" t="n">
        <f aca="false">AK18/AJ18-1</f>
        <v>-0.500131406044678</v>
      </c>
      <c r="AM18" s="7" t="n">
        <f aca="false">N18/AC18</f>
        <v>0.582935877053524</v>
      </c>
      <c r="AN18" s="7" t="n">
        <f aca="false">O18/AD18</f>
        <v>0.489686897165752</v>
      </c>
    </row>
    <row r="19" customFormat="false" ht="15" hidden="false" customHeight="false" outlineLevel="0" collapsed="false">
      <c r="A19" s="0" t="s">
        <v>295</v>
      </c>
      <c r="B19" s="0" t="s">
        <v>95</v>
      </c>
      <c r="C19" s="0" t="s">
        <v>296</v>
      </c>
      <c r="D19" s="0" t="s">
        <v>159</v>
      </c>
      <c r="E19" s="0" t="s">
        <v>288</v>
      </c>
      <c r="F19" s="0" t="s">
        <v>60</v>
      </c>
      <c r="G19" s="0" t="s">
        <v>63</v>
      </c>
      <c r="H19" s="4" t="n">
        <v>1700</v>
      </c>
      <c r="I19" s="4" t="n">
        <v>1150</v>
      </c>
      <c r="J19" s="5" t="s">
        <v>48</v>
      </c>
      <c r="K19" s="4" t="n">
        <v>2250</v>
      </c>
      <c r="L19" s="4" t="n">
        <v>2300</v>
      </c>
      <c r="M19" s="0" t="n">
        <v>0.001</v>
      </c>
      <c r="N19" s="4" t="n">
        <v>3.5</v>
      </c>
      <c r="O19" s="4" t="n">
        <v>2.6</v>
      </c>
      <c r="P19" s="5" t="s">
        <v>297</v>
      </c>
      <c r="Q19" s="4" t="n">
        <v>313</v>
      </c>
      <c r="R19" s="4" t="n">
        <v>225</v>
      </c>
      <c r="S19" s="4" t="n">
        <v>1</v>
      </c>
      <c r="T19" s="4"/>
      <c r="U19" s="5" t="s">
        <v>298</v>
      </c>
      <c r="V19" s="5" t="s">
        <v>299</v>
      </c>
      <c r="W19" s="4"/>
      <c r="X19" s="5" t="s">
        <v>300</v>
      </c>
      <c r="Y19" s="5" t="s">
        <v>182</v>
      </c>
      <c r="Z19" s="5" t="s">
        <v>301</v>
      </c>
      <c r="AA19" s="5" t="s">
        <v>302</v>
      </c>
      <c r="AB19" s="5" t="s">
        <v>303</v>
      </c>
      <c r="AC19" s="5" t="n">
        <f aca="false">H19*K19*M19</f>
        <v>3825</v>
      </c>
      <c r="AD19" s="5" t="n">
        <f aca="false">I19*L19*M19</f>
        <v>2645</v>
      </c>
      <c r="AE19" s="7" t="n">
        <f aca="false">I19/H19-1</f>
        <v>-0.323529411764706</v>
      </c>
      <c r="AF19" s="7" t="n">
        <f aca="false">AD19/AC19-1</f>
        <v>-0.308496732026144</v>
      </c>
      <c r="AG19" s="7" t="n">
        <f aca="false">O19/N19-1</f>
        <v>-0.257142857142857</v>
      </c>
      <c r="AH19" s="8" t="n">
        <f aca="false">AG19/AF19</f>
        <v>0.833535108958838</v>
      </c>
      <c r="AI19" s="8" t="n">
        <f aca="false">1-AH19</f>
        <v>0.166464891041162</v>
      </c>
      <c r="AJ19" s="5" t="n">
        <f aca="false">N19*Q19/1000</f>
        <v>1.0955</v>
      </c>
      <c r="AK19" s="5" t="n">
        <f aca="false">O19*R19/1000</f>
        <v>0.585</v>
      </c>
      <c r="AL19" s="7" t="n">
        <f aca="false">AK19/AJ19-1</f>
        <v>-0.465997261524418</v>
      </c>
      <c r="AM19" s="7" t="n">
        <f aca="false">N19/AC19</f>
        <v>0.000915032679738562</v>
      </c>
      <c r="AN19" s="7" t="n">
        <f aca="false">O19/AD19</f>
        <v>0.000982986767485822</v>
      </c>
    </row>
    <row r="20" customFormat="false" ht="15" hidden="false" customHeight="false" outlineLevel="0" collapsed="false">
      <c r="A20" s="0" t="s">
        <v>304</v>
      </c>
      <c r="B20" s="0" t="s">
        <v>95</v>
      </c>
      <c r="C20" s="0" t="s">
        <v>46</v>
      </c>
      <c r="D20" s="0" t="s">
        <v>196</v>
      </c>
      <c r="E20" s="0" t="s">
        <v>305</v>
      </c>
      <c r="F20" s="0" t="s">
        <v>306</v>
      </c>
      <c r="G20" s="0" t="s">
        <v>307</v>
      </c>
      <c r="H20" s="4" t="n">
        <v>1050</v>
      </c>
      <c r="I20" s="4" t="n">
        <v>1650</v>
      </c>
      <c r="J20" s="5" t="s">
        <v>48</v>
      </c>
      <c r="K20" s="4" t="n">
        <v>605</v>
      </c>
      <c r="L20" s="4" t="n">
        <v>605</v>
      </c>
      <c r="M20" s="0" t="n">
        <v>0.001</v>
      </c>
      <c r="N20" s="4" t="n">
        <v>300</v>
      </c>
      <c r="O20" s="4" t="n">
        <v>600</v>
      </c>
      <c r="P20" s="5" t="s">
        <v>49</v>
      </c>
      <c r="Q20" s="4" t="n">
        <v>1100</v>
      </c>
      <c r="R20" s="4" t="n">
        <v>1100</v>
      </c>
      <c r="S20" s="4" t="n">
        <v>1</v>
      </c>
      <c r="T20" s="4"/>
      <c r="V20" s="5" t="s">
        <v>254</v>
      </c>
      <c r="W20" s="4"/>
      <c r="X20" s="5" t="s">
        <v>308</v>
      </c>
      <c r="Y20" s="5" t="s">
        <v>182</v>
      </c>
      <c r="Z20" s="5" t="s">
        <v>309</v>
      </c>
      <c r="AA20" s="5" t="s">
        <v>100</v>
      </c>
      <c r="AB20" s="5" t="s">
        <v>310</v>
      </c>
      <c r="AC20" s="5" t="n">
        <f aca="false">H20*K20*M20</f>
        <v>635.25</v>
      </c>
      <c r="AD20" s="5" t="n">
        <f aca="false">I20*L20*M20</f>
        <v>998.25</v>
      </c>
      <c r="AE20" s="7" t="n">
        <f aca="false">I20/H20-1</f>
        <v>0.571428571428571</v>
      </c>
      <c r="AF20" s="7" t="n">
        <f aca="false">AD20/AC20-1</f>
        <v>0.571428571428571</v>
      </c>
      <c r="AG20" s="7" t="n">
        <f aca="false">O20/N20-1</f>
        <v>1</v>
      </c>
      <c r="AH20" s="8" t="n">
        <f aca="false">AG20/AF20</f>
        <v>1.75</v>
      </c>
      <c r="AI20" s="8" t="n">
        <f aca="false">1-AH20</f>
        <v>-0.75</v>
      </c>
      <c r="AJ20" s="5" t="n">
        <f aca="false">N20*Q20/1000</f>
        <v>330</v>
      </c>
      <c r="AK20" s="5" t="n">
        <f aca="false">O20*R20/1000</f>
        <v>660</v>
      </c>
      <c r="AL20" s="7" t="n">
        <f aca="false">AK20/AJ20-1</f>
        <v>1</v>
      </c>
      <c r="AM20" s="7" t="n">
        <f aca="false">N20/AC20</f>
        <v>0.472255017709563</v>
      </c>
      <c r="AN20" s="7" t="n">
        <f aca="false">O20/AD20</f>
        <v>0.601051840721262</v>
      </c>
    </row>
    <row r="21" customFormat="false" ht="15" hidden="false" customHeight="false" outlineLevel="0" collapsed="false">
      <c r="A21" s="0" t="s">
        <v>311</v>
      </c>
      <c r="B21" s="0" t="s">
        <v>115</v>
      </c>
      <c r="C21" s="0" t="s">
        <v>46</v>
      </c>
      <c r="D21" s="0" t="s">
        <v>159</v>
      </c>
      <c r="E21" s="0" t="s">
        <v>312</v>
      </c>
      <c r="F21" s="0" t="s">
        <v>116</v>
      </c>
      <c r="G21" s="0" t="s">
        <v>96</v>
      </c>
      <c r="H21" s="4" t="n">
        <v>4.52</v>
      </c>
      <c r="I21" s="4" t="n">
        <v>1.37</v>
      </c>
      <c r="J21" s="5" t="s">
        <v>117</v>
      </c>
      <c r="K21" s="4" t="n">
        <v>471</v>
      </c>
      <c r="L21" s="4" t="n">
        <v>593</v>
      </c>
      <c r="M21" s="0" t="n">
        <v>1</v>
      </c>
      <c r="N21" s="4" t="n">
        <v>950</v>
      </c>
      <c r="O21" s="4" t="n">
        <v>260</v>
      </c>
      <c r="P21" s="5" t="s">
        <v>49</v>
      </c>
      <c r="Q21" s="4" t="n">
        <v>235</v>
      </c>
      <c r="R21" s="4" t="n">
        <v>453</v>
      </c>
      <c r="S21" s="4" t="n">
        <v>1</v>
      </c>
      <c r="T21" s="4"/>
      <c r="U21" s="5" t="s">
        <v>313</v>
      </c>
      <c r="V21" s="5" t="s">
        <v>314</v>
      </c>
      <c r="W21" s="4"/>
      <c r="X21" s="5" t="s">
        <v>315</v>
      </c>
      <c r="Y21" s="5" t="s">
        <v>316</v>
      </c>
      <c r="Z21" s="5" t="s">
        <v>317</v>
      </c>
      <c r="AA21" s="5" t="s">
        <v>121</v>
      </c>
      <c r="AB21" s="5" t="s">
        <v>318</v>
      </c>
      <c r="AC21" s="5" t="n">
        <f aca="false">H21*K21*M21</f>
        <v>2128.92</v>
      </c>
      <c r="AD21" s="5" t="n">
        <f aca="false">I21*L21*M21</f>
        <v>812.41</v>
      </c>
      <c r="AE21" s="7" t="n">
        <f aca="false">I21/H21-1</f>
        <v>-0.696902654867257</v>
      </c>
      <c r="AF21" s="7" t="n">
        <f aca="false">AD21/AC21-1</f>
        <v>-0.618393363771302</v>
      </c>
      <c r="AG21" s="7" t="n">
        <f aca="false">O21/N21-1</f>
        <v>-0.726315789473684</v>
      </c>
      <c r="AH21" s="8" t="n">
        <f aca="false">AG21/AF21</f>
        <v>1.17452067247975</v>
      </c>
      <c r="AI21" s="8" t="n">
        <f aca="false">1-AH21</f>
        <v>-0.174520672479751</v>
      </c>
      <c r="AJ21" s="5" t="n">
        <f aca="false">N21*Q21/1000</f>
        <v>223.25</v>
      </c>
      <c r="AK21" s="5" t="n">
        <f aca="false">O21*R21/1000</f>
        <v>117.78</v>
      </c>
      <c r="AL21" s="7" t="n">
        <f aca="false">AK21/AJ21-1</f>
        <v>-0.472430011198208</v>
      </c>
      <c r="AM21" s="7" t="n">
        <f aca="false">N21/AC21</f>
        <v>0.44623565000094</v>
      </c>
      <c r="AN21" s="7" t="n">
        <f aca="false">O21/AD21</f>
        <v>0.320035450080624</v>
      </c>
    </row>
    <row r="22" customFormat="false" ht="15" hidden="false" customHeight="false" outlineLevel="0" collapsed="false">
      <c r="A22" s="0" t="s">
        <v>319</v>
      </c>
      <c r="B22" s="0" t="s">
        <v>115</v>
      </c>
      <c r="C22" s="0" t="s">
        <v>320</v>
      </c>
      <c r="D22" s="0" t="s">
        <v>159</v>
      </c>
      <c r="E22" s="0" t="s">
        <v>312</v>
      </c>
      <c r="F22" s="0" t="s">
        <v>116</v>
      </c>
      <c r="G22" s="0" t="s">
        <v>96</v>
      </c>
      <c r="H22" s="4" t="n">
        <v>4.52</v>
      </c>
      <c r="I22" s="4" t="n">
        <v>1.37</v>
      </c>
      <c r="J22" s="5" t="s">
        <v>117</v>
      </c>
      <c r="K22" s="4" t="n">
        <v>30.5</v>
      </c>
      <c r="L22" s="4" t="n">
        <v>35.3</v>
      </c>
      <c r="M22" s="0" t="n">
        <v>1</v>
      </c>
      <c r="N22" s="4" t="n">
        <v>140</v>
      </c>
      <c r="O22" s="4" t="n">
        <v>45</v>
      </c>
      <c r="P22" s="5" t="s">
        <v>321</v>
      </c>
      <c r="Q22" s="4" t="n">
        <v>3570</v>
      </c>
      <c r="R22" s="4" t="n">
        <v>4470</v>
      </c>
      <c r="S22" s="4" t="n">
        <v>0</v>
      </c>
      <c r="T22" s="4"/>
      <c r="U22" s="5" t="s">
        <v>322</v>
      </c>
      <c r="V22" s="5" t="s">
        <v>323</v>
      </c>
      <c r="W22" s="4"/>
      <c r="X22" s="5" t="s">
        <v>324</v>
      </c>
      <c r="Y22" s="5" t="s">
        <v>238</v>
      </c>
      <c r="Z22" s="5" t="s">
        <v>325</v>
      </c>
      <c r="AA22" s="5" t="s">
        <v>326</v>
      </c>
      <c r="AC22" s="5" t="n">
        <f aca="false">H22*K22*M22</f>
        <v>137.86</v>
      </c>
      <c r="AD22" s="5" t="n">
        <f aca="false">I22*L22*M22</f>
        <v>48.361</v>
      </c>
      <c r="AE22" s="7" t="n">
        <f aca="false">I22/H22-1</f>
        <v>-0.696902654867257</v>
      </c>
      <c r="AF22" s="7" t="n">
        <f aca="false">AD22/AC22-1</f>
        <v>-0.649202089075874</v>
      </c>
      <c r="AG22" s="7" t="n">
        <f aca="false">O22/N22-1</f>
        <v>-0.678571428571429</v>
      </c>
      <c r="AH22" s="8" t="n">
        <f aca="false">AG22/AF22</f>
        <v>1.04523913275966</v>
      </c>
      <c r="AI22" s="8" t="n">
        <f aca="false">1-AH22</f>
        <v>-0.0452391327596637</v>
      </c>
      <c r="AJ22" s="5" t="n">
        <f aca="false">N22*Q22/1000</f>
        <v>499.8</v>
      </c>
      <c r="AK22" s="5" t="n">
        <f aca="false">O22*R22/1000</f>
        <v>201.15</v>
      </c>
      <c r="AL22" s="7" t="n">
        <f aca="false">AK22/AJ22-1</f>
        <v>-0.597539015606243</v>
      </c>
      <c r="AM22" s="7" t="n">
        <f aca="false">N22/AC22</f>
        <v>1.01552299434209</v>
      </c>
      <c r="AN22" s="7" t="n">
        <f aca="false">O22/AD22</f>
        <v>0.930501850664792</v>
      </c>
    </row>
    <row r="23" customFormat="false" ht="15" hidden="false" customHeight="false" outlineLevel="0" collapsed="false">
      <c r="A23" s="0" t="s">
        <v>327</v>
      </c>
      <c r="B23" s="0" t="s">
        <v>115</v>
      </c>
      <c r="C23" s="0" t="s">
        <v>46</v>
      </c>
      <c r="D23" s="0" t="s">
        <v>196</v>
      </c>
      <c r="E23" s="0" t="s">
        <v>328</v>
      </c>
      <c r="F23" s="0" t="s">
        <v>329</v>
      </c>
      <c r="G23" s="0" t="s">
        <v>244</v>
      </c>
      <c r="H23" s="4" t="n">
        <v>1.65</v>
      </c>
      <c r="I23" s="4" t="n">
        <v>1.85</v>
      </c>
      <c r="J23" s="5" t="s">
        <v>117</v>
      </c>
      <c r="K23" s="4" t="n">
        <v>560</v>
      </c>
      <c r="L23" s="4" t="n">
        <v>560</v>
      </c>
      <c r="M23" s="0" t="n">
        <v>1</v>
      </c>
      <c r="N23" s="4" t="n">
        <v>401</v>
      </c>
      <c r="O23" s="4" t="n">
        <v>493</v>
      </c>
      <c r="P23" s="5" t="s">
        <v>49</v>
      </c>
      <c r="Q23" s="4" t="n">
        <v>1600</v>
      </c>
      <c r="R23" s="4" t="n">
        <v>1600</v>
      </c>
      <c r="S23" s="4" t="n">
        <v>1</v>
      </c>
      <c r="T23" s="4"/>
      <c r="V23" s="5" t="s">
        <v>254</v>
      </c>
      <c r="W23" s="4"/>
      <c r="X23" s="5" t="s">
        <v>330</v>
      </c>
      <c r="Y23" s="5" t="s">
        <v>331</v>
      </c>
      <c r="Z23" s="5" t="s">
        <v>332</v>
      </c>
      <c r="AA23" s="5" t="s">
        <v>333</v>
      </c>
      <c r="AB23" s="5" t="s">
        <v>334</v>
      </c>
      <c r="AC23" s="5" t="n">
        <f aca="false">H23*K23*M23</f>
        <v>924</v>
      </c>
      <c r="AD23" s="5" t="n">
        <f aca="false">I23*L23*M23</f>
        <v>1036</v>
      </c>
      <c r="AE23" s="7" t="n">
        <f aca="false">I23/H23-1</f>
        <v>0.121212121212121</v>
      </c>
      <c r="AF23" s="7" t="n">
        <f aca="false">AD23/AC23-1</f>
        <v>0.121212121212121</v>
      </c>
      <c r="AG23" s="7" t="n">
        <f aca="false">O23/N23-1</f>
        <v>0.229426433915212</v>
      </c>
      <c r="AH23" s="8" t="n">
        <f aca="false">AG23/AF23</f>
        <v>1.8927680798005</v>
      </c>
      <c r="AI23" s="8" t="n">
        <f aca="false">1-AH23</f>
        <v>-0.8927680798005</v>
      </c>
      <c r="AJ23" s="5" t="n">
        <f aca="false">N23*Q23/1000</f>
        <v>641.6</v>
      </c>
      <c r="AK23" s="5" t="n">
        <f aca="false">O23*R23/1000</f>
        <v>788.8</v>
      </c>
      <c r="AL23" s="7" t="n">
        <f aca="false">AK23/AJ23-1</f>
        <v>0.229426433915212</v>
      </c>
      <c r="AM23" s="7" t="n">
        <f aca="false">N23/AC23</f>
        <v>0.433982683982684</v>
      </c>
      <c r="AN23" s="7" t="n">
        <f aca="false">O23/AD23</f>
        <v>0.475868725868726</v>
      </c>
    </row>
    <row r="24" customFormat="false" ht="15" hidden="false" customHeight="false" outlineLevel="0" collapsed="false">
      <c r="A24" s="0" t="s">
        <v>335</v>
      </c>
      <c r="B24" s="0" t="s">
        <v>336</v>
      </c>
      <c r="C24" s="0" t="s">
        <v>46</v>
      </c>
      <c r="D24" s="0" t="s">
        <v>159</v>
      </c>
      <c r="E24" s="0" t="s">
        <v>337</v>
      </c>
      <c r="F24" s="0" t="s">
        <v>338</v>
      </c>
      <c r="G24" s="0" t="s">
        <v>339</v>
      </c>
      <c r="H24" s="4" t="n">
        <v>1780</v>
      </c>
      <c r="I24" s="4" t="n">
        <v>890</v>
      </c>
      <c r="J24" s="5" t="s">
        <v>48</v>
      </c>
      <c r="K24" s="4" t="n">
        <v>595</v>
      </c>
      <c r="L24" s="4" t="n">
        <v>655</v>
      </c>
      <c r="M24" s="0" t="n">
        <v>0.001</v>
      </c>
      <c r="N24" s="4" t="n">
        <v>120</v>
      </c>
      <c r="O24" s="4" t="n">
        <v>80</v>
      </c>
      <c r="P24" s="5" t="s">
        <v>49</v>
      </c>
      <c r="Q24" s="4" t="n">
        <v>2500</v>
      </c>
      <c r="R24" s="4" t="n">
        <v>2500</v>
      </c>
      <c r="S24" s="4" t="n">
        <v>1</v>
      </c>
      <c r="T24" s="4"/>
      <c r="U24" s="5" t="s">
        <v>340</v>
      </c>
      <c r="V24" s="5" t="s">
        <v>341</v>
      </c>
      <c r="W24" s="4"/>
      <c r="X24" s="5" t="s">
        <v>342</v>
      </c>
      <c r="Y24" s="5" t="s">
        <v>182</v>
      </c>
      <c r="Z24" s="5" t="s">
        <v>343</v>
      </c>
      <c r="AA24" s="5" t="s">
        <v>121</v>
      </c>
      <c r="AB24" s="5" t="s">
        <v>344</v>
      </c>
      <c r="AC24" s="5" t="n">
        <f aca="false">H24*K24*M24</f>
        <v>1059.1</v>
      </c>
      <c r="AD24" s="5" t="n">
        <f aca="false">I24*L24*M24</f>
        <v>582.95</v>
      </c>
      <c r="AE24" s="7" t="n">
        <f aca="false">I24/H24-1</f>
        <v>-0.5</v>
      </c>
      <c r="AF24" s="7" t="n">
        <f aca="false">AD24/AC24-1</f>
        <v>-0.449579831932773</v>
      </c>
      <c r="AG24" s="7" t="n">
        <f aca="false">O24/N24-1</f>
        <v>-0.333333333333333</v>
      </c>
      <c r="AH24" s="8" t="n">
        <f aca="false">AG24/AF24</f>
        <v>0.741433021806854</v>
      </c>
      <c r="AI24" s="8" t="n">
        <f aca="false">1-AH24</f>
        <v>0.258566978193146</v>
      </c>
      <c r="AJ24" s="5" t="n">
        <f aca="false">N24*Q24/1000</f>
        <v>300</v>
      </c>
      <c r="AK24" s="5" t="n">
        <f aca="false">O24*R24/1000</f>
        <v>200</v>
      </c>
      <c r="AL24" s="7" t="n">
        <f aca="false">AK24/AJ24-1</f>
        <v>-0.333333333333333</v>
      </c>
      <c r="AM24" s="7" t="n">
        <f aca="false">N24/AC24</f>
        <v>0.113303748465678</v>
      </c>
      <c r="AN24" s="7" t="n">
        <f aca="false">O24/AD24</f>
        <v>0.137233038854104</v>
      </c>
    </row>
    <row r="25" customFormat="false" ht="15" hidden="false" customHeight="false" outlineLevel="0" collapsed="false">
      <c r="A25" s="0" t="s">
        <v>345</v>
      </c>
      <c r="B25" s="0" t="s">
        <v>336</v>
      </c>
      <c r="C25" s="0" t="s">
        <v>346</v>
      </c>
      <c r="D25" s="0" t="s">
        <v>159</v>
      </c>
      <c r="E25" s="0" t="s">
        <v>337</v>
      </c>
      <c r="F25" s="0" t="s">
        <v>338</v>
      </c>
      <c r="G25" s="0" t="s">
        <v>347</v>
      </c>
      <c r="H25" s="4" t="n">
        <v>1780</v>
      </c>
      <c r="I25" s="4" t="n">
        <v>1050</v>
      </c>
      <c r="J25" s="5" t="s">
        <v>48</v>
      </c>
      <c r="K25" s="4" t="n">
        <v>14350</v>
      </c>
      <c r="L25" s="4" t="n">
        <v>14950</v>
      </c>
      <c r="M25" s="0" t="n">
        <v>0.001</v>
      </c>
      <c r="N25" s="4" t="n">
        <v>3800</v>
      </c>
      <c r="O25" s="4" t="n">
        <v>1600</v>
      </c>
      <c r="P25" s="5" t="s">
        <v>348</v>
      </c>
      <c r="Q25" s="4" t="n">
        <v>46000</v>
      </c>
      <c r="R25" s="4" t="n">
        <v>46000</v>
      </c>
      <c r="S25" s="4" t="n">
        <v>1</v>
      </c>
      <c r="T25" s="4" t="n">
        <v>4</v>
      </c>
      <c r="U25" s="5" t="s">
        <v>349</v>
      </c>
      <c r="V25" s="5" t="s">
        <v>350</v>
      </c>
      <c r="W25" s="4"/>
      <c r="X25" s="5" t="s">
        <v>351</v>
      </c>
      <c r="Y25" s="5" t="s">
        <v>182</v>
      </c>
      <c r="Z25" s="5" t="s">
        <v>352</v>
      </c>
      <c r="AA25" s="5" t="s">
        <v>353</v>
      </c>
      <c r="AB25" s="5" t="s">
        <v>354</v>
      </c>
      <c r="AC25" s="5" t="n">
        <f aca="false">H25*K25*M25</f>
        <v>25543</v>
      </c>
      <c r="AD25" s="5" t="n">
        <f aca="false">I25*L25*M25</f>
        <v>15697.5</v>
      </c>
      <c r="AE25" s="7" t="n">
        <f aca="false">I25/H25-1</f>
        <v>-0.410112359550562</v>
      </c>
      <c r="AF25" s="7" t="n">
        <f aca="false">AD25/AC25-1</f>
        <v>-0.385448067963826</v>
      </c>
      <c r="AG25" s="7" t="n">
        <f aca="false">O25/N25-1</f>
        <v>-0.578947368421053</v>
      </c>
      <c r="AH25" s="8" t="n">
        <f aca="false">AG25/AF25</f>
        <v>1.50201133833517</v>
      </c>
      <c r="AI25" s="8" t="n">
        <f aca="false">1-AH25</f>
        <v>-0.502011338335173</v>
      </c>
      <c r="AJ25" s="5" t="n">
        <f aca="false">N25*Q25/1000</f>
        <v>174800</v>
      </c>
      <c r="AK25" s="5" t="n">
        <f aca="false">O25*R25/1000</f>
        <v>73600</v>
      </c>
      <c r="AL25" s="7" t="n">
        <f aca="false">AK25/AJ25-1</f>
        <v>-0.578947368421053</v>
      </c>
      <c r="AM25" s="7" t="n">
        <f aca="false">N25/AC25</f>
        <v>0.148768742904122</v>
      </c>
      <c r="AN25" s="7" t="n">
        <f aca="false">O25/AD25</f>
        <v>0.101927058448798</v>
      </c>
    </row>
    <row r="26" customFormat="false" ht="15" hidden="false" customHeight="false" outlineLevel="0" collapsed="false">
      <c r="A26" s="0" t="s">
        <v>355</v>
      </c>
      <c r="B26" s="0" t="s">
        <v>356</v>
      </c>
      <c r="C26" s="0" t="s">
        <v>46</v>
      </c>
      <c r="D26" s="0" t="s">
        <v>196</v>
      </c>
      <c r="E26" s="0" t="s">
        <v>357</v>
      </c>
      <c r="F26" s="0" t="s">
        <v>358</v>
      </c>
      <c r="G26" s="0" t="s">
        <v>359</v>
      </c>
      <c r="H26" s="4" t="n">
        <v>515</v>
      </c>
      <c r="I26" s="4" t="n">
        <v>660</v>
      </c>
      <c r="J26" s="5" t="s">
        <v>48</v>
      </c>
      <c r="K26" s="4" t="n">
        <v>605</v>
      </c>
      <c r="L26" s="4" t="n">
        <v>605</v>
      </c>
      <c r="M26" s="0" t="n">
        <v>0.001</v>
      </c>
      <c r="N26" s="4" t="n">
        <v>425</v>
      </c>
      <c r="O26" s="4" t="n">
        <v>475</v>
      </c>
      <c r="P26" s="5" t="s">
        <v>49</v>
      </c>
      <c r="Q26" s="4" t="n">
        <v>1500</v>
      </c>
      <c r="R26" s="4" t="n">
        <v>1500</v>
      </c>
      <c r="S26" s="4" t="n">
        <v>2</v>
      </c>
      <c r="T26" s="4"/>
      <c r="V26" s="5" t="s">
        <v>360</v>
      </c>
      <c r="W26" s="4"/>
      <c r="X26" s="5" t="s">
        <v>361</v>
      </c>
      <c r="Y26" s="5" t="s">
        <v>182</v>
      </c>
      <c r="Z26" s="5" t="s">
        <v>362</v>
      </c>
      <c r="AA26" s="5" t="s">
        <v>363</v>
      </c>
      <c r="AB26" s="5" t="s">
        <v>364</v>
      </c>
      <c r="AC26" s="5" t="n">
        <f aca="false">H26*K26*M26</f>
        <v>311.575</v>
      </c>
      <c r="AD26" s="5" t="n">
        <f aca="false">I26*L26*M26</f>
        <v>399.3</v>
      </c>
      <c r="AE26" s="7" t="n">
        <f aca="false">I26/H26-1</f>
        <v>0.281553398058253</v>
      </c>
      <c r="AF26" s="7" t="n">
        <f aca="false">AD26/AC26-1</f>
        <v>0.281553398058253</v>
      </c>
      <c r="AG26" s="7" t="n">
        <f aca="false">O26/N26-1</f>
        <v>0.117647058823529</v>
      </c>
      <c r="AH26" s="8" t="n">
        <f aca="false">AG26/AF26</f>
        <v>0.417849898580122</v>
      </c>
      <c r="AI26" s="8" t="n">
        <f aca="false">1-AH26</f>
        <v>0.582150101419878</v>
      </c>
      <c r="AJ26" s="5" t="n">
        <f aca="false">N26*Q26/1000</f>
        <v>637.5</v>
      </c>
      <c r="AK26" s="5" t="n">
        <f aca="false">O26*R26/1000</f>
        <v>712.5</v>
      </c>
      <c r="AL26" s="7" t="n">
        <f aca="false">AK26/AJ26-1</f>
        <v>0.117647058823529</v>
      </c>
      <c r="AM26" s="7" t="n">
        <f aca="false">N26/AC26</f>
        <v>1.36403755115141</v>
      </c>
      <c r="AN26" s="7" t="n">
        <f aca="false">O26/AD26</f>
        <v>1.18958176809416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20" min="4" style="0" width="13"/>
  </cols>
  <sheetData>
    <row r="1" customFormat="false" ht="41.75" hidden="false" customHeight="false" outlineLevel="0" collapsed="false">
      <c r="A1" s="3" t="s">
        <v>17</v>
      </c>
      <c r="B1" s="3" t="s">
        <v>18</v>
      </c>
      <c r="C1" s="3" t="s">
        <v>365</v>
      </c>
      <c r="D1" s="3" t="s">
        <v>366</v>
      </c>
      <c r="E1" s="3" t="s">
        <v>367</v>
      </c>
      <c r="F1" s="3" t="s">
        <v>368</v>
      </c>
      <c r="G1" s="3" t="s">
        <v>369</v>
      </c>
      <c r="H1" s="3" t="s">
        <v>370</v>
      </c>
      <c r="I1" s="3" t="s">
        <v>371</v>
      </c>
      <c r="J1" s="3" t="s">
        <v>372</v>
      </c>
      <c r="K1" s="3" t="s">
        <v>373</v>
      </c>
      <c r="L1" s="3" t="s">
        <v>374</v>
      </c>
      <c r="M1" s="3" t="s">
        <v>375</v>
      </c>
      <c r="N1" s="3" t="s">
        <v>376</v>
      </c>
      <c r="O1" s="3" t="s">
        <v>377</v>
      </c>
      <c r="P1" s="3" t="s">
        <v>378</v>
      </c>
      <c r="Q1" s="3" t="s">
        <v>379</v>
      </c>
      <c r="R1" s="3" t="s">
        <v>380</v>
      </c>
      <c r="S1" s="3" t="s">
        <v>381</v>
      </c>
      <c r="T1" s="3" t="s">
        <v>382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tr">
        <f aca="false">SERIES!C2:C2&amp;" – "&amp;SERIES!C15:C15</f>
        <v>2012/13 – 2025/26</v>
      </c>
      <c r="D2" s="0" t="n">
        <v>14</v>
      </c>
      <c r="E2" s="7" t="n">
        <f aca="false">STDEV(SERIES!Q2:Q15)/AVERAGE(SERIES!Q2:Q15)</f>
        <v>0.555285691673652</v>
      </c>
      <c r="F2" s="7" t="n">
        <f aca="false">STDEV(SERIES!I2:I15)/AVERAGE(SERIES!I2:I15)</f>
        <v>0.478548411768653</v>
      </c>
      <c r="G2" s="7" t="n">
        <f aca="false">STDEV(SERIES!S2:S15)/AVERAGE(SERIES!S2:S15)</f>
        <v>0.46379817055548</v>
      </c>
      <c r="H2" s="8" t="n">
        <f aca="false">IFERROR(AVERAGEIFS(SERIES!W3:W15,SERIES!T3:T15,"&lt;-0.05"),"")</f>
        <v>0.458418868708255</v>
      </c>
      <c r="I2" s="8" t="n">
        <f aca="false">IFERROR(AVERAGEIFS(SERIES!W3:W15,SERIES!T3:T15,"&gt;0.05"),"")</f>
        <v>0.737588778055855</v>
      </c>
      <c r="J2" s="8" t="n">
        <f aca="false">IFERROR(AVERAGEIFS(EPISODES!$AH$2:$AH$26,EPISODES!$B$2:$B$26,A2,EPISODES!$C$2:$C$26,B2,EPISODES!$D$2:$D$26,"baisse"),"")</f>
        <v>0.992458983158703</v>
      </c>
      <c r="K2" s="8" t="n">
        <f aca="false">IFERROR(AVERAGEIFS(EPISODES!$AH$2:$AH$26,EPISODES!$B$2:$B$26,A2,EPISODES!$C$2:$C$26,B2,EPISODES!$D$2:$D$26,"hausse"),"")</f>
        <v>0.573548113607461</v>
      </c>
      <c r="L2" s="7" t="n">
        <f aca="false">IF(ISNUMBER(H2),1-H2,"")</f>
        <v>0.541581131291746</v>
      </c>
      <c r="M2" s="7" t="n">
        <f aca="false">MIN(SERIES!Y2:Y15)</f>
        <v>-0.303921568627451</v>
      </c>
      <c r="N2" s="7" t="n">
        <f aca="false">MIN(SERIES!V3:V15)</f>
        <v>-0.323218792467482</v>
      </c>
      <c r="O2" s="7" t="n">
        <f aca="false">VAR(SERIES!AA3:AA15)/(VAR(SERIES!Z3:Z15)+VAR(SERIES!AA3:AA15))</f>
        <v>0.267526028833566</v>
      </c>
      <c r="P2" s="8" t="n">
        <f aca="false">CORREL(SERIES!Z3:Z15,SERIES!AA3:AA15)</f>
        <v>-0.0421569131233093</v>
      </c>
      <c r="Q2" s="5" t="n">
        <f aca="false">IFERROR(_xlfn.MAXIFS(EPISODES!$T$2:$T$26,EPISODES!$B$2:$B$26,A2,EPISODES!$C$2:$C$26,B2),"")</f>
        <v>42</v>
      </c>
      <c r="R2" s="5" t="n">
        <f aca="false">SUMIFS(EPISODES!$W$2:$W$26,EPISODES!$B$2:$B$26,A2,EPISODES!$C$2:$C$26,B2)</f>
        <v>240</v>
      </c>
      <c r="S2" s="5" t="n">
        <f aca="false">COUNTIF(SERIES!T3:T15,"&lt;=-0.15")</f>
        <v>2</v>
      </c>
      <c r="T2" s="5" t="n">
        <f aca="false">COUNTIF(SERIES!T3:T15,"&lt;=-0.2")</f>
        <v>2</v>
      </c>
    </row>
    <row r="3" customFormat="false" ht="15" hidden="false" customHeight="false" outlineLevel="0" collapsed="false">
      <c r="A3" s="0" t="s">
        <v>45</v>
      </c>
      <c r="B3" s="0" t="s">
        <v>76</v>
      </c>
      <c r="C3" s="0" t="str">
        <f aca="false">SERIES!C16:C16&amp;" – "&amp;SERIES!C29:C29</f>
        <v>2012/13 – 2025/26</v>
      </c>
      <c r="D3" s="0" t="n">
        <v>14</v>
      </c>
      <c r="E3" s="7" t="n">
        <f aca="false">STDEV(SERIES!Q16:Q29)/AVERAGE(SERIES!Q16:Q29)</f>
        <v>1.20548968675126</v>
      </c>
      <c r="F3" s="7" t="n">
        <f aca="false">STDEV(SERIES!I16:I29)/AVERAGE(SERIES!I16:I29)</f>
        <v>1.06119715889977</v>
      </c>
      <c r="G3" s="7" t="n">
        <f aca="false">STDEV(SERIES!S16:S29)/AVERAGE(SERIES!S16:S29)</f>
        <v>0.922064233571364</v>
      </c>
      <c r="H3" s="8" t="n">
        <f aca="false">IFERROR(AVERAGEIFS(SERIES!W17:W29,SERIES!T17:T29,"&lt;-0.05"),"")</f>
        <v>-0.32731638750266</v>
      </c>
      <c r="I3" s="8" t="n">
        <f aca="false">IFERROR(AVERAGEIFS(SERIES!W17:W29,SERIES!T17:T29,"&gt;0.05"),"")</f>
        <v>0.695727143308123</v>
      </c>
      <c r="J3" s="8" t="n">
        <f aca="false">IFERROR(AVERAGEIFS(EPISODES!$AH$2:$AH$26,EPISODES!$B$2:$B$26,A3,EPISODES!$C$2:$C$26,B3,EPISODES!$D$2:$D$26,"baisse"),"")</f>
        <v>0.413342951954985</v>
      </c>
      <c r="K3" s="8" t="n">
        <f aca="false">IFERROR(AVERAGEIFS(EPISODES!$AH$2:$AH$26,EPISODES!$B$2:$B$26,A3,EPISODES!$C$2:$C$26,B3,EPISODES!$D$2:$D$26,"hausse"),"")</f>
        <v>0.969011142061281</v>
      </c>
      <c r="L3" s="7" t="n">
        <f aca="false">IF(ISNUMBER(H3),1-H3,"")</f>
        <v>1.32731638750266</v>
      </c>
      <c r="M3" s="7" t="n">
        <f aca="false">MIN(SERIES!Y16:Y29)</f>
        <v>-0.00400801603206402</v>
      </c>
      <c r="N3" s="7" t="n">
        <f aca="false">MIN(SERIES!V17:V29)</f>
        <v>-0.347659980897803</v>
      </c>
      <c r="O3" s="7" t="n">
        <f aca="false">VAR(SERIES!AA17:AA29)/(VAR(SERIES!Z17:Z29)+VAR(SERIES!AA17:AA29))</f>
        <v>0.468150619945184</v>
      </c>
      <c r="P3" s="8" t="n">
        <f aca="false">CORREL(SERIES!Z17:Z29,SERIES!AA17:AA29)</f>
        <v>0.130785189697953</v>
      </c>
      <c r="Q3" s="5" t="n">
        <f aca="false">IFERROR(_xlfn.MAXIFS(EPISODES!$T$2:$T$26,EPISODES!$B$2:$B$26,A3,EPISODES!$C$2:$C$26,B3),"")</f>
        <v>0</v>
      </c>
      <c r="R3" s="5" t="n">
        <f aca="false">SUMIFS(EPISODES!$W$2:$W$26,EPISODES!$B$2:$B$26,A3,EPISODES!$C$2:$C$26,B3)</f>
        <v>0</v>
      </c>
      <c r="S3" s="5" t="n">
        <f aca="false">COUNTIF(SERIES!T17:T29,"&lt;=-0.15")</f>
        <v>2</v>
      </c>
      <c r="T3" s="5" t="n">
        <f aca="false">COUNTIF(SERIES!T17:T29,"&lt;=-0.2")</f>
        <v>1</v>
      </c>
    </row>
    <row r="4" customFormat="false" ht="15" hidden="false" customHeight="false" outlineLevel="0" collapsed="false">
      <c r="A4" s="0" t="s">
        <v>86</v>
      </c>
      <c r="B4" s="0" t="s">
        <v>46</v>
      </c>
      <c r="C4" s="0" t="str">
        <f aca="false">SERIES!C30:C30&amp;" – "&amp;SERIES!C41:C41</f>
        <v>2014/15 – 2025/26</v>
      </c>
      <c r="D4" s="0" t="n">
        <v>12</v>
      </c>
      <c r="E4" s="7" t="n">
        <f aca="false">STDEV(SERIES!Q30:Q41)/AVERAGE(SERIES!Q30:Q41)</f>
        <v>0.206245029270566</v>
      </c>
      <c r="F4" s="7" t="n">
        <f aca="false">STDEV(SERIES!I30:I41)/AVERAGE(SERIES!I30:I41)</f>
        <v>0.0868984661228489</v>
      </c>
      <c r="G4" s="7" t="n">
        <f aca="false">STDEV(SERIES!S30:S41)/AVERAGE(SERIES!S30:S41)</f>
        <v>0.27058456166818</v>
      </c>
      <c r="H4" s="8" t="n">
        <f aca="false">IFERROR(AVERAGEIFS(SERIES!W31:W41,SERIES!T31:T41,"&lt;-0.05"),"")</f>
        <v>-0.252858401840041</v>
      </c>
      <c r="I4" s="8" t="n">
        <f aca="false">IFERROR(AVERAGEIFS(SERIES!W31:W41,SERIES!T31:T41,"&gt;0.05"),"")</f>
        <v>0.0971764705882353</v>
      </c>
      <c r="J4" s="8" t="n">
        <f aca="false">IFERROR(AVERAGEIFS(EPISODES!$AH$2:$AH$26,EPISODES!$B$2:$B$26,A4,EPISODES!$C$2:$C$26,B4,EPISODES!$D$2:$D$26,"baisse"),"")</f>
        <v>0</v>
      </c>
      <c r="K4" s="8" t="n">
        <f aca="false">IFERROR(AVERAGEIFS(EPISODES!$AH$2:$AH$26,EPISODES!$B$2:$B$26,A4,EPISODES!$C$2:$C$26,B4,EPISODES!$D$2:$D$26,"hausse"),"")</f>
        <v>0</v>
      </c>
      <c r="L4" s="7" t="n">
        <f aca="false">IF(ISNUMBER(H4),1-H4,"")</f>
        <v>1.25285840184004</v>
      </c>
      <c r="M4" s="7" t="n">
        <f aca="false">MIN(SERIES!Y30:Y41)</f>
        <v>0</v>
      </c>
      <c r="N4" s="7" t="n">
        <f aca="false">MIN(SERIES!V31:V41)</f>
        <v>-0.56452380952381</v>
      </c>
      <c r="O4" s="7" t="n">
        <f aca="false">VAR(SERIES!AA31:AA41)/(VAR(SERIES!Z31:Z41)+VAR(SERIES!AA31:AA41))</f>
        <v>0.98677964848252</v>
      </c>
      <c r="P4" s="8" t="n">
        <f aca="false">CORREL(SERIES!Z31:Z41,SERIES!AA31:AA41)</f>
        <v>-0.315372924176249</v>
      </c>
      <c r="Q4" s="5" t="n">
        <f aca="false">IFERROR(_xlfn.MAXIFS(EPISODES!$T$2:$T$26,EPISODES!$B$2:$B$26,A4,EPISODES!$C$2:$C$26,B4),"")</f>
        <v>0</v>
      </c>
      <c r="R4" s="5" t="n">
        <f aca="false">SUMIFS(EPISODES!$W$2:$W$26,EPISODES!$B$2:$B$26,A4,EPISODES!$C$2:$C$26,B4)</f>
        <v>0</v>
      </c>
      <c r="S4" s="5" t="n">
        <f aca="false">COUNTIF(SERIES!T31:T41,"&lt;=-0.15")</f>
        <v>2</v>
      </c>
      <c r="T4" s="5" t="n">
        <f aca="false">COUNTIF(SERIES!T31:T41,"&lt;=-0.2")</f>
        <v>0</v>
      </c>
    </row>
    <row r="5" customFormat="false" ht="15" hidden="false" customHeight="false" outlineLevel="0" collapsed="false">
      <c r="A5" s="0" t="s">
        <v>95</v>
      </c>
      <c r="B5" s="0" t="s">
        <v>46</v>
      </c>
      <c r="C5" s="0" t="str">
        <f aca="false">SERIES!C42:C42&amp;" – "&amp;SERIES!C52:C52</f>
        <v>2016 – 2026</v>
      </c>
      <c r="D5" s="0" t="n">
        <v>11</v>
      </c>
      <c r="E5" s="7" t="n">
        <f aca="false">STDEV(SERIES!Q42:Q52)/AVERAGE(SERIES!Q42:Q52)</f>
        <v>0.193160178381342</v>
      </c>
      <c r="F5" s="7" t="n">
        <f aca="false">STDEV(SERIES!I42:I52)/AVERAGE(SERIES!I42:I52)</f>
        <v>0.18538667359253</v>
      </c>
      <c r="G5" s="7" t="n">
        <f aca="false">STDEV(SERIES!S42:S52)/AVERAGE(SERIES!S42:S52)</f>
        <v>0.259536988475954</v>
      </c>
      <c r="H5" s="8" t="n">
        <f aca="false">IFERROR(AVERAGEIFS(SERIES!W43:W52,SERIES!T43:T52,"&lt;-0.05"),"")</f>
        <v>-0.0659059255520227</v>
      </c>
      <c r="I5" s="8" t="n">
        <f aca="false">IFERROR(AVERAGEIFS(SERIES!W43:W52,SERIES!T43:T52,"&gt;0.05"),"")</f>
        <v>-0.874849159585362</v>
      </c>
      <c r="J5" s="8" t="n">
        <f aca="false">IFERROR(AVERAGEIFS(EPISODES!$AH$2:$AH$26,EPISODES!$B$2:$B$26,A5,EPISODES!$C$2:$C$26,B5,EPISODES!$D$2:$D$26,"baisse"),"")</f>
        <v>1.39985163204748</v>
      </c>
      <c r="K5" s="8" t="n">
        <f aca="false">IFERROR(AVERAGEIFS(EPISODES!$AH$2:$AH$26,EPISODES!$B$2:$B$26,A5,EPISODES!$C$2:$C$26,B5,EPISODES!$D$2:$D$26,"hausse"),"")</f>
        <v>1.75</v>
      </c>
      <c r="L5" s="7" t="n">
        <f aca="false">IF(ISNUMBER(H5),1-H5,"")</f>
        <v>1.06590592555202</v>
      </c>
      <c r="M5" s="7" t="n">
        <f aca="false">MIN(SERIES!Y42:Y52)</f>
        <v>-0.45</v>
      </c>
      <c r="N5" s="7" t="n">
        <f aca="false">MIN(SERIES!V43:V52)</f>
        <v>-0.375164257555848</v>
      </c>
      <c r="O5" s="7" t="n">
        <f aca="false">VAR(SERIES!AA43:AA52)/(VAR(SERIES!Z43:Z52)+VAR(SERIES!AA43:AA52))</f>
        <v>0.258250230314356</v>
      </c>
      <c r="P5" s="8" t="n">
        <f aca="false">CORREL(SERIES!Z43:Z52,SERIES!AA43:AA52)</f>
        <v>0.427973764091715</v>
      </c>
      <c r="Q5" s="5" t="n">
        <f aca="false">IFERROR(_xlfn.MAXIFS(EPISODES!$T$2:$T$26,EPISODES!$B$2:$B$26,A5,EPISODES!$C$2:$C$26,B5),"")</f>
        <v>72</v>
      </c>
      <c r="R5" s="5" t="n">
        <f aca="false">SUMIFS(EPISODES!$W$2:$W$26,EPISODES!$B$2:$B$26,A5,EPISODES!$C$2:$C$26,B5)</f>
        <v>0</v>
      </c>
      <c r="S5" s="5" t="n">
        <f aca="false">COUNTIF(SERIES!T43:T52,"&lt;=-0.15")</f>
        <v>2</v>
      </c>
      <c r="T5" s="5" t="n">
        <f aca="false">COUNTIF(SERIES!T43:T52,"&lt;=-0.2")</f>
        <v>1</v>
      </c>
    </row>
    <row r="6" customFormat="false" ht="15" hidden="false" customHeight="false" outlineLevel="0" collapsed="false">
      <c r="A6" s="0" t="s">
        <v>115</v>
      </c>
      <c r="B6" s="0" t="s">
        <v>46</v>
      </c>
      <c r="C6" s="0" t="str">
        <f aca="false">SERIES!C53:C53&amp;" – "&amp;SERIES!C68:C68</f>
        <v>2011 – 2026</v>
      </c>
      <c r="D6" s="0" t="n">
        <v>16</v>
      </c>
      <c r="E6" s="7" t="n">
        <f aca="false">STDEV(SERIES!Q53:Q68)/AVERAGE(SERIES!Q53:Q68)</f>
        <v>0.348933531820054</v>
      </c>
      <c r="F6" s="7" t="n">
        <f aca="false">STDEV(SERIES!I53:I68)/AVERAGE(SERIES!I53:I68)</f>
        <v>0.422041201343478</v>
      </c>
      <c r="G6" s="7" t="n">
        <f aca="false">STDEV(SERIES!S53:S68)/AVERAGE(SERIES!S53:S68)</f>
        <v>0.64701452741163</v>
      </c>
      <c r="H6" s="8" t="n">
        <f aca="false">IFERROR(AVERAGEIFS(SERIES!W54:W68,SERIES!T54:T68,"&lt;-0.05"),"")</f>
        <v>0.944994587625554</v>
      </c>
      <c r="I6" s="8" t="n">
        <f aca="false">IFERROR(AVERAGEIFS(SERIES!W54:W68,SERIES!T54:T68,"&gt;0.05"),"")</f>
        <v>1.16479964574949</v>
      </c>
      <c r="J6" s="8" t="n">
        <f aca="false">IFERROR(AVERAGEIFS(EPISODES!$AH$2:$AH$26,EPISODES!$B$2:$B$26,A6,EPISODES!$C$2:$C$26,B6,EPISODES!$D$2:$D$26,"baisse"),"")</f>
        <v>1.17452067247975</v>
      </c>
      <c r="K6" s="8" t="n">
        <f aca="false">IFERROR(AVERAGEIFS(EPISODES!$AH$2:$AH$26,EPISODES!$B$2:$B$26,A6,EPISODES!$C$2:$C$26,B6,EPISODES!$D$2:$D$26,"hausse"),"")</f>
        <v>1.8927680798005</v>
      </c>
      <c r="L6" s="7" t="n">
        <f aca="false">IF(ISNUMBER(H6),1-H6,"")</f>
        <v>0.055005412374446</v>
      </c>
      <c r="M6" s="7" t="n">
        <f aca="false">MIN(SERIES!Y53:Y68)</f>
        <v>-0.726315789473684</v>
      </c>
      <c r="N6" s="7" t="n">
        <f aca="false">MIN(SERIES!V54:V68)</f>
        <v>-0.289931034482759</v>
      </c>
      <c r="O6" s="7" t="n">
        <f aca="false">VAR(SERIES!AA54:AA68)/(VAR(SERIES!Z54:Z68)+VAR(SERIES!AA54:AA68))</f>
        <v>0.0972791177828511</v>
      </c>
      <c r="P6" s="8" t="n">
        <f aca="false">CORREL(SERIES!Z54:Z68,SERIES!AA54:AA68)</f>
        <v>0.241817468453194</v>
      </c>
      <c r="Q6" s="5" t="n">
        <f aca="false">IFERROR(_xlfn.MAXIFS(EPISODES!$T$2:$T$26,EPISODES!$B$2:$B$26,A6,EPISODES!$C$2:$C$26,B6),"")</f>
        <v>0</v>
      </c>
      <c r="R6" s="5" t="n">
        <f aca="false">SUMIFS(EPISODES!$W$2:$W$26,EPISODES!$B$2:$B$26,A6,EPISODES!$C$2:$C$26,B6)</f>
        <v>0</v>
      </c>
      <c r="S6" s="5" t="n">
        <f aca="false">COUNTIF(SERIES!T54:T68,"&lt;=-0.15")</f>
        <v>4</v>
      </c>
      <c r="T6" s="5" t="n">
        <f aca="false">COUNTIF(SERIES!T54:T68,"&lt;=-0.2")</f>
        <v>4</v>
      </c>
    </row>
    <row r="8" customFormat="false" ht="15" hidden="false" customHeight="false" outlineLevel="0" collapsed="false">
      <c r="A8" s="9" t="s">
        <v>383</v>
      </c>
    </row>
    <row r="9" customFormat="false" ht="15" hidden="false" customHeight="false" outlineLevel="0" collapsed="false">
      <c r="A9" s="9" t="s">
        <v>17</v>
      </c>
      <c r="B9" s="9" t="s">
        <v>18</v>
      </c>
      <c r="C9" s="9" t="s">
        <v>130</v>
      </c>
      <c r="D9" s="9" t="s">
        <v>384</v>
      </c>
      <c r="E9" s="9" t="s">
        <v>385</v>
      </c>
      <c r="F9" s="9" t="s">
        <v>386</v>
      </c>
      <c r="G9" s="9" t="s">
        <v>387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159</v>
      </c>
      <c r="D10" s="0" t="n">
        <f aca="false">COUNTIFS(EPISODES!$B$2:$B$26,A10,EPISODES!$C$2:$C$26,B10,EPISODES!$D$2:$D$26,C10)</f>
        <v>2</v>
      </c>
      <c r="E10" s="8" t="n">
        <f aca="false">AVERAGEIFS(EPISODES!$AH$2:$AH$26,EPISODES!$B$2:$B$26,A10,EPISODES!$C$2:$C$26,B10,EPISODES!$D$2:$D$26,C10)</f>
        <v>0.992458983158703</v>
      </c>
      <c r="F10" s="7" t="n">
        <f aca="false">AVERAGEIFS(EPISODES!$AF$2:$AF$26,EPISODES!$B$2:$B$26,A10,EPISODES!$C$2:$C$26,B10,EPISODES!$D$2:$D$26,C10)</f>
        <v>-0.48994619853695</v>
      </c>
      <c r="G10" s="7" t="n">
        <f aca="false">AVERAGEIFS(EPISODES!$AG$2:$AG$26,EPISODES!$B$2:$B$26,A10,EPISODES!$C$2:$C$26,B10,EPISODES!$D$2:$D$26,C10)</f>
        <v>-0.467532467532468</v>
      </c>
    </row>
    <row r="11" customFormat="false" ht="15" hidden="false" customHeight="false" outlineLevel="0" collapsed="false">
      <c r="A11" s="0" t="s">
        <v>45</v>
      </c>
      <c r="B11" s="0" t="s">
        <v>76</v>
      </c>
      <c r="C11" s="0" t="s">
        <v>159</v>
      </c>
      <c r="D11" s="0" t="n">
        <f aca="false">COUNTIFS(EPISODES!$B$2:$B$26,A11,EPISODES!$C$2:$C$26,B11,EPISODES!$D$2:$D$26,C11)</f>
        <v>2</v>
      </c>
      <c r="E11" s="8" t="n">
        <f aca="false">AVERAGEIFS(EPISODES!$AH$2:$AH$26,EPISODES!$B$2:$B$26,A11,EPISODES!$C$2:$C$26,B11,EPISODES!$D$2:$D$26,C11)</f>
        <v>0.413342951954985</v>
      </c>
      <c r="F11" s="7" t="n">
        <f aca="false">AVERAGEIFS(EPISODES!$AF$2:$AF$26,EPISODES!$B$2:$B$26,A11,EPISODES!$C$2:$C$26,B11,EPISODES!$D$2:$D$26,C11)</f>
        <v>-0.321549061534806</v>
      </c>
      <c r="G11" s="7" t="n">
        <f aca="false">AVERAGEIFS(EPISODES!$AG$2:$AG$26,EPISODES!$B$2:$B$26,A11,EPISODES!$C$2:$C$26,B11,EPISODES!$D$2:$D$26,C11)</f>
        <v>-0.143172413793103</v>
      </c>
    </row>
    <row r="12" customFormat="false" ht="15" hidden="false" customHeight="false" outlineLevel="0" collapsed="false">
      <c r="A12" s="0" t="s">
        <v>45</v>
      </c>
      <c r="B12" s="0" t="s">
        <v>178</v>
      </c>
      <c r="C12" s="0" t="s">
        <v>159</v>
      </c>
      <c r="D12" s="0" t="n">
        <f aca="false">COUNTIFS(EPISODES!$B$2:$B$26,A12,EPISODES!$C$2:$C$26,B12,EPISODES!$D$2:$D$26,C12)</f>
        <v>1</v>
      </c>
      <c r="E12" s="8" t="n">
        <f aca="false">AVERAGEIFS(EPISODES!$AH$2:$AH$26,EPISODES!$B$2:$B$26,A12,EPISODES!$C$2:$C$26,B12,EPISODES!$D$2:$D$26,C12)</f>
        <v>1.05083360098105</v>
      </c>
      <c r="F12" s="7" t="n">
        <f aca="false">AVERAGEIFS(EPISODES!$AF$2:$AF$26,EPISODES!$B$2:$B$26,A12,EPISODES!$C$2:$C$26,B12,EPISODES!$D$2:$D$26,C12)</f>
        <v>-0.328146707418727</v>
      </c>
      <c r="G12" s="7" t="n">
        <f aca="false">AVERAGEIFS(EPISODES!$AG$2:$AG$26,EPISODES!$B$2:$B$26,A12,EPISODES!$C$2:$C$26,B12,EPISODES!$D$2:$D$26,C12)</f>
        <v>-0.344827586206897</v>
      </c>
    </row>
    <row r="13" customFormat="false" ht="15" hidden="false" customHeight="false" outlineLevel="0" collapsed="false">
      <c r="A13" s="0" t="s">
        <v>45</v>
      </c>
      <c r="B13" s="0" t="s">
        <v>187</v>
      </c>
      <c r="C13" s="0" t="s">
        <v>159</v>
      </c>
      <c r="D13" s="0" t="n">
        <f aca="false">COUNTIFS(EPISODES!$B$2:$B$26,A13,EPISODES!$C$2:$C$26,B13,EPISODES!$D$2:$D$26,C13)</f>
        <v>1</v>
      </c>
      <c r="E13" s="8" t="n">
        <f aca="false">AVERAGEIFS(EPISODES!$AH$2:$AH$26,EPISODES!$B$2:$B$26,A13,EPISODES!$C$2:$C$26,B13,EPISODES!$D$2:$D$26,C13)</f>
        <v>0.95979020979021</v>
      </c>
      <c r="F13" s="7" t="n">
        <f aca="false">AVERAGEIFS(EPISODES!$AF$2:$AF$26,EPISODES!$B$2:$B$26,A13,EPISODES!$C$2:$C$26,B13,EPISODES!$D$2:$D$26,C13)</f>
        <v>-0.360655737704918</v>
      </c>
      <c r="G13" s="7" t="n">
        <f aca="false">AVERAGEIFS(EPISODES!$AG$2:$AG$26,EPISODES!$B$2:$B$26,A13,EPISODES!$C$2:$C$26,B13,EPISODES!$D$2:$D$26,C13)</f>
        <v>-0.346153846153846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196</v>
      </c>
      <c r="D14" s="0" t="n">
        <f aca="false">COUNTIFS(EPISODES!$B$2:$B$26,A14,EPISODES!$C$2:$C$26,B14,EPISODES!$D$2:$D$26,C14)</f>
        <v>1</v>
      </c>
      <c r="E14" s="8" t="n">
        <f aca="false">AVERAGEIFS(EPISODES!$AH$2:$AH$26,EPISODES!$B$2:$B$26,A14,EPISODES!$C$2:$C$26,B14,EPISODES!$D$2:$D$26,C14)</f>
        <v>0.573548113607461</v>
      </c>
      <c r="F14" s="7" t="n">
        <f aca="false">AVERAGEIFS(EPISODES!$AF$2:$AF$26,EPISODES!$B$2:$B$26,A14,EPISODES!$C$2:$C$26,B14,EPISODES!$D$2:$D$26,C14)</f>
        <v>1.74353288987435</v>
      </c>
      <c r="G14" s="7" t="n">
        <f aca="false">AVERAGEIFS(EPISODES!$AG$2:$AG$26,EPISODES!$B$2:$B$26,A14,EPISODES!$C$2:$C$26,B14,EPISODES!$D$2:$D$26,C14)</f>
        <v>1</v>
      </c>
    </row>
    <row r="15" customFormat="false" ht="15" hidden="false" customHeight="false" outlineLevel="0" collapsed="false">
      <c r="A15" s="0" t="s">
        <v>45</v>
      </c>
      <c r="B15" s="0" t="s">
        <v>76</v>
      </c>
      <c r="C15" s="0" t="s">
        <v>196</v>
      </c>
      <c r="D15" s="0" t="n">
        <f aca="false">COUNTIFS(EPISODES!$B$2:$B$26,A15,EPISODES!$C$2:$C$26,B15,EPISODES!$D$2:$D$26,C15)</f>
        <v>1</v>
      </c>
      <c r="E15" s="8" t="n">
        <f aca="false">AVERAGEIFS(EPISODES!$AH$2:$AH$26,EPISODES!$B$2:$B$26,A15,EPISODES!$C$2:$C$26,B15,EPISODES!$D$2:$D$26,C15)</f>
        <v>0.969011142061281</v>
      </c>
      <c r="F15" s="7" t="n">
        <f aca="false">AVERAGEIFS(EPISODES!$AF$2:$AF$26,EPISODES!$B$2:$B$26,A15,EPISODES!$C$2:$C$26,B15,EPISODES!$D$2:$D$26,C15)</f>
        <v>2.96694214876033</v>
      </c>
      <c r="G15" s="7" t="n">
        <f aca="false">AVERAGEIFS(EPISODES!$AG$2:$AG$26,EPISODES!$B$2:$B$26,A15,EPISODES!$C$2:$C$26,B15,EPISODES!$D$2:$D$26,C15)</f>
        <v>2.875</v>
      </c>
    </row>
    <row r="16" customFormat="false" ht="15" hidden="false" customHeight="false" outlineLevel="0" collapsed="false">
      <c r="A16" s="0" t="s">
        <v>45</v>
      </c>
      <c r="B16" s="0" t="s">
        <v>178</v>
      </c>
      <c r="C16" s="0" t="s">
        <v>196</v>
      </c>
      <c r="D16" s="0" t="n">
        <f aca="false">COUNTIFS(EPISODES!$B$2:$B$26,A16,EPISODES!$C$2:$C$26,B16,EPISODES!$D$2:$D$26,C16)</f>
        <v>1</v>
      </c>
      <c r="E16" s="8" t="n">
        <f aca="false">AVERAGEIFS(EPISODES!$AH$2:$AH$26,EPISODES!$B$2:$B$26,A16,EPISODES!$C$2:$C$26,B16,EPISODES!$D$2:$D$26,C16)</f>
        <v>1.33827893175074</v>
      </c>
      <c r="F16" s="7" t="n">
        <f aca="false">AVERAGEIFS(EPISODES!$AF$2:$AF$26,EPISODES!$B$2:$B$26,A16,EPISODES!$C$2:$C$26,B16,EPISODES!$D$2:$D$26,C16)</f>
        <v>1.74353288987435</v>
      </c>
      <c r="G16" s="7" t="n">
        <f aca="false">AVERAGEIFS(EPISODES!$AG$2:$AG$26,EPISODES!$B$2:$B$26,A16,EPISODES!$C$2:$C$26,B16,EPISODES!$D$2:$D$26,C16)</f>
        <v>2.33333333333333</v>
      </c>
    </row>
    <row r="17" customFormat="false" ht="15" hidden="false" customHeight="false" outlineLevel="0" collapsed="false">
      <c r="A17" s="0" t="s">
        <v>234</v>
      </c>
      <c r="B17" s="0" t="s">
        <v>46</v>
      </c>
      <c r="C17" s="0" t="s">
        <v>196</v>
      </c>
      <c r="D17" s="0" t="n">
        <f aca="false">COUNTIFS(EPISODES!$B$2:$B$26,A17,EPISODES!$C$2:$C$26,B17,EPISODES!$D$2:$D$26,C17)</f>
        <v>1</v>
      </c>
      <c r="E17" s="8" t="n">
        <f aca="false">AVERAGEIFS(EPISODES!$AH$2:$AH$26,EPISODES!$B$2:$B$26,A17,EPISODES!$C$2:$C$26,B17,EPISODES!$D$2:$D$26,C17)</f>
        <v>0.658810926620246</v>
      </c>
      <c r="F17" s="7" t="n">
        <f aca="false">AVERAGEIFS(EPISODES!$AF$2:$AF$26,EPISODES!$B$2:$B$26,A17,EPISODES!$C$2:$C$26,B17,EPISODES!$D$2:$D$26,C17)</f>
        <v>1.01192411924119</v>
      </c>
      <c r="G17" s="7" t="n">
        <f aca="false">AVERAGEIFS(EPISODES!$AG$2:$AG$26,EPISODES!$B$2:$B$26,A17,EPISODES!$C$2:$C$26,B17,EPISODES!$D$2:$D$26,C17)</f>
        <v>0.666666666666667</v>
      </c>
    </row>
    <row r="18" customFormat="false" ht="15" hidden="false" customHeight="false" outlineLevel="0" collapsed="false">
      <c r="A18" s="0" t="s">
        <v>234</v>
      </c>
      <c r="B18" s="0" t="s">
        <v>46</v>
      </c>
      <c r="C18" s="0" t="s">
        <v>159</v>
      </c>
      <c r="D18" s="0" t="n">
        <f aca="false">COUNTIFS(EPISODES!$B$2:$B$26,A18,EPISODES!$C$2:$C$26,B18,EPISODES!$D$2:$D$26,C18)</f>
        <v>1</v>
      </c>
      <c r="E18" s="8" t="n">
        <f aca="false">AVERAGEIFS(EPISODES!$AH$2:$AH$26,EPISODES!$B$2:$B$26,A18,EPISODES!$C$2:$C$26,B18,EPISODES!$D$2:$D$26,C18)</f>
        <v>1.12171122994652</v>
      </c>
      <c r="F18" s="7" t="n">
        <f aca="false">AVERAGEIFS(EPISODES!$AF$2:$AF$26,EPISODES!$B$2:$B$26,A18,EPISODES!$C$2:$C$26,B18,EPISODES!$D$2:$D$26,C18)</f>
        <v>-0.20976353928299</v>
      </c>
      <c r="G18" s="7" t="n">
        <f aca="false">AVERAGEIFS(EPISODES!$AG$2:$AG$26,EPISODES!$B$2:$B$26,A18,EPISODES!$C$2:$C$26,B18,EPISODES!$D$2:$D$26,C18)</f>
        <v>-0.235294117647059</v>
      </c>
    </row>
    <row r="19" customFormat="false" ht="15" hidden="false" customHeight="false" outlineLevel="0" collapsed="false">
      <c r="A19" s="0" t="s">
        <v>234</v>
      </c>
      <c r="B19" s="0" t="s">
        <v>252</v>
      </c>
      <c r="C19" s="0" t="s">
        <v>196</v>
      </c>
      <c r="D19" s="0" t="n">
        <f aca="false">COUNTIFS(EPISODES!$B$2:$B$26,A19,EPISODES!$C$2:$C$26,B19,EPISODES!$D$2:$D$26,C19)</f>
        <v>1</v>
      </c>
      <c r="E19" s="8" t="n">
        <f aca="false">AVERAGEIFS(EPISODES!$AH$2:$AH$26,EPISODES!$B$2:$B$26,A19,EPISODES!$C$2:$C$26,B19,EPISODES!$D$2:$D$26,C19)</f>
        <v>1.48590530972035</v>
      </c>
      <c r="F19" s="7" t="n">
        <f aca="false">AVERAGEIFS(EPISODES!$AF$2:$AF$26,EPISODES!$B$2:$B$26,A19,EPISODES!$C$2:$C$26,B19,EPISODES!$D$2:$D$26,C19)</f>
        <v>1.29673758865248</v>
      </c>
      <c r="G19" s="7" t="n">
        <f aca="false">AVERAGEIFS(EPISODES!$AG$2:$AG$26,EPISODES!$B$2:$B$26,A19,EPISODES!$C$2:$C$26,B19,EPISODES!$D$2:$D$26,C19)</f>
        <v>1.92682926829268</v>
      </c>
    </row>
    <row r="20" customFormat="false" ht="15" hidden="false" customHeight="false" outlineLevel="0" collapsed="false">
      <c r="A20" s="0" t="s">
        <v>86</v>
      </c>
      <c r="B20" s="0" t="s">
        <v>46</v>
      </c>
      <c r="C20" s="0" t="s">
        <v>159</v>
      </c>
      <c r="D20" s="0" t="n">
        <f aca="false">COUNTIFS(EPISODES!$B$2:$B$26,A20,EPISODES!$C$2:$C$26,B20,EPISODES!$D$2:$D$26,C20)</f>
        <v>1</v>
      </c>
      <c r="E20" s="8" t="n">
        <f aca="false">AVERAGEIFS(EPISODES!$AH$2:$AH$26,EPISODES!$B$2:$B$26,A20,EPISODES!$C$2:$C$26,B20,EPISODES!$D$2:$D$26,C20)</f>
        <v>0</v>
      </c>
      <c r="F20" s="7" t="n">
        <f aca="false">AVERAGEIFS(EPISODES!$AF$2:$AF$26,EPISODES!$B$2:$B$26,A20,EPISODES!$C$2:$C$26,B20,EPISODES!$D$2:$D$26,C20)</f>
        <v>-0.143316884788672</v>
      </c>
      <c r="G20" s="7" t="n">
        <f aca="false">AVERAGEIFS(EPISODES!$AG$2:$AG$26,EPISODES!$B$2:$B$26,A20,EPISODES!$C$2:$C$26,B20,EPISODES!$D$2:$D$26,C20)</f>
        <v>0</v>
      </c>
    </row>
    <row r="21" customFormat="false" ht="15" hidden="false" customHeight="false" outlineLevel="0" collapsed="false">
      <c r="A21" s="0" t="s">
        <v>86</v>
      </c>
      <c r="B21" s="0" t="s">
        <v>268</v>
      </c>
      <c r="C21" s="0" t="s">
        <v>159</v>
      </c>
      <c r="D21" s="0" t="n">
        <f aca="false">COUNTIFS(EPISODES!$B$2:$B$26,A21,EPISODES!$C$2:$C$26,B21,EPISODES!$D$2:$D$26,C21)</f>
        <v>1</v>
      </c>
      <c r="E21" s="8" t="n">
        <f aca="false">AVERAGEIFS(EPISODES!$AH$2:$AH$26,EPISODES!$B$2:$B$26,A21,EPISODES!$C$2:$C$26,B21,EPISODES!$D$2:$D$26,C21)</f>
        <v>1.90296679368536</v>
      </c>
      <c r="F21" s="7" t="n">
        <f aca="false">AVERAGEIFS(EPISODES!$AF$2:$AF$26,EPISODES!$B$2:$B$26,A21,EPISODES!$C$2:$C$26,B21,EPISODES!$D$2:$D$26,C21)</f>
        <v>-0.143316884788672</v>
      </c>
      <c r="G21" s="7" t="n">
        <f aca="false">AVERAGEIFS(EPISODES!$AG$2:$AG$26,EPISODES!$B$2:$B$26,A21,EPISODES!$C$2:$C$26,B21,EPISODES!$D$2:$D$26,C21)</f>
        <v>-0.272727272727273</v>
      </c>
    </row>
    <row r="22" customFormat="false" ht="15" hidden="false" customHeight="false" outlineLevel="0" collapsed="false">
      <c r="A22" s="0" t="s">
        <v>86</v>
      </c>
      <c r="B22" s="0" t="s">
        <v>276</v>
      </c>
      <c r="C22" s="0" t="s">
        <v>159</v>
      </c>
      <c r="D22" s="0" t="n">
        <f aca="false">COUNTIFS(EPISODES!$B$2:$B$26,A22,EPISODES!$C$2:$C$26,B22,EPISODES!$D$2:$D$26,C22)</f>
        <v>1</v>
      </c>
      <c r="E22" s="8" t="n">
        <f aca="false">AVERAGEIFS(EPISODES!$AH$2:$AH$26,EPISODES!$B$2:$B$26,A22,EPISODES!$C$2:$C$26,B22,EPISODES!$D$2:$D$26,C22)</f>
        <v>0.394955372274319</v>
      </c>
      <c r="F22" s="7" t="n">
        <f aca="false">AVERAGEIFS(EPISODES!$AF$2:$AF$26,EPISODES!$B$2:$B$26,A22,EPISODES!$C$2:$C$26,B22,EPISODES!$D$2:$D$26,C22)</f>
        <v>-0.143316884788672</v>
      </c>
      <c r="G22" s="7" t="n">
        <f aca="false">AVERAGEIFS(EPISODES!$AG$2:$AG$26,EPISODES!$B$2:$B$26,A22,EPISODES!$C$2:$C$26,B22,EPISODES!$D$2:$D$26,C22)</f>
        <v>-0.0566037735849057</v>
      </c>
    </row>
    <row r="23" customFormat="false" ht="15" hidden="false" customHeight="false" outlineLevel="0" collapsed="false">
      <c r="A23" s="0" t="s">
        <v>86</v>
      </c>
      <c r="B23" s="0" t="s">
        <v>46</v>
      </c>
      <c r="C23" s="0" t="s">
        <v>196</v>
      </c>
      <c r="D23" s="0" t="n">
        <f aca="false">COUNTIFS(EPISODES!$B$2:$B$26,A23,EPISODES!$C$2:$C$26,B23,EPISODES!$D$2:$D$26,C23)</f>
        <v>1</v>
      </c>
      <c r="E23" s="8" t="n">
        <f aca="false">AVERAGEIFS(EPISODES!$AH$2:$AH$26,EPISODES!$B$2:$B$26,A23,EPISODES!$C$2:$C$26,B23,EPISODES!$D$2:$D$26,C23)</f>
        <v>0</v>
      </c>
      <c r="F23" s="7" t="n">
        <f aca="false">AVERAGEIFS(EPISODES!$AF$2:$AF$26,EPISODES!$B$2:$B$26,A23,EPISODES!$C$2:$C$26,B23,EPISODES!$D$2:$D$26,C23)</f>
        <v>0.805555555555555</v>
      </c>
      <c r="G23" s="7" t="n">
        <f aca="false">AVERAGEIFS(EPISODES!$AG$2:$AG$26,EPISODES!$B$2:$B$26,A23,EPISODES!$C$2:$C$26,B23,EPISODES!$D$2:$D$26,C23)</f>
        <v>0</v>
      </c>
    </row>
    <row r="24" customFormat="false" ht="15" hidden="false" customHeight="false" outlineLevel="0" collapsed="false">
      <c r="A24" s="0" t="s">
        <v>95</v>
      </c>
      <c r="B24" s="0" t="s">
        <v>46</v>
      </c>
      <c r="C24" s="0" t="s">
        <v>159</v>
      </c>
      <c r="D24" s="0" t="n">
        <f aca="false">COUNTIFS(EPISODES!$B$2:$B$26,A24,EPISODES!$C$2:$C$26,B24,EPISODES!$D$2:$D$26,C24)</f>
        <v>1</v>
      </c>
      <c r="E24" s="8" t="n">
        <f aca="false">AVERAGEIFS(EPISODES!$AH$2:$AH$26,EPISODES!$B$2:$B$26,A24,EPISODES!$C$2:$C$26,B24,EPISODES!$D$2:$D$26,C24)</f>
        <v>1.39985163204748</v>
      </c>
      <c r="F24" s="7" t="n">
        <f aca="false">AVERAGEIFS(EPISODES!$AF$2:$AF$26,EPISODES!$B$2:$B$26,A24,EPISODES!$C$2:$C$26,B24,EPISODES!$D$2:$D$26,C24)</f>
        <v>-0.285744568097509</v>
      </c>
      <c r="G24" s="7" t="n">
        <f aca="false">AVERAGEIFS(EPISODES!$AG$2:$AG$26,EPISODES!$B$2:$B$26,A24,EPISODES!$C$2:$C$26,B24,EPISODES!$D$2:$D$26,C24)</f>
        <v>-0.4</v>
      </c>
    </row>
    <row r="25" customFormat="false" ht="15" hidden="false" customHeight="false" outlineLevel="0" collapsed="false">
      <c r="A25" s="0" t="s">
        <v>95</v>
      </c>
      <c r="B25" s="0" t="s">
        <v>296</v>
      </c>
      <c r="C25" s="0" t="s">
        <v>159</v>
      </c>
      <c r="D25" s="0" t="n">
        <f aca="false">COUNTIFS(EPISODES!$B$2:$B$26,A25,EPISODES!$C$2:$C$26,B25,EPISODES!$D$2:$D$26,C25)</f>
        <v>1</v>
      </c>
      <c r="E25" s="8" t="n">
        <f aca="false">AVERAGEIFS(EPISODES!$AH$2:$AH$26,EPISODES!$B$2:$B$26,A25,EPISODES!$C$2:$C$26,B25,EPISODES!$D$2:$D$26,C25)</f>
        <v>0.833535108958838</v>
      </c>
      <c r="F25" s="7" t="n">
        <f aca="false">AVERAGEIFS(EPISODES!$AF$2:$AF$26,EPISODES!$B$2:$B$26,A25,EPISODES!$C$2:$C$26,B25,EPISODES!$D$2:$D$26,C25)</f>
        <v>-0.308496732026144</v>
      </c>
      <c r="G25" s="7" t="n">
        <f aca="false">AVERAGEIFS(EPISODES!$AG$2:$AG$26,EPISODES!$B$2:$B$26,A25,EPISODES!$C$2:$C$26,B25,EPISODES!$D$2:$D$26,C25)</f>
        <v>-0.257142857142857</v>
      </c>
    </row>
    <row r="26" customFormat="false" ht="15" hidden="false" customHeight="false" outlineLevel="0" collapsed="false">
      <c r="A26" s="0" t="s">
        <v>95</v>
      </c>
      <c r="B26" s="0" t="s">
        <v>46</v>
      </c>
      <c r="C26" s="0" t="s">
        <v>196</v>
      </c>
      <c r="D26" s="0" t="n">
        <f aca="false">COUNTIFS(EPISODES!$B$2:$B$26,A26,EPISODES!$C$2:$C$26,B26,EPISODES!$D$2:$D$26,C26)</f>
        <v>1</v>
      </c>
      <c r="E26" s="8" t="n">
        <f aca="false">AVERAGEIFS(EPISODES!$AH$2:$AH$26,EPISODES!$B$2:$B$26,A26,EPISODES!$C$2:$C$26,B26,EPISODES!$D$2:$D$26,C26)</f>
        <v>1.75</v>
      </c>
      <c r="F26" s="7" t="n">
        <f aca="false">AVERAGEIFS(EPISODES!$AF$2:$AF$26,EPISODES!$B$2:$B$26,A26,EPISODES!$C$2:$C$26,B26,EPISODES!$D$2:$D$26,C26)</f>
        <v>0.571428571428571</v>
      </c>
      <c r="G26" s="7" t="n">
        <f aca="false">AVERAGEIFS(EPISODES!$AG$2:$AG$26,EPISODES!$B$2:$B$26,A26,EPISODES!$C$2:$C$26,B26,EPISODES!$D$2:$D$26,C26)</f>
        <v>1</v>
      </c>
    </row>
    <row r="27" customFormat="false" ht="15" hidden="false" customHeight="false" outlineLevel="0" collapsed="false">
      <c r="A27" s="0" t="s">
        <v>115</v>
      </c>
      <c r="B27" s="0" t="s">
        <v>46</v>
      </c>
      <c r="C27" s="0" t="s">
        <v>159</v>
      </c>
      <c r="D27" s="0" t="n">
        <f aca="false">COUNTIFS(EPISODES!$B$2:$B$26,A27,EPISODES!$C$2:$C$26,B27,EPISODES!$D$2:$D$26,C27)</f>
        <v>1</v>
      </c>
      <c r="E27" s="8" t="n">
        <f aca="false">AVERAGEIFS(EPISODES!$AH$2:$AH$26,EPISODES!$B$2:$B$26,A27,EPISODES!$C$2:$C$26,B27,EPISODES!$D$2:$D$26,C27)</f>
        <v>1.17452067247975</v>
      </c>
      <c r="F27" s="7" t="n">
        <f aca="false">AVERAGEIFS(EPISODES!$AF$2:$AF$26,EPISODES!$B$2:$B$26,A27,EPISODES!$C$2:$C$26,B27,EPISODES!$D$2:$D$26,C27)</f>
        <v>-0.618393363771302</v>
      </c>
      <c r="G27" s="7" t="n">
        <f aca="false">AVERAGEIFS(EPISODES!$AG$2:$AG$26,EPISODES!$B$2:$B$26,A27,EPISODES!$C$2:$C$26,B27,EPISODES!$D$2:$D$26,C27)</f>
        <v>-0.726315789473684</v>
      </c>
    </row>
    <row r="28" customFormat="false" ht="15" hidden="false" customHeight="false" outlineLevel="0" collapsed="false">
      <c r="A28" s="0" t="s">
        <v>115</v>
      </c>
      <c r="B28" s="0" t="s">
        <v>320</v>
      </c>
      <c r="C28" s="0" t="s">
        <v>159</v>
      </c>
      <c r="D28" s="0" t="n">
        <f aca="false">COUNTIFS(EPISODES!$B$2:$B$26,A28,EPISODES!$C$2:$C$26,B28,EPISODES!$D$2:$D$26,C28)</f>
        <v>1</v>
      </c>
      <c r="E28" s="8" t="n">
        <f aca="false">AVERAGEIFS(EPISODES!$AH$2:$AH$26,EPISODES!$B$2:$B$26,A28,EPISODES!$C$2:$C$26,B28,EPISODES!$D$2:$D$26,C28)</f>
        <v>1.04523913275966</v>
      </c>
      <c r="F28" s="7" t="n">
        <f aca="false">AVERAGEIFS(EPISODES!$AF$2:$AF$26,EPISODES!$B$2:$B$26,A28,EPISODES!$C$2:$C$26,B28,EPISODES!$D$2:$D$26,C28)</f>
        <v>-0.649202089075874</v>
      </c>
      <c r="G28" s="7" t="n">
        <f aca="false">AVERAGEIFS(EPISODES!$AG$2:$AG$26,EPISODES!$B$2:$B$26,A28,EPISODES!$C$2:$C$26,B28,EPISODES!$D$2:$D$26,C28)</f>
        <v>-0.678571428571429</v>
      </c>
    </row>
    <row r="29" customFormat="false" ht="15" hidden="false" customHeight="false" outlineLevel="0" collapsed="false">
      <c r="A29" s="0" t="s">
        <v>115</v>
      </c>
      <c r="B29" s="0" t="s">
        <v>46</v>
      </c>
      <c r="C29" s="0" t="s">
        <v>196</v>
      </c>
      <c r="D29" s="0" t="n">
        <f aca="false">COUNTIFS(EPISODES!$B$2:$B$26,A29,EPISODES!$C$2:$C$26,B29,EPISODES!$D$2:$D$26,C29)</f>
        <v>1</v>
      </c>
      <c r="E29" s="8" t="n">
        <f aca="false">AVERAGEIFS(EPISODES!$AH$2:$AH$26,EPISODES!$B$2:$B$26,A29,EPISODES!$C$2:$C$26,B29,EPISODES!$D$2:$D$26,C29)</f>
        <v>1.8927680798005</v>
      </c>
      <c r="F29" s="7" t="n">
        <f aca="false">AVERAGEIFS(EPISODES!$AF$2:$AF$26,EPISODES!$B$2:$B$26,A29,EPISODES!$C$2:$C$26,B29,EPISODES!$D$2:$D$26,C29)</f>
        <v>0.121212121212121</v>
      </c>
      <c r="G29" s="7" t="n">
        <f aca="false">AVERAGEIFS(EPISODES!$AG$2:$AG$26,EPISODES!$B$2:$B$26,A29,EPISODES!$C$2:$C$26,B29,EPISODES!$D$2:$D$26,C29)</f>
        <v>0.229426433915212</v>
      </c>
    </row>
    <row r="30" customFormat="false" ht="15" hidden="false" customHeight="false" outlineLevel="0" collapsed="false">
      <c r="A30" s="0" t="s">
        <v>336</v>
      </c>
      <c r="B30" s="0" t="s">
        <v>46</v>
      </c>
      <c r="C30" s="0" t="s">
        <v>159</v>
      </c>
      <c r="D30" s="0" t="n">
        <f aca="false">COUNTIFS(EPISODES!$B$2:$B$26,A30,EPISODES!$C$2:$C$26,B30,EPISODES!$D$2:$D$26,C30)</f>
        <v>1</v>
      </c>
      <c r="E30" s="8" t="n">
        <f aca="false">AVERAGEIFS(EPISODES!$AH$2:$AH$26,EPISODES!$B$2:$B$26,A30,EPISODES!$C$2:$C$26,B30,EPISODES!$D$2:$D$26,C30)</f>
        <v>0.741433021806854</v>
      </c>
      <c r="F30" s="7" t="n">
        <f aca="false">AVERAGEIFS(EPISODES!$AF$2:$AF$26,EPISODES!$B$2:$B$26,A30,EPISODES!$C$2:$C$26,B30,EPISODES!$D$2:$D$26,C30)</f>
        <v>-0.449579831932773</v>
      </c>
      <c r="G30" s="7" t="n">
        <f aca="false">AVERAGEIFS(EPISODES!$AG$2:$AG$26,EPISODES!$B$2:$B$26,A30,EPISODES!$C$2:$C$26,B30,EPISODES!$D$2:$D$26,C30)</f>
        <v>-0.333333333333333</v>
      </c>
    </row>
    <row r="31" customFormat="false" ht="15" hidden="false" customHeight="false" outlineLevel="0" collapsed="false">
      <c r="A31" s="0" t="s">
        <v>336</v>
      </c>
      <c r="B31" s="0" t="s">
        <v>346</v>
      </c>
      <c r="C31" s="0" t="s">
        <v>159</v>
      </c>
      <c r="D31" s="0" t="n">
        <f aca="false">COUNTIFS(EPISODES!$B$2:$B$26,A31,EPISODES!$C$2:$C$26,B31,EPISODES!$D$2:$D$26,C31)</f>
        <v>1</v>
      </c>
      <c r="E31" s="8" t="n">
        <f aca="false">AVERAGEIFS(EPISODES!$AH$2:$AH$26,EPISODES!$B$2:$B$26,A31,EPISODES!$C$2:$C$26,B31,EPISODES!$D$2:$D$26,C31)</f>
        <v>1.50201133833517</v>
      </c>
      <c r="F31" s="7" t="n">
        <f aca="false">AVERAGEIFS(EPISODES!$AF$2:$AF$26,EPISODES!$B$2:$B$26,A31,EPISODES!$C$2:$C$26,B31,EPISODES!$D$2:$D$26,C31)</f>
        <v>-0.385448067963826</v>
      </c>
      <c r="G31" s="7" t="n">
        <f aca="false">AVERAGEIFS(EPISODES!$AG$2:$AG$26,EPISODES!$B$2:$B$26,A31,EPISODES!$C$2:$C$26,B31,EPISODES!$D$2:$D$26,C31)</f>
        <v>-0.578947368421053</v>
      </c>
    </row>
    <row r="32" customFormat="false" ht="15" hidden="false" customHeight="false" outlineLevel="0" collapsed="false">
      <c r="A32" s="0" t="s">
        <v>356</v>
      </c>
      <c r="B32" s="0" t="s">
        <v>46</v>
      </c>
      <c r="C32" s="0" t="s">
        <v>196</v>
      </c>
      <c r="D32" s="0" t="n">
        <f aca="false">COUNTIFS(EPISODES!$B$2:$B$26,A32,EPISODES!$C$2:$C$26,B32,EPISODES!$D$2:$D$26,C32)</f>
        <v>1</v>
      </c>
      <c r="E32" s="8" t="n">
        <f aca="false">AVERAGEIFS(EPISODES!$AH$2:$AH$26,EPISODES!$B$2:$B$26,A32,EPISODES!$C$2:$C$26,B32,EPISODES!$D$2:$D$26,C32)</f>
        <v>0.417849898580122</v>
      </c>
      <c r="F32" s="7" t="n">
        <f aca="false">AVERAGEIFS(EPISODES!$AF$2:$AF$26,EPISODES!$B$2:$B$26,A32,EPISODES!$C$2:$C$26,B32,EPISODES!$D$2:$D$26,C32)</f>
        <v>0.281553398058253</v>
      </c>
      <c r="G32" s="7" t="n">
        <f aca="false">AVERAGEIFS(EPISODES!$AG$2:$AG$26,EPISODES!$B$2:$B$26,A32,EPISODES!$C$2:$C$26,B32,EPISODES!$D$2:$D$26,C32)</f>
        <v>0.117647058823529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6" min="5" style="0" width="7"/>
    <col collapsed="false" customWidth="true" hidden="false" outlineLevel="0" max="8" min="7" style="0" width="10"/>
    <col collapsed="false" customWidth="true" hidden="false" outlineLevel="0" max="9" min="9" style="0" width="50"/>
    <col collapsed="false" customWidth="true" hidden="false" outlineLevel="0" max="10" min="10" style="0" width="80"/>
    <col collapsed="false" customWidth="true" hidden="false" outlineLevel="0" max="11" min="11" style="0" width="12"/>
  </cols>
  <sheetData>
    <row r="1" customFormat="false" ht="28.35" hidden="false" customHeight="false" outlineLevel="0" collapsed="false">
      <c r="A1" s="3" t="s">
        <v>17</v>
      </c>
      <c r="B1" s="3" t="s">
        <v>388</v>
      </c>
      <c r="C1" s="3" t="s">
        <v>389</v>
      </c>
      <c r="D1" s="3" t="s">
        <v>390</v>
      </c>
      <c r="E1" s="3" t="s">
        <v>391</v>
      </c>
      <c r="F1" s="3" t="s">
        <v>392</v>
      </c>
      <c r="G1" s="3" t="s">
        <v>393</v>
      </c>
      <c r="H1" s="3" t="s">
        <v>394</v>
      </c>
      <c r="I1" s="3" t="s">
        <v>395</v>
      </c>
      <c r="J1" s="3" t="s">
        <v>396</v>
      </c>
      <c r="K1" s="3" t="s">
        <v>397</v>
      </c>
    </row>
    <row r="2" customFormat="false" ht="15" hidden="false" customHeight="false" outlineLevel="0" collapsed="false">
      <c r="A2" s="0" t="s">
        <v>45</v>
      </c>
      <c r="B2" s="4" t="n">
        <v>1200</v>
      </c>
      <c r="C2" s="5" t="s">
        <v>398</v>
      </c>
      <c r="D2" s="4" t="n">
        <v>1800</v>
      </c>
      <c r="E2" s="4" t="n">
        <v>0.2</v>
      </c>
      <c r="F2" s="4" t="n">
        <v>0.95</v>
      </c>
      <c r="G2" s="4" t="n">
        <v>0.3</v>
      </c>
      <c r="H2" s="4" t="n">
        <v>0</v>
      </c>
      <c r="I2" s="5" t="s">
        <v>399</v>
      </c>
      <c r="J2" s="5" t="s">
        <v>400</v>
      </c>
      <c r="K2" s="10" t="n">
        <f aca="false">B2*D2/1000</f>
        <v>2160</v>
      </c>
    </row>
    <row r="3" customFormat="false" ht="15" hidden="false" customHeight="false" outlineLevel="0" collapsed="false">
      <c r="A3" s="0" t="s">
        <v>234</v>
      </c>
      <c r="B3" s="4" t="n">
        <v>1300</v>
      </c>
      <c r="C3" s="5" t="s">
        <v>398</v>
      </c>
      <c r="D3" s="4" t="n">
        <v>60</v>
      </c>
      <c r="E3" s="4" t="n">
        <v>0</v>
      </c>
      <c r="F3" s="4" t="n">
        <v>1</v>
      </c>
      <c r="G3" s="4" t="n">
        <v>0.3</v>
      </c>
      <c r="H3" s="4" t="n">
        <v>0</v>
      </c>
      <c r="I3" s="5" t="s">
        <v>401</v>
      </c>
      <c r="J3" s="5" t="s">
        <v>402</v>
      </c>
      <c r="K3" s="10" t="n">
        <f aca="false">B3*D3/1000</f>
        <v>78</v>
      </c>
    </row>
    <row r="4" customFormat="false" ht="15" hidden="false" customHeight="false" outlineLevel="0" collapsed="false">
      <c r="A4" s="0" t="s">
        <v>86</v>
      </c>
      <c r="B4" s="4" t="n">
        <v>310</v>
      </c>
      <c r="C4" s="5" t="s">
        <v>398</v>
      </c>
      <c r="D4" s="4" t="n">
        <v>575</v>
      </c>
      <c r="E4" s="4" t="n">
        <v>0</v>
      </c>
      <c r="F4" s="4" t="n">
        <v>0.5</v>
      </c>
      <c r="G4" s="4" t="n">
        <v>0.5</v>
      </c>
      <c r="H4" s="4" t="n">
        <v>0</v>
      </c>
      <c r="I4" s="5" t="s">
        <v>403</v>
      </c>
      <c r="J4" s="5" t="s">
        <v>404</v>
      </c>
      <c r="K4" s="10" t="n">
        <f aca="false">B4*D4/1000</f>
        <v>178.25</v>
      </c>
    </row>
    <row r="5" customFormat="false" ht="15" hidden="false" customHeight="false" outlineLevel="0" collapsed="false">
      <c r="A5" s="0" t="s">
        <v>95</v>
      </c>
      <c r="B5" s="4" t="n">
        <v>400</v>
      </c>
      <c r="C5" s="5" t="s">
        <v>398</v>
      </c>
      <c r="D5" s="4" t="n">
        <v>1200</v>
      </c>
      <c r="E5" s="4" t="n">
        <v>1</v>
      </c>
      <c r="F5" s="4" t="n">
        <v>1</v>
      </c>
      <c r="G5" s="4" t="n">
        <v>0</v>
      </c>
      <c r="H5" s="4" t="n">
        <v>0</v>
      </c>
      <c r="I5" s="5" t="s">
        <v>405</v>
      </c>
      <c r="J5" s="5" t="s">
        <v>406</v>
      </c>
      <c r="K5" s="10" t="n">
        <f aca="false">B5*D5/1000</f>
        <v>480</v>
      </c>
    </row>
    <row r="6" customFormat="false" ht="15" hidden="false" customHeight="false" outlineLevel="0" collapsed="false">
      <c r="A6" s="0" t="s">
        <v>115</v>
      </c>
      <c r="B6" s="4" t="n">
        <v>493</v>
      </c>
      <c r="C6" s="5" t="s">
        <v>407</v>
      </c>
      <c r="D6" s="4" t="n">
        <v>2700</v>
      </c>
      <c r="E6" s="4" t="n">
        <v>1</v>
      </c>
      <c r="F6" s="4" t="n">
        <v>1</v>
      </c>
      <c r="G6" s="4" t="n">
        <v>0</v>
      </c>
      <c r="H6" s="4" t="n">
        <v>0</v>
      </c>
      <c r="I6" s="5" t="s">
        <v>408</v>
      </c>
      <c r="J6" s="5" t="s">
        <v>409</v>
      </c>
      <c r="K6" s="10" t="n">
        <f aca="false">B6*D6/1000</f>
        <v>1331.1</v>
      </c>
    </row>
    <row r="7" customFormat="false" ht="15" hidden="false" customHeight="false" outlineLevel="0" collapsed="false">
      <c r="A7" s="0" t="s">
        <v>336</v>
      </c>
      <c r="B7" s="4" t="n">
        <v>100</v>
      </c>
      <c r="C7" s="5" t="s">
        <v>410</v>
      </c>
      <c r="D7" s="4" t="n">
        <v>2500</v>
      </c>
      <c r="E7" s="4" t="n">
        <v>0.7</v>
      </c>
      <c r="F7" s="4" t="n">
        <v>0.9</v>
      </c>
      <c r="G7" s="4" t="n">
        <v>0</v>
      </c>
      <c r="H7" s="4" t="n">
        <v>0</v>
      </c>
      <c r="I7" s="5" t="s">
        <v>411</v>
      </c>
      <c r="J7" s="5" t="s">
        <v>412</v>
      </c>
      <c r="K7" s="10" t="n">
        <f aca="false">B7*D7/1000</f>
        <v>250</v>
      </c>
    </row>
    <row r="10" customFormat="false" ht="15" hidden="false" customHeight="false" outlineLevel="0" collapsed="false">
      <c r="A10" s="0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21" min="4" style="0" width="12"/>
  </cols>
  <sheetData>
    <row r="1" customFormat="false" ht="55.2" hidden="false" customHeight="false" outlineLevel="0" collapsed="false">
      <c r="A1" s="3" t="s">
        <v>17</v>
      </c>
      <c r="B1" s="3" t="s">
        <v>414</v>
      </c>
      <c r="C1" s="3" t="s">
        <v>415</v>
      </c>
      <c r="D1" s="3" t="s">
        <v>150</v>
      </c>
      <c r="E1" s="3" t="s">
        <v>416</v>
      </c>
      <c r="F1" s="3" t="s">
        <v>417</v>
      </c>
      <c r="G1" s="3" t="s">
        <v>397</v>
      </c>
      <c r="H1" s="3" t="s">
        <v>418</v>
      </c>
      <c r="I1" s="3" t="s">
        <v>419</v>
      </c>
      <c r="J1" s="3" t="s">
        <v>420</v>
      </c>
      <c r="K1" s="3" t="s">
        <v>421</v>
      </c>
      <c r="L1" s="3" t="s">
        <v>422</v>
      </c>
      <c r="M1" s="3" t="s">
        <v>423</v>
      </c>
      <c r="N1" s="3" t="s">
        <v>424</v>
      </c>
      <c r="O1" s="3" t="s">
        <v>425</v>
      </c>
      <c r="P1" s="3" t="s">
        <v>394</v>
      </c>
      <c r="Q1" s="3" t="s">
        <v>426</v>
      </c>
      <c r="R1" s="3" t="s">
        <v>427</v>
      </c>
      <c r="S1" s="3" t="s">
        <v>428</v>
      </c>
      <c r="T1" s="3" t="s">
        <v>429</v>
      </c>
      <c r="U1" s="3" t="s">
        <v>430</v>
      </c>
    </row>
    <row r="2" customFormat="false" ht="15" hidden="false" customHeight="false" outlineLevel="0" collapsed="false">
      <c r="A2" s="0" t="s">
        <v>45</v>
      </c>
      <c r="B2" s="0" t="s">
        <v>431</v>
      </c>
      <c r="C2" s="0" t="s">
        <v>432</v>
      </c>
      <c r="D2" s="11" t="n">
        <v>-0.1</v>
      </c>
      <c r="E2" s="11" t="n">
        <v>0</v>
      </c>
      <c r="F2" s="4" t="n">
        <v>0</v>
      </c>
      <c r="G2" s="10" t="n">
        <f aca="false">STRESS_PARAM!$K$2</f>
        <v>2160</v>
      </c>
      <c r="H2" s="7" t="n">
        <f aca="false">STRESS_PARAM!$E$2*D2</f>
        <v>-0.02</v>
      </c>
      <c r="I2" s="7" t="str">
        <f aca="false">IF(F2=1,STRESS_PARAM!$F$2*D2,"")</f>
        <v/>
      </c>
      <c r="J2" s="7" t="n">
        <f aca="false">(1+H2)*(1+E2)-1</f>
        <v>-0.02</v>
      </c>
      <c r="K2" s="10" t="n">
        <f aca="false">-J2*G2</f>
        <v>43.2</v>
      </c>
      <c r="L2" s="10" t="n">
        <f aca="false">IF(F2=1,-I2*G2,0)</f>
        <v>0</v>
      </c>
      <c r="M2" s="10" t="n">
        <f aca="false">K2+L2</f>
        <v>43.2</v>
      </c>
      <c r="N2" s="10" t="n">
        <f aca="false">(1-STRESS_PARAM!$E$2)*(-D2)*G2*(1+E2)+IF(F2=1,(1-STRESS_PARAM!$F$2)*(-D2)*G2,0)</f>
        <v>172.8</v>
      </c>
      <c r="O2" s="10" t="n">
        <f aca="false">N2*STRESS_PARAM!$G$2</f>
        <v>51.84</v>
      </c>
      <c r="P2" s="10" t="n">
        <f aca="false">STRESS_PARAM!$H$2</f>
        <v>0</v>
      </c>
      <c r="Q2" s="10" t="n">
        <f aca="false">MAX(0,O2-P2)</f>
        <v>51.84</v>
      </c>
      <c r="R2" s="10" t="n">
        <f aca="false">O2*1000/(STRESS_PARAM!$D$2*(1+E2)*(1+F2))</f>
        <v>28.8</v>
      </c>
      <c r="S2" s="7" t="n">
        <f aca="false">O2/G2</f>
        <v>0.024</v>
      </c>
      <c r="T2" s="10" t="n">
        <f aca="false">-H2*G2*(1+E2)</f>
        <v>43.2</v>
      </c>
      <c r="U2" s="10" t="n">
        <f aca="false">MAX(0,0.9-(1+J2))*G2</f>
        <v>0</v>
      </c>
    </row>
    <row r="3" customFormat="false" ht="15" hidden="false" customHeight="false" outlineLevel="0" collapsed="false">
      <c r="A3" s="0" t="s">
        <v>45</v>
      </c>
      <c r="B3" s="0" t="s">
        <v>433</v>
      </c>
      <c r="C3" s="0" t="s">
        <v>434</v>
      </c>
      <c r="D3" s="11" t="n">
        <v>-0.2</v>
      </c>
      <c r="E3" s="11" t="n">
        <v>0</v>
      </c>
      <c r="F3" s="4" t="n">
        <v>0</v>
      </c>
      <c r="G3" s="10" t="n">
        <f aca="false">STRESS_PARAM!$K$2</f>
        <v>2160</v>
      </c>
      <c r="H3" s="7" t="n">
        <f aca="false">STRESS_PARAM!$E$2*D3</f>
        <v>-0.04</v>
      </c>
      <c r="I3" s="7" t="str">
        <f aca="false">IF(F3=1,STRESS_PARAM!$F$2*D3,"")</f>
        <v/>
      </c>
      <c r="J3" s="7" t="n">
        <f aca="false">(1+H3)*(1+E3)-1</f>
        <v>-0.04</v>
      </c>
      <c r="K3" s="10" t="n">
        <f aca="false">-J3*G3</f>
        <v>86.4000000000001</v>
      </c>
      <c r="L3" s="10" t="n">
        <f aca="false">IF(F3=1,-I3*G3,0)</f>
        <v>0</v>
      </c>
      <c r="M3" s="10" t="n">
        <f aca="false">K3+L3</f>
        <v>86.4000000000001</v>
      </c>
      <c r="N3" s="10" t="n">
        <f aca="false">(1-STRESS_PARAM!$E$2)*(-D3)*G3*(1+E3)+IF(F3=1,(1-STRESS_PARAM!$F$2)*(-D3)*G3,0)</f>
        <v>345.6</v>
      </c>
      <c r="O3" s="10" t="n">
        <f aca="false">N3*STRESS_PARAM!$G$2</f>
        <v>103.68</v>
      </c>
      <c r="P3" s="10" t="n">
        <f aca="false">STRESS_PARAM!$H$2</f>
        <v>0</v>
      </c>
      <c r="Q3" s="10" t="n">
        <f aca="false">MAX(0,O3-P3)</f>
        <v>103.68</v>
      </c>
      <c r="R3" s="10" t="n">
        <f aca="false">O3*1000/(STRESS_PARAM!$D$2*(1+E3)*(1+F3))</f>
        <v>57.6</v>
      </c>
      <c r="S3" s="7" t="n">
        <f aca="false">O3/G3</f>
        <v>0.048</v>
      </c>
      <c r="T3" s="10" t="n">
        <f aca="false">-H3*G3*(1+E3)</f>
        <v>86.4</v>
      </c>
      <c r="U3" s="10" t="n">
        <f aca="false">MAX(0,0.9-(1+J3))*G3</f>
        <v>0</v>
      </c>
    </row>
    <row r="4" customFormat="false" ht="15" hidden="false" customHeight="false" outlineLevel="0" collapsed="false">
      <c r="A4" s="0" t="s">
        <v>45</v>
      </c>
      <c r="B4" s="0" t="s">
        <v>435</v>
      </c>
      <c r="C4" s="0" t="s">
        <v>436</v>
      </c>
      <c r="D4" s="11" t="n">
        <v>-0.3</v>
      </c>
      <c r="E4" s="11" t="n">
        <v>0</v>
      </c>
      <c r="F4" s="4" t="n">
        <v>0</v>
      </c>
      <c r="G4" s="10" t="n">
        <f aca="false">STRESS_PARAM!$K$2</f>
        <v>2160</v>
      </c>
      <c r="H4" s="7" t="n">
        <f aca="false">STRESS_PARAM!$E$2*D4</f>
        <v>-0.06</v>
      </c>
      <c r="I4" s="7" t="str">
        <f aca="false">IF(F4=1,STRESS_PARAM!$F$2*D4,"")</f>
        <v/>
      </c>
      <c r="J4" s="7" t="n">
        <f aca="false">(1+H4)*(1+E4)-1</f>
        <v>-0.0600000000000001</v>
      </c>
      <c r="K4" s="10" t="n">
        <f aca="false">-J4*G4</f>
        <v>129.6</v>
      </c>
      <c r="L4" s="10" t="n">
        <f aca="false">IF(F4=1,-I4*G4,0)</f>
        <v>0</v>
      </c>
      <c r="M4" s="10" t="n">
        <f aca="false">K4+L4</f>
        <v>129.6</v>
      </c>
      <c r="N4" s="10" t="n">
        <f aca="false">(1-STRESS_PARAM!$E$2)*(-D4)*G4*(1+E4)+IF(F4=1,(1-STRESS_PARAM!$F$2)*(-D4)*G4,0)</f>
        <v>518.4</v>
      </c>
      <c r="O4" s="10" t="n">
        <f aca="false">N4*STRESS_PARAM!$G$2</f>
        <v>155.52</v>
      </c>
      <c r="P4" s="10" t="n">
        <f aca="false">STRESS_PARAM!$H$2</f>
        <v>0</v>
      </c>
      <c r="Q4" s="10" t="n">
        <f aca="false">MAX(0,O4-P4)</f>
        <v>155.52</v>
      </c>
      <c r="R4" s="10" t="n">
        <f aca="false">O4*1000/(STRESS_PARAM!$D$2*(1+E4)*(1+F4))</f>
        <v>86.4</v>
      </c>
      <c r="S4" s="7" t="n">
        <f aca="false">O4/G4</f>
        <v>0.072</v>
      </c>
      <c r="T4" s="10" t="n">
        <f aca="false">-H4*G4*(1+E4)</f>
        <v>129.6</v>
      </c>
      <c r="U4" s="10" t="n">
        <f aca="false">MAX(0,0.9-(1+J4))*G4</f>
        <v>0</v>
      </c>
    </row>
    <row r="5" customFormat="false" ht="15" hidden="false" customHeight="false" outlineLevel="0" collapsed="false">
      <c r="A5" s="0" t="s">
        <v>45</v>
      </c>
      <c r="B5" s="0" t="s">
        <v>437</v>
      </c>
      <c r="C5" s="0" t="s">
        <v>438</v>
      </c>
      <c r="D5" s="11" t="n">
        <v>-0.3</v>
      </c>
      <c r="E5" s="11" t="n">
        <v>-0.1</v>
      </c>
      <c r="F5" s="4" t="n">
        <v>0</v>
      </c>
      <c r="G5" s="10" t="n">
        <f aca="false">STRESS_PARAM!$K$2</f>
        <v>2160</v>
      </c>
      <c r="H5" s="7" t="n">
        <f aca="false">STRESS_PARAM!$E$2*D5</f>
        <v>-0.06</v>
      </c>
      <c r="I5" s="7" t="str">
        <f aca="false">IF(F5=1,STRESS_PARAM!$F$2*D5,"")</f>
        <v/>
      </c>
      <c r="J5" s="7" t="n">
        <f aca="false">(1+H5)*(1+E5)-1</f>
        <v>-0.154</v>
      </c>
      <c r="K5" s="10" t="n">
        <f aca="false">-J5*G5</f>
        <v>332.64</v>
      </c>
      <c r="L5" s="10" t="n">
        <f aca="false">IF(F5=1,-I5*G5,0)</f>
        <v>0</v>
      </c>
      <c r="M5" s="10" t="n">
        <f aca="false">K5+L5</f>
        <v>332.64</v>
      </c>
      <c r="N5" s="10" t="n">
        <f aca="false">(1-STRESS_PARAM!$E$2)*(-D5)*G5*(1+E5)+IF(F5=1,(1-STRESS_PARAM!$F$2)*(-D5)*G5,0)</f>
        <v>466.56</v>
      </c>
      <c r="O5" s="10" t="n">
        <f aca="false">N5*STRESS_PARAM!$G$2</f>
        <v>139.968</v>
      </c>
      <c r="P5" s="10" t="n">
        <f aca="false">STRESS_PARAM!$H$2</f>
        <v>0</v>
      </c>
      <c r="Q5" s="10" t="n">
        <f aca="false">MAX(0,O5-P5)</f>
        <v>139.968</v>
      </c>
      <c r="R5" s="10" t="n">
        <f aca="false">O5*1000/(STRESS_PARAM!$D$2*(1+E5)*(1+F5))</f>
        <v>86.4</v>
      </c>
      <c r="S5" s="7" t="n">
        <f aca="false">O5/G5</f>
        <v>0.0648</v>
      </c>
      <c r="T5" s="10" t="n">
        <f aca="false">-H5*G5*(1+E5)</f>
        <v>116.64</v>
      </c>
      <c r="U5" s="10" t="n">
        <f aca="false">MAX(0,0.9-(1+J5))*G5</f>
        <v>116.64</v>
      </c>
    </row>
    <row r="6" customFormat="false" ht="15" hidden="false" customHeight="false" outlineLevel="0" collapsed="false">
      <c r="A6" s="0" t="s">
        <v>45</v>
      </c>
      <c r="B6" s="0" t="s">
        <v>439</v>
      </c>
      <c r="C6" s="0" t="s">
        <v>440</v>
      </c>
      <c r="D6" s="11" t="n">
        <v>-0.3</v>
      </c>
      <c r="E6" s="11" t="n">
        <v>0</v>
      </c>
      <c r="F6" s="4" t="n">
        <v>1</v>
      </c>
      <c r="G6" s="10" t="n">
        <f aca="false">STRESS_PARAM!$K$2</f>
        <v>2160</v>
      </c>
      <c r="H6" s="7" t="n">
        <f aca="false">STRESS_PARAM!$E$2*D6</f>
        <v>-0.06</v>
      </c>
      <c r="I6" s="7" t="n">
        <f aca="false">IF(F6=1,STRESS_PARAM!$F$2*D6,"")</f>
        <v>-0.285</v>
      </c>
      <c r="J6" s="7" t="n">
        <f aca="false">(1+H6)*(1+E6)-1</f>
        <v>-0.0600000000000001</v>
      </c>
      <c r="K6" s="10" t="n">
        <f aca="false">-J6*G6</f>
        <v>129.6</v>
      </c>
      <c r="L6" s="10" t="n">
        <f aca="false">IF(F6=1,-I6*G6,0)</f>
        <v>615.6</v>
      </c>
      <c r="M6" s="10" t="n">
        <f aca="false">K6+L6</f>
        <v>745.2</v>
      </c>
      <c r="N6" s="10" t="n">
        <f aca="false">(1-STRESS_PARAM!$E$2)*(-D6)*G6*(1+E6)+IF(F6=1,(1-STRESS_PARAM!$F$2)*(-D6)*G6,0)</f>
        <v>550.8</v>
      </c>
      <c r="O6" s="10" t="n">
        <f aca="false">N6*STRESS_PARAM!$G$2</f>
        <v>165.24</v>
      </c>
      <c r="P6" s="10" t="n">
        <f aca="false">STRESS_PARAM!$H$2</f>
        <v>0</v>
      </c>
      <c r="Q6" s="10" t="n">
        <f aca="false">MAX(0,O6-P6)</f>
        <v>165.24</v>
      </c>
      <c r="R6" s="10" t="n">
        <f aca="false">O6*1000/(STRESS_PARAM!$D$2*(1+E6)*(1+F6))</f>
        <v>45.9</v>
      </c>
      <c r="S6" s="7" t="n">
        <f aca="false">O6/G6</f>
        <v>0.0765</v>
      </c>
      <c r="T6" s="10" t="n">
        <f aca="false">-H6*G6*(1+E6)</f>
        <v>129.6</v>
      </c>
      <c r="U6" s="10" t="n">
        <f aca="false">MAX(0,0.9-(1+J6))*G6</f>
        <v>0</v>
      </c>
    </row>
    <row r="7" customFormat="false" ht="15" hidden="false" customHeight="false" outlineLevel="0" collapsed="false">
      <c r="A7" s="0" t="s">
        <v>234</v>
      </c>
      <c r="B7" s="0" t="s">
        <v>431</v>
      </c>
      <c r="C7" s="0" t="s">
        <v>432</v>
      </c>
      <c r="D7" s="11" t="n">
        <v>-0.1</v>
      </c>
      <c r="E7" s="11" t="n">
        <v>0</v>
      </c>
      <c r="F7" s="4" t="n">
        <v>0</v>
      </c>
      <c r="G7" s="10" t="n">
        <f aca="false">STRESS_PARAM!$K$3</f>
        <v>78</v>
      </c>
      <c r="H7" s="7" t="n">
        <f aca="false">STRESS_PARAM!$E$3*D7</f>
        <v>-0</v>
      </c>
      <c r="I7" s="7" t="str">
        <f aca="false">IF(F7=1,STRESS_PARAM!$F$3*D7,"")</f>
        <v/>
      </c>
      <c r="J7" s="7" t="n">
        <f aca="false">(1+H7)*(1+E7)-1</f>
        <v>0</v>
      </c>
      <c r="K7" s="10" t="n">
        <f aca="false">-J7*G7</f>
        <v>-0</v>
      </c>
      <c r="L7" s="10" t="n">
        <f aca="false">IF(F7=1,-I7*G7,0)</f>
        <v>0</v>
      </c>
      <c r="M7" s="10" t="n">
        <f aca="false">K7+L7</f>
        <v>0</v>
      </c>
      <c r="N7" s="10" t="n">
        <f aca="false">(1-STRESS_PARAM!$E$3)*(-D7)*G7*(1+E7)+IF(F7=1,(1-STRESS_PARAM!$F$3)*(-D7)*G7,0)</f>
        <v>7.8</v>
      </c>
      <c r="O7" s="10" t="n">
        <f aca="false">N7*STRESS_PARAM!$G$3</f>
        <v>2.34</v>
      </c>
      <c r="P7" s="10" t="n">
        <f aca="false">STRESS_PARAM!$H$3</f>
        <v>0</v>
      </c>
      <c r="Q7" s="10" t="n">
        <f aca="false">MAX(0,O7-P7)</f>
        <v>2.34</v>
      </c>
      <c r="R7" s="10" t="n">
        <f aca="false">O7*1000/(STRESS_PARAM!$D$3*(1+E7)*(1+F7))</f>
        <v>39</v>
      </c>
      <c r="S7" s="7" t="n">
        <f aca="false">O7/G7</f>
        <v>0.03</v>
      </c>
      <c r="T7" s="10" t="n">
        <f aca="false">-H7*G7*(1+E7)</f>
        <v>0</v>
      </c>
      <c r="U7" s="10" t="n">
        <f aca="false">MAX(0,0.9-(1+J7))*G7</f>
        <v>0</v>
      </c>
    </row>
    <row r="8" customFormat="false" ht="15" hidden="false" customHeight="false" outlineLevel="0" collapsed="false">
      <c r="A8" s="0" t="s">
        <v>234</v>
      </c>
      <c r="B8" s="0" t="s">
        <v>433</v>
      </c>
      <c r="C8" s="0" t="s">
        <v>434</v>
      </c>
      <c r="D8" s="11" t="n">
        <v>-0.2</v>
      </c>
      <c r="E8" s="11" t="n">
        <v>0</v>
      </c>
      <c r="F8" s="4" t="n">
        <v>0</v>
      </c>
      <c r="G8" s="10" t="n">
        <f aca="false">STRESS_PARAM!$K$3</f>
        <v>78</v>
      </c>
      <c r="H8" s="7" t="n">
        <f aca="false">STRESS_PARAM!$E$3*D8</f>
        <v>-0</v>
      </c>
      <c r="I8" s="7" t="str">
        <f aca="false">IF(F8=1,STRESS_PARAM!$F$3*D8,"")</f>
        <v/>
      </c>
      <c r="J8" s="7" t="n">
        <f aca="false">(1+H8)*(1+E8)-1</f>
        <v>0</v>
      </c>
      <c r="K8" s="10" t="n">
        <f aca="false">-J8*G8</f>
        <v>-0</v>
      </c>
      <c r="L8" s="10" t="n">
        <f aca="false">IF(F8=1,-I8*G8,0)</f>
        <v>0</v>
      </c>
      <c r="M8" s="10" t="n">
        <f aca="false">K8+L8</f>
        <v>0</v>
      </c>
      <c r="N8" s="10" t="n">
        <f aca="false">(1-STRESS_PARAM!$E$3)*(-D8)*G8*(1+E8)+IF(F8=1,(1-STRESS_PARAM!$F$3)*(-D8)*G8,0)</f>
        <v>15.6</v>
      </c>
      <c r="O8" s="10" t="n">
        <f aca="false">N8*STRESS_PARAM!$G$3</f>
        <v>4.68</v>
      </c>
      <c r="P8" s="10" t="n">
        <f aca="false">STRESS_PARAM!$H$3</f>
        <v>0</v>
      </c>
      <c r="Q8" s="10" t="n">
        <f aca="false">MAX(0,O8-P8)</f>
        <v>4.68</v>
      </c>
      <c r="R8" s="10" t="n">
        <f aca="false">O8*1000/(STRESS_PARAM!$D$3*(1+E8)*(1+F8))</f>
        <v>78</v>
      </c>
      <c r="S8" s="7" t="n">
        <f aca="false">O8/G8</f>
        <v>0.06</v>
      </c>
      <c r="T8" s="10" t="n">
        <f aca="false">-H8*G8*(1+E8)</f>
        <v>0</v>
      </c>
      <c r="U8" s="10" t="n">
        <f aca="false">MAX(0,0.9-(1+J8))*G8</f>
        <v>0</v>
      </c>
    </row>
    <row r="9" customFormat="false" ht="15" hidden="false" customHeight="false" outlineLevel="0" collapsed="false">
      <c r="A9" s="0" t="s">
        <v>234</v>
      </c>
      <c r="B9" s="0" t="s">
        <v>435</v>
      </c>
      <c r="C9" s="0" t="s">
        <v>436</v>
      </c>
      <c r="D9" s="11" t="n">
        <v>-0.3</v>
      </c>
      <c r="E9" s="11" t="n">
        <v>0</v>
      </c>
      <c r="F9" s="4" t="n">
        <v>0</v>
      </c>
      <c r="G9" s="10" t="n">
        <f aca="false">STRESS_PARAM!$K$3</f>
        <v>78</v>
      </c>
      <c r="H9" s="7" t="n">
        <f aca="false">STRESS_PARAM!$E$3*D9</f>
        <v>-0</v>
      </c>
      <c r="I9" s="7" t="str">
        <f aca="false">IF(F9=1,STRESS_PARAM!$F$3*D9,"")</f>
        <v/>
      </c>
      <c r="J9" s="7" t="n">
        <f aca="false">(1+H9)*(1+E9)-1</f>
        <v>0</v>
      </c>
      <c r="K9" s="10" t="n">
        <f aca="false">-J9*G9</f>
        <v>-0</v>
      </c>
      <c r="L9" s="10" t="n">
        <f aca="false">IF(F9=1,-I9*G9,0)</f>
        <v>0</v>
      </c>
      <c r="M9" s="10" t="n">
        <f aca="false">K9+L9</f>
        <v>0</v>
      </c>
      <c r="N9" s="10" t="n">
        <f aca="false">(1-STRESS_PARAM!$E$3)*(-D9)*G9*(1+E9)+IF(F9=1,(1-STRESS_PARAM!$F$3)*(-D9)*G9,0)</f>
        <v>23.4</v>
      </c>
      <c r="O9" s="10" t="n">
        <f aca="false">N9*STRESS_PARAM!$G$3</f>
        <v>7.02</v>
      </c>
      <c r="P9" s="10" t="n">
        <f aca="false">STRESS_PARAM!$H$3</f>
        <v>0</v>
      </c>
      <c r="Q9" s="10" t="n">
        <f aca="false">MAX(0,O9-P9)</f>
        <v>7.02</v>
      </c>
      <c r="R9" s="10" t="n">
        <f aca="false">O9*1000/(STRESS_PARAM!$D$3*(1+E9)*(1+F9))</f>
        <v>117</v>
      </c>
      <c r="S9" s="7" t="n">
        <f aca="false">O9/G9</f>
        <v>0.09</v>
      </c>
      <c r="T9" s="10" t="n">
        <f aca="false">-H9*G9*(1+E9)</f>
        <v>0</v>
      </c>
      <c r="U9" s="10" t="n">
        <f aca="false">MAX(0,0.9-(1+J9))*G9</f>
        <v>0</v>
      </c>
    </row>
    <row r="10" customFormat="false" ht="15" hidden="false" customHeight="false" outlineLevel="0" collapsed="false">
      <c r="A10" s="0" t="s">
        <v>234</v>
      </c>
      <c r="B10" s="0" t="s">
        <v>437</v>
      </c>
      <c r="C10" s="0" t="s">
        <v>438</v>
      </c>
      <c r="D10" s="11" t="n">
        <v>-0.3</v>
      </c>
      <c r="E10" s="11" t="n">
        <v>-0.1</v>
      </c>
      <c r="F10" s="4" t="n">
        <v>0</v>
      </c>
      <c r="G10" s="10" t="n">
        <f aca="false">STRESS_PARAM!$K$3</f>
        <v>78</v>
      </c>
      <c r="H10" s="7" t="n">
        <f aca="false">STRESS_PARAM!$E$3*D10</f>
        <v>-0</v>
      </c>
      <c r="I10" s="7" t="str">
        <f aca="false">IF(F10=1,STRESS_PARAM!$F$3*D10,"")</f>
        <v/>
      </c>
      <c r="J10" s="7" t="n">
        <f aca="false">(1+H10)*(1+E10)-1</f>
        <v>-0.1</v>
      </c>
      <c r="K10" s="10" t="n">
        <f aca="false">-J10*G10</f>
        <v>7.8</v>
      </c>
      <c r="L10" s="10" t="n">
        <f aca="false">IF(F10=1,-I10*G10,0)</f>
        <v>0</v>
      </c>
      <c r="M10" s="10" t="n">
        <f aca="false">K10+L10</f>
        <v>7.8</v>
      </c>
      <c r="N10" s="10" t="n">
        <f aca="false">(1-STRESS_PARAM!$E$3)*(-D10)*G10*(1+E10)+IF(F10=1,(1-STRESS_PARAM!$F$3)*(-D10)*G10,0)</f>
        <v>21.06</v>
      </c>
      <c r="O10" s="10" t="n">
        <f aca="false">N10*STRESS_PARAM!$G$3</f>
        <v>6.318</v>
      </c>
      <c r="P10" s="10" t="n">
        <f aca="false">STRESS_PARAM!$H$3</f>
        <v>0</v>
      </c>
      <c r="Q10" s="10" t="n">
        <f aca="false">MAX(0,O10-P10)</f>
        <v>6.318</v>
      </c>
      <c r="R10" s="10" t="n">
        <f aca="false">O10*1000/(STRESS_PARAM!$D$3*(1+E10)*(1+F10))</f>
        <v>117</v>
      </c>
      <c r="S10" s="7" t="n">
        <f aca="false">O10/G10</f>
        <v>0.081</v>
      </c>
      <c r="T10" s="10" t="n">
        <f aca="false">-H10*G10*(1+E10)</f>
        <v>0</v>
      </c>
      <c r="U10" s="10" t="n">
        <f aca="false">MAX(0,0.9-(1+J10))*G10</f>
        <v>0</v>
      </c>
    </row>
    <row r="11" customFormat="false" ht="15" hidden="false" customHeight="false" outlineLevel="0" collapsed="false">
      <c r="A11" s="0" t="s">
        <v>234</v>
      </c>
      <c r="B11" s="0" t="s">
        <v>439</v>
      </c>
      <c r="C11" s="0" t="s">
        <v>440</v>
      </c>
      <c r="D11" s="11" t="n">
        <v>-0.3</v>
      </c>
      <c r="E11" s="11" t="n">
        <v>0</v>
      </c>
      <c r="F11" s="4" t="n">
        <v>1</v>
      </c>
      <c r="G11" s="10" t="n">
        <f aca="false">STRESS_PARAM!$K$3</f>
        <v>78</v>
      </c>
      <c r="H11" s="7" t="n">
        <f aca="false">STRESS_PARAM!$E$3*D11</f>
        <v>-0</v>
      </c>
      <c r="I11" s="7" t="n">
        <f aca="false">IF(F11=1,STRESS_PARAM!$F$3*D11,"")</f>
        <v>-0.3</v>
      </c>
      <c r="J11" s="7" t="n">
        <f aca="false">(1+H11)*(1+E11)-1</f>
        <v>0</v>
      </c>
      <c r="K11" s="10" t="n">
        <f aca="false">-J11*G11</f>
        <v>-0</v>
      </c>
      <c r="L11" s="10" t="n">
        <f aca="false">IF(F11=1,-I11*G11,0)</f>
        <v>23.4</v>
      </c>
      <c r="M11" s="10" t="n">
        <f aca="false">K11+L11</f>
        <v>23.4</v>
      </c>
      <c r="N11" s="10" t="n">
        <f aca="false">(1-STRESS_PARAM!$E$3)*(-D11)*G11*(1+E11)+IF(F11=1,(1-STRESS_PARAM!$F$3)*(-D11)*G11,0)</f>
        <v>23.4</v>
      </c>
      <c r="O11" s="10" t="n">
        <f aca="false">N11*STRESS_PARAM!$G$3</f>
        <v>7.02</v>
      </c>
      <c r="P11" s="10" t="n">
        <f aca="false">STRESS_PARAM!$H$3</f>
        <v>0</v>
      </c>
      <c r="Q11" s="10" t="n">
        <f aca="false">MAX(0,O11-P11)</f>
        <v>7.02</v>
      </c>
      <c r="R11" s="10" t="n">
        <f aca="false">O11*1000/(STRESS_PARAM!$D$3*(1+E11)*(1+F11))</f>
        <v>58.5</v>
      </c>
      <c r="S11" s="7" t="n">
        <f aca="false">O11/G11</f>
        <v>0.09</v>
      </c>
      <c r="T11" s="10" t="n">
        <f aca="false">-H11*G11*(1+E11)</f>
        <v>0</v>
      </c>
      <c r="U11" s="10" t="n">
        <f aca="false">MAX(0,0.9-(1+J11))*G11</f>
        <v>0</v>
      </c>
    </row>
    <row r="12" customFormat="false" ht="15" hidden="false" customHeight="false" outlineLevel="0" collapsed="false">
      <c r="A12" s="0" t="s">
        <v>86</v>
      </c>
      <c r="B12" s="0" t="s">
        <v>431</v>
      </c>
      <c r="C12" s="0" t="s">
        <v>432</v>
      </c>
      <c r="D12" s="11" t="n">
        <v>-0.1</v>
      </c>
      <c r="E12" s="11" t="n">
        <v>0</v>
      </c>
      <c r="F12" s="4" t="n">
        <v>0</v>
      </c>
      <c r="G12" s="10" t="n">
        <f aca="false">STRESS_PARAM!$K$4</f>
        <v>178.25</v>
      </c>
      <c r="H12" s="7" t="n">
        <f aca="false">STRESS_PARAM!$E$4*D12</f>
        <v>-0</v>
      </c>
      <c r="I12" s="7" t="str">
        <f aca="false">IF(F12=1,STRESS_PARAM!$F$4*D12,"")</f>
        <v/>
      </c>
      <c r="J12" s="7" t="n">
        <f aca="false">(1+H12)*(1+E12)-1</f>
        <v>0</v>
      </c>
      <c r="K12" s="10" t="n">
        <f aca="false">-J12*G12</f>
        <v>-0</v>
      </c>
      <c r="L12" s="10" t="n">
        <f aca="false">IF(F12=1,-I12*G12,0)</f>
        <v>0</v>
      </c>
      <c r="M12" s="10" t="n">
        <f aca="false">K12+L12</f>
        <v>0</v>
      </c>
      <c r="N12" s="10" t="n">
        <f aca="false">(1-STRESS_PARAM!$E$4)*(-D12)*G12*(1+E12)+IF(F12=1,(1-STRESS_PARAM!$F$4)*(-D12)*G12,0)</f>
        <v>17.825</v>
      </c>
      <c r="O12" s="10" t="n">
        <f aca="false">N12*STRESS_PARAM!$G$4</f>
        <v>8.9125</v>
      </c>
      <c r="P12" s="10" t="n">
        <f aca="false">STRESS_PARAM!$H$4</f>
        <v>0</v>
      </c>
      <c r="Q12" s="10" t="n">
        <f aca="false">MAX(0,O12-P12)</f>
        <v>8.9125</v>
      </c>
      <c r="R12" s="10" t="n">
        <f aca="false">O12*1000/(STRESS_PARAM!$D$4*(1+E12)*(1+F12))</f>
        <v>15.5</v>
      </c>
      <c r="S12" s="7" t="n">
        <f aca="false">O12/G12</f>
        <v>0.05</v>
      </c>
      <c r="T12" s="10" t="n">
        <f aca="false">-H12*G12*(1+E12)</f>
        <v>0</v>
      </c>
      <c r="U12" s="10" t="n">
        <f aca="false">MAX(0,0.9-(1+J12))*G12</f>
        <v>0</v>
      </c>
    </row>
    <row r="13" customFormat="false" ht="15" hidden="false" customHeight="false" outlineLevel="0" collapsed="false">
      <c r="A13" s="0" t="s">
        <v>86</v>
      </c>
      <c r="B13" s="0" t="s">
        <v>433</v>
      </c>
      <c r="C13" s="0" t="s">
        <v>434</v>
      </c>
      <c r="D13" s="11" t="n">
        <v>-0.2</v>
      </c>
      <c r="E13" s="11" t="n">
        <v>0</v>
      </c>
      <c r="F13" s="4" t="n">
        <v>0</v>
      </c>
      <c r="G13" s="10" t="n">
        <f aca="false">STRESS_PARAM!$K$4</f>
        <v>178.25</v>
      </c>
      <c r="H13" s="7" t="n">
        <f aca="false">STRESS_PARAM!$E$4*D13</f>
        <v>-0</v>
      </c>
      <c r="I13" s="7" t="str">
        <f aca="false">IF(F13=1,STRESS_PARAM!$F$4*D13,"")</f>
        <v/>
      </c>
      <c r="J13" s="7" t="n">
        <f aca="false">(1+H13)*(1+E13)-1</f>
        <v>0</v>
      </c>
      <c r="K13" s="10" t="n">
        <f aca="false">-J13*G13</f>
        <v>-0</v>
      </c>
      <c r="L13" s="10" t="n">
        <f aca="false">IF(F13=1,-I13*G13,0)</f>
        <v>0</v>
      </c>
      <c r="M13" s="10" t="n">
        <f aca="false">K13+L13</f>
        <v>0</v>
      </c>
      <c r="N13" s="10" t="n">
        <f aca="false">(1-STRESS_PARAM!$E$4)*(-D13)*G13*(1+E13)+IF(F13=1,(1-STRESS_PARAM!$F$4)*(-D13)*G13,0)</f>
        <v>35.65</v>
      </c>
      <c r="O13" s="10" t="n">
        <f aca="false">N13*STRESS_PARAM!$G$4</f>
        <v>17.825</v>
      </c>
      <c r="P13" s="10" t="n">
        <f aca="false">STRESS_PARAM!$H$4</f>
        <v>0</v>
      </c>
      <c r="Q13" s="10" t="n">
        <f aca="false">MAX(0,O13-P13)</f>
        <v>17.825</v>
      </c>
      <c r="R13" s="10" t="n">
        <f aca="false">O13*1000/(STRESS_PARAM!$D$4*(1+E13)*(1+F13))</f>
        <v>31</v>
      </c>
      <c r="S13" s="7" t="n">
        <f aca="false">O13/G13</f>
        <v>0.1</v>
      </c>
      <c r="T13" s="10" t="n">
        <f aca="false">-H13*G13*(1+E13)</f>
        <v>0</v>
      </c>
      <c r="U13" s="10" t="n">
        <f aca="false">MAX(0,0.9-(1+J13))*G13</f>
        <v>0</v>
      </c>
    </row>
    <row r="14" customFormat="false" ht="15" hidden="false" customHeight="false" outlineLevel="0" collapsed="false">
      <c r="A14" s="0" t="s">
        <v>86</v>
      </c>
      <c r="B14" s="0" t="s">
        <v>435</v>
      </c>
      <c r="C14" s="0" t="s">
        <v>436</v>
      </c>
      <c r="D14" s="11" t="n">
        <v>-0.3</v>
      </c>
      <c r="E14" s="11" t="n">
        <v>0</v>
      </c>
      <c r="F14" s="4" t="n">
        <v>0</v>
      </c>
      <c r="G14" s="10" t="n">
        <f aca="false">STRESS_PARAM!$K$4</f>
        <v>178.25</v>
      </c>
      <c r="H14" s="7" t="n">
        <f aca="false">STRESS_PARAM!$E$4*D14</f>
        <v>-0</v>
      </c>
      <c r="I14" s="7" t="str">
        <f aca="false">IF(F14=1,STRESS_PARAM!$F$4*D14,"")</f>
        <v/>
      </c>
      <c r="J14" s="7" t="n">
        <f aca="false">(1+H14)*(1+E14)-1</f>
        <v>0</v>
      </c>
      <c r="K14" s="10" t="n">
        <f aca="false">-J14*G14</f>
        <v>-0</v>
      </c>
      <c r="L14" s="10" t="n">
        <f aca="false">IF(F14=1,-I14*G14,0)</f>
        <v>0</v>
      </c>
      <c r="M14" s="10" t="n">
        <f aca="false">K14+L14</f>
        <v>0</v>
      </c>
      <c r="N14" s="10" t="n">
        <f aca="false">(1-STRESS_PARAM!$E$4)*(-D14)*G14*(1+E14)+IF(F14=1,(1-STRESS_PARAM!$F$4)*(-D14)*G14,0)</f>
        <v>53.475</v>
      </c>
      <c r="O14" s="10" t="n">
        <f aca="false">N14*STRESS_PARAM!$G$4</f>
        <v>26.7375</v>
      </c>
      <c r="P14" s="10" t="n">
        <f aca="false">STRESS_PARAM!$H$4</f>
        <v>0</v>
      </c>
      <c r="Q14" s="10" t="n">
        <f aca="false">MAX(0,O14-P14)</f>
        <v>26.7375</v>
      </c>
      <c r="R14" s="10" t="n">
        <f aca="false">O14*1000/(STRESS_PARAM!$D$4*(1+E14)*(1+F14))</f>
        <v>46.5</v>
      </c>
      <c r="S14" s="7" t="n">
        <f aca="false">O14/G14</f>
        <v>0.15</v>
      </c>
      <c r="T14" s="10" t="n">
        <f aca="false">-H14*G14*(1+E14)</f>
        <v>0</v>
      </c>
      <c r="U14" s="10" t="n">
        <f aca="false">MAX(0,0.9-(1+J14))*G14</f>
        <v>0</v>
      </c>
    </row>
    <row r="15" customFormat="false" ht="15" hidden="false" customHeight="false" outlineLevel="0" collapsed="false">
      <c r="A15" s="0" t="s">
        <v>86</v>
      </c>
      <c r="B15" s="0" t="s">
        <v>437</v>
      </c>
      <c r="C15" s="0" t="s">
        <v>438</v>
      </c>
      <c r="D15" s="11" t="n">
        <v>-0.3</v>
      </c>
      <c r="E15" s="11" t="n">
        <v>-0.1</v>
      </c>
      <c r="F15" s="4" t="n">
        <v>0</v>
      </c>
      <c r="G15" s="10" t="n">
        <f aca="false">STRESS_PARAM!$K$4</f>
        <v>178.25</v>
      </c>
      <c r="H15" s="7" t="n">
        <f aca="false">STRESS_PARAM!$E$4*D15</f>
        <v>-0</v>
      </c>
      <c r="I15" s="7" t="str">
        <f aca="false">IF(F15=1,STRESS_PARAM!$F$4*D15,"")</f>
        <v/>
      </c>
      <c r="J15" s="7" t="n">
        <f aca="false">(1+H15)*(1+E15)-1</f>
        <v>-0.1</v>
      </c>
      <c r="K15" s="10" t="n">
        <f aca="false">-J15*G15</f>
        <v>17.825</v>
      </c>
      <c r="L15" s="10" t="n">
        <f aca="false">IF(F15=1,-I15*G15,0)</f>
        <v>0</v>
      </c>
      <c r="M15" s="10" t="n">
        <f aca="false">K15+L15</f>
        <v>17.825</v>
      </c>
      <c r="N15" s="10" t="n">
        <f aca="false">(1-STRESS_PARAM!$E$4)*(-D15)*G15*(1+E15)+IF(F15=1,(1-STRESS_PARAM!$F$4)*(-D15)*G15,0)</f>
        <v>48.1275</v>
      </c>
      <c r="O15" s="10" t="n">
        <f aca="false">N15*STRESS_PARAM!$G$4</f>
        <v>24.06375</v>
      </c>
      <c r="P15" s="10" t="n">
        <f aca="false">STRESS_PARAM!$H$4</f>
        <v>0</v>
      </c>
      <c r="Q15" s="10" t="n">
        <f aca="false">MAX(0,O15-P15)</f>
        <v>24.06375</v>
      </c>
      <c r="R15" s="10" t="n">
        <f aca="false">O15*1000/(STRESS_PARAM!$D$4*(1+E15)*(1+F15))</f>
        <v>46.5</v>
      </c>
      <c r="S15" s="7" t="n">
        <f aca="false">O15/G15</f>
        <v>0.135</v>
      </c>
      <c r="T15" s="10" t="n">
        <f aca="false">-H15*G15*(1+E15)</f>
        <v>0</v>
      </c>
      <c r="U15" s="10" t="n">
        <f aca="false">MAX(0,0.9-(1+J15))*G15</f>
        <v>0</v>
      </c>
    </row>
    <row r="16" customFormat="false" ht="15" hidden="false" customHeight="false" outlineLevel="0" collapsed="false">
      <c r="A16" s="0" t="s">
        <v>86</v>
      </c>
      <c r="B16" s="0" t="s">
        <v>439</v>
      </c>
      <c r="C16" s="0" t="s">
        <v>440</v>
      </c>
      <c r="D16" s="11" t="n">
        <v>-0.3</v>
      </c>
      <c r="E16" s="11" t="n">
        <v>0</v>
      </c>
      <c r="F16" s="4" t="n">
        <v>1</v>
      </c>
      <c r="G16" s="10" t="n">
        <f aca="false">STRESS_PARAM!$K$4</f>
        <v>178.25</v>
      </c>
      <c r="H16" s="7" t="n">
        <f aca="false">STRESS_PARAM!$E$4*D16</f>
        <v>-0</v>
      </c>
      <c r="I16" s="7" t="n">
        <f aca="false">IF(F16=1,STRESS_PARAM!$F$4*D16,"")</f>
        <v>-0.15</v>
      </c>
      <c r="J16" s="7" t="n">
        <f aca="false">(1+H16)*(1+E16)-1</f>
        <v>0</v>
      </c>
      <c r="K16" s="10" t="n">
        <f aca="false">-J16*G16</f>
        <v>-0</v>
      </c>
      <c r="L16" s="10" t="n">
        <f aca="false">IF(F16=1,-I16*G16,0)</f>
        <v>26.7375</v>
      </c>
      <c r="M16" s="10" t="n">
        <f aca="false">K16+L16</f>
        <v>26.7375</v>
      </c>
      <c r="N16" s="10" t="n">
        <f aca="false">(1-STRESS_PARAM!$E$4)*(-D16)*G16*(1+E16)+IF(F16=1,(1-STRESS_PARAM!$F$4)*(-D16)*G16,0)</f>
        <v>80.2125</v>
      </c>
      <c r="O16" s="10" t="n">
        <f aca="false">N16*STRESS_PARAM!$G$4</f>
        <v>40.10625</v>
      </c>
      <c r="P16" s="10" t="n">
        <f aca="false">STRESS_PARAM!$H$4</f>
        <v>0</v>
      </c>
      <c r="Q16" s="10" t="n">
        <f aca="false">MAX(0,O16-P16)</f>
        <v>40.10625</v>
      </c>
      <c r="R16" s="10" t="n">
        <f aca="false">O16*1000/(STRESS_PARAM!$D$4*(1+E16)*(1+F16))</f>
        <v>34.875</v>
      </c>
      <c r="S16" s="7" t="n">
        <f aca="false">O16/G16</f>
        <v>0.225</v>
      </c>
      <c r="T16" s="10" t="n">
        <f aca="false">-H16*G16*(1+E16)</f>
        <v>0</v>
      </c>
      <c r="U16" s="10" t="n">
        <f aca="false">MAX(0,0.9-(1+J16))*G16</f>
        <v>0</v>
      </c>
    </row>
    <row r="17" customFormat="false" ht="15" hidden="false" customHeight="false" outlineLevel="0" collapsed="false">
      <c r="A17" s="0" t="s">
        <v>95</v>
      </c>
      <c r="B17" s="0" t="s">
        <v>431</v>
      </c>
      <c r="C17" s="0" t="s">
        <v>432</v>
      </c>
      <c r="D17" s="11" t="n">
        <v>-0.1</v>
      </c>
      <c r="E17" s="11" t="n">
        <v>0</v>
      </c>
      <c r="F17" s="4" t="n">
        <v>0</v>
      </c>
      <c r="G17" s="10" t="n">
        <f aca="false">STRESS_PARAM!$K$5</f>
        <v>480</v>
      </c>
      <c r="H17" s="7" t="n">
        <f aca="false">STRESS_PARAM!$E$5*D17</f>
        <v>-0.1</v>
      </c>
      <c r="I17" s="7" t="str">
        <f aca="false">IF(F17=1,STRESS_PARAM!$F$5*D17,"")</f>
        <v/>
      </c>
      <c r="J17" s="7" t="n">
        <f aca="false">(1+H17)*(1+E17)-1</f>
        <v>-0.1</v>
      </c>
      <c r="K17" s="10" t="n">
        <f aca="false">-J17*G17</f>
        <v>48</v>
      </c>
      <c r="L17" s="10" t="n">
        <f aca="false">IF(F17=1,-I17*G17,0)</f>
        <v>0</v>
      </c>
      <c r="M17" s="10" t="n">
        <f aca="false">K17+L17</f>
        <v>48</v>
      </c>
      <c r="N17" s="10" t="n">
        <f aca="false">(1-STRESS_PARAM!$E$5)*(-D17)*G17*(1+E17)+IF(F17=1,(1-STRESS_PARAM!$F$5)*(-D17)*G17,0)</f>
        <v>0</v>
      </c>
      <c r="O17" s="10" t="n">
        <f aca="false">N17*STRESS_PARAM!$G$5</f>
        <v>0</v>
      </c>
      <c r="P17" s="10" t="n">
        <f aca="false">STRESS_PARAM!$H$5</f>
        <v>0</v>
      </c>
      <c r="Q17" s="10" t="n">
        <f aca="false">MAX(0,O17-P17)</f>
        <v>0</v>
      </c>
      <c r="R17" s="10" t="n">
        <f aca="false">O17*1000/(STRESS_PARAM!$D$5*(1+E17)*(1+F17))</f>
        <v>0</v>
      </c>
      <c r="S17" s="7" t="n">
        <f aca="false">O17/G17</f>
        <v>0</v>
      </c>
      <c r="T17" s="10" t="n">
        <f aca="false">-H17*G17*(1+E17)</f>
        <v>48</v>
      </c>
      <c r="U17" s="10" t="n">
        <f aca="false">MAX(0,0.9-(1+J17))*G17</f>
        <v>0</v>
      </c>
    </row>
    <row r="18" customFormat="false" ht="15" hidden="false" customHeight="false" outlineLevel="0" collapsed="false">
      <c r="A18" s="0" t="s">
        <v>95</v>
      </c>
      <c r="B18" s="0" t="s">
        <v>433</v>
      </c>
      <c r="C18" s="0" t="s">
        <v>434</v>
      </c>
      <c r="D18" s="11" t="n">
        <v>-0.2</v>
      </c>
      <c r="E18" s="11" t="n">
        <v>0</v>
      </c>
      <c r="F18" s="4" t="n">
        <v>0</v>
      </c>
      <c r="G18" s="10" t="n">
        <f aca="false">STRESS_PARAM!$K$5</f>
        <v>480</v>
      </c>
      <c r="H18" s="7" t="n">
        <f aca="false">STRESS_PARAM!$E$5*D18</f>
        <v>-0.2</v>
      </c>
      <c r="I18" s="7" t="str">
        <f aca="false">IF(F18=1,STRESS_PARAM!$F$5*D18,"")</f>
        <v/>
      </c>
      <c r="J18" s="7" t="n">
        <f aca="false">(1+H18)*(1+E18)-1</f>
        <v>-0.2</v>
      </c>
      <c r="K18" s="10" t="n">
        <f aca="false">-J18*G18</f>
        <v>96</v>
      </c>
      <c r="L18" s="10" t="n">
        <f aca="false">IF(F18=1,-I18*G18,0)</f>
        <v>0</v>
      </c>
      <c r="M18" s="10" t="n">
        <f aca="false">K18+L18</f>
        <v>96</v>
      </c>
      <c r="N18" s="10" t="n">
        <f aca="false">(1-STRESS_PARAM!$E$5)*(-D18)*G18*(1+E18)+IF(F18=1,(1-STRESS_PARAM!$F$5)*(-D18)*G18,0)</f>
        <v>0</v>
      </c>
      <c r="O18" s="10" t="n">
        <f aca="false">N18*STRESS_PARAM!$G$5</f>
        <v>0</v>
      </c>
      <c r="P18" s="10" t="n">
        <f aca="false">STRESS_PARAM!$H$5</f>
        <v>0</v>
      </c>
      <c r="Q18" s="10" t="n">
        <f aca="false">MAX(0,O18-P18)</f>
        <v>0</v>
      </c>
      <c r="R18" s="10" t="n">
        <f aca="false">O18*1000/(STRESS_PARAM!$D$5*(1+E18)*(1+F18))</f>
        <v>0</v>
      </c>
      <c r="S18" s="7" t="n">
        <f aca="false">O18/G18</f>
        <v>0</v>
      </c>
      <c r="T18" s="10" t="n">
        <f aca="false">-H18*G18*(1+E18)</f>
        <v>96</v>
      </c>
      <c r="U18" s="10" t="n">
        <f aca="false">MAX(0,0.9-(1+J18))*G18</f>
        <v>48</v>
      </c>
    </row>
    <row r="19" customFormat="false" ht="15" hidden="false" customHeight="false" outlineLevel="0" collapsed="false">
      <c r="A19" s="0" t="s">
        <v>95</v>
      </c>
      <c r="B19" s="0" t="s">
        <v>435</v>
      </c>
      <c r="C19" s="0" t="s">
        <v>436</v>
      </c>
      <c r="D19" s="11" t="n">
        <v>-0.3</v>
      </c>
      <c r="E19" s="11" t="n">
        <v>0</v>
      </c>
      <c r="F19" s="4" t="n">
        <v>0</v>
      </c>
      <c r="G19" s="10" t="n">
        <f aca="false">STRESS_PARAM!$K$5</f>
        <v>480</v>
      </c>
      <c r="H19" s="7" t="n">
        <f aca="false">STRESS_PARAM!$E$5*D19</f>
        <v>-0.3</v>
      </c>
      <c r="I19" s="7" t="str">
        <f aca="false">IF(F19=1,STRESS_PARAM!$F$5*D19,"")</f>
        <v/>
      </c>
      <c r="J19" s="7" t="n">
        <f aca="false">(1+H19)*(1+E19)-1</f>
        <v>-0.3</v>
      </c>
      <c r="K19" s="10" t="n">
        <f aca="false">-J19*G19</f>
        <v>144</v>
      </c>
      <c r="L19" s="10" t="n">
        <f aca="false">IF(F19=1,-I19*G19,0)</f>
        <v>0</v>
      </c>
      <c r="M19" s="10" t="n">
        <f aca="false">K19+L19</f>
        <v>144</v>
      </c>
      <c r="N19" s="10" t="n">
        <f aca="false">(1-STRESS_PARAM!$E$5)*(-D19)*G19*(1+E19)+IF(F19=1,(1-STRESS_PARAM!$F$5)*(-D19)*G19,0)</f>
        <v>0</v>
      </c>
      <c r="O19" s="10" t="n">
        <f aca="false">N19*STRESS_PARAM!$G$5</f>
        <v>0</v>
      </c>
      <c r="P19" s="10" t="n">
        <f aca="false">STRESS_PARAM!$H$5</f>
        <v>0</v>
      </c>
      <c r="Q19" s="10" t="n">
        <f aca="false">MAX(0,O19-P19)</f>
        <v>0</v>
      </c>
      <c r="R19" s="10" t="n">
        <f aca="false">O19*1000/(STRESS_PARAM!$D$5*(1+E19)*(1+F19))</f>
        <v>0</v>
      </c>
      <c r="S19" s="7" t="n">
        <f aca="false">O19/G19</f>
        <v>0</v>
      </c>
      <c r="T19" s="10" t="n">
        <f aca="false">-H19*G19*(1+E19)</f>
        <v>144</v>
      </c>
      <c r="U19" s="10" t="n">
        <f aca="false">MAX(0,0.9-(1+J19))*G19</f>
        <v>96</v>
      </c>
    </row>
    <row r="20" customFormat="false" ht="15" hidden="false" customHeight="false" outlineLevel="0" collapsed="false">
      <c r="A20" s="0" t="s">
        <v>95</v>
      </c>
      <c r="B20" s="0" t="s">
        <v>437</v>
      </c>
      <c r="C20" s="0" t="s">
        <v>438</v>
      </c>
      <c r="D20" s="11" t="n">
        <v>-0.3</v>
      </c>
      <c r="E20" s="11" t="n">
        <v>-0.1</v>
      </c>
      <c r="F20" s="4" t="n">
        <v>0</v>
      </c>
      <c r="G20" s="10" t="n">
        <f aca="false">STRESS_PARAM!$K$5</f>
        <v>480</v>
      </c>
      <c r="H20" s="7" t="n">
        <f aca="false">STRESS_PARAM!$E$5*D20</f>
        <v>-0.3</v>
      </c>
      <c r="I20" s="7" t="str">
        <f aca="false">IF(F20=1,STRESS_PARAM!$F$5*D20,"")</f>
        <v/>
      </c>
      <c r="J20" s="7" t="n">
        <f aca="false">(1+H20)*(1+E20)-1</f>
        <v>-0.37</v>
      </c>
      <c r="K20" s="10" t="n">
        <f aca="false">-J20*G20</f>
        <v>177.6</v>
      </c>
      <c r="L20" s="10" t="n">
        <f aca="false">IF(F20=1,-I20*G20,0)</f>
        <v>0</v>
      </c>
      <c r="M20" s="10" t="n">
        <f aca="false">K20+L20</f>
        <v>177.6</v>
      </c>
      <c r="N20" s="10" t="n">
        <f aca="false">(1-STRESS_PARAM!$E$5)*(-D20)*G20*(1+E20)+IF(F20=1,(1-STRESS_PARAM!$F$5)*(-D20)*G20,0)</f>
        <v>0</v>
      </c>
      <c r="O20" s="10" t="n">
        <f aca="false">N20*STRESS_PARAM!$G$5</f>
        <v>0</v>
      </c>
      <c r="P20" s="10" t="n">
        <f aca="false">STRESS_PARAM!$H$5</f>
        <v>0</v>
      </c>
      <c r="Q20" s="10" t="n">
        <f aca="false">MAX(0,O20-P20)</f>
        <v>0</v>
      </c>
      <c r="R20" s="10" t="n">
        <f aca="false">O20*1000/(STRESS_PARAM!$D$5*(1+E20)*(1+F20))</f>
        <v>0</v>
      </c>
      <c r="S20" s="7" t="n">
        <f aca="false">O20/G20</f>
        <v>0</v>
      </c>
      <c r="T20" s="10" t="n">
        <f aca="false">-H20*G20*(1+E20)</f>
        <v>129.6</v>
      </c>
      <c r="U20" s="10" t="n">
        <f aca="false">MAX(0,0.9-(1+J20))*G20</f>
        <v>129.6</v>
      </c>
    </row>
    <row r="21" customFormat="false" ht="15" hidden="false" customHeight="false" outlineLevel="0" collapsed="false">
      <c r="A21" s="0" t="s">
        <v>95</v>
      </c>
      <c r="B21" s="0" t="s">
        <v>439</v>
      </c>
      <c r="C21" s="0" t="s">
        <v>440</v>
      </c>
      <c r="D21" s="11" t="n">
        <v>-0.3</v>
      </c>
      <c r="E21" s="11" t="n">
        <v>0</v>
      </c>
      <c r="F21" s="4" t="n">
        <v>1</v>
      </c>
      <c r="G21" s="10" t="n">
        <f aca="false">STRESS_PARAM!$K$5</f>
        <v>480</v>
      </c>
      <c r="H21" s="7" t="n">
        <f aca="false">STRESS_PARAM!$E$5*D21</f>
        <v>-0.3</v>
      </c>
      <c r="I21" s="7" t="n">
        <f aca="false">IF(F21=1,STRESS_PARAM!$F$5*D21,"")</f>
        <v>-0.3</v>
      </c>
      <c r="J21" s="7" t="n">
        <f aca="false">(1+H21)*(1+E21)-1</f>
        <v>-0.3</v>
      </c>
      <c r="K21" s="10" t="n">
        <f aca="false">-J21*G21</f>
        <v>144</v>
      </c>
      <c r="L21" s="10" t="n">
        <f aca="false">IF(F21=1,-I21*G21,0)</f>
        <v>144</v>
      </c>
      <c r="M21" s="10" t="n">
        <f aca="false">K21+L21</f>
        <v>288</v>
      </c>
      <c r="N21" s="10" t="n">
        <f aca="false">(1-STRESS_PARAM!$E$5)*(-D21)*G21*(1+E21)+IF(F21=1,(1-STRESS_PARAM!$F$5)*(-D21)*G21,0)</f>
        <v>0</v>
      </c>
      <c r="O21" s="10" t="n">
        <f aca="false">N21*STRESS_PARAM!$G$5</f>
        <v>0</v>
      </c>
      <c r="P21" s="10" t="n">
        <f aca="false">STRESS_PARAM!$H$5</f>
        <v>0</v>
      </c>
      <c r="Q21" s="10" t="n">
        <f aca="false">MAX(0,O21-P21)</f>
        <v>0</v>
      </c>
      <c r="R21" s="10" t="n">
        <f aca="false">O21*1000/(STRESS_PARAM!$D$5*(1+E21)*(1+F21))</f>
        <v>0</v>
      </c>
      <c r="S21" s="7" t="n">
        <f aca="false">O21/G21</f>
        <v>0</v>
      </c>
      <c r="T21" s="10" t="n">
        <f aca="false">-H21*G21*(1+E21)</f>
        <v>144</v>
      </c>
      <c r="U21" s="10" t="n">
        <f aca="false">MAX(0,0.9-(1+J21))*G21</f>
        <v>96</v>
      </c>
    </row>
    <row r="22" customFormat="false" ht="15" hidden="false" customHeight="false" outlineLevel="0" collapsed="false">
      <c r="A22" s="0" t="s">
        <v>115</v>
      </c>
      <c r="B22" s="0" t="s">
        <v>431</v>
      </c>
      <c r="C22" s="0" t="s">
        <v>432</v>
      </c>
      <c r="D22" s="11" t="n">
        <v>-0.1</v>
      </c>
      <c r="E22" s="11" t="n">
        <v>0</v>
      </c>
      <c r="F22" s="4" t="n">
        <v>0</v>
      </c>
      <c r="G22" s="10" t="n">
        <f aca="false">STRESS_PARAM!$K$6</f>
        <v>1331.1</v>
      </c>
      <c r="H22" s="7" t="n">
        <f aca="false">STRESS_PARAM!$E$6*D22</f>
        <v>-0.1</v>
      </c>
      <c r="I22" s="7" t="str">
        <f aca="false">IF(F22=1,STRESS_PARAM!$F$6*D22,"")</f>
        <v/>
      </c>
      <c r="J22" s="7" t="n">
        <f aca="false">(1+H22)*(1+E22)-1</f>
        <v>-0.1</v>
      </c>
      <c r="K22" s="10" t="n">
        <f aca="false">-J22*G22</f>
        <v>133.11</v>
      </c>
      <c r="L22" s="10" t="n">
        <f aca="false">IF(F22=1,-I22*G22,0)</f>
        <v>0</v>
      </c>
      <c r="M22" s="10" t="n">
        <f aca="false">K22+L22</f>
        <v>133.11</v>
      </c>
      <c r="N22" s="10" t="n">
        <f aca="false">(1-STRESS_PARAM!$E$6)*(-D22)*G22*(1+E22)+IF(F22=1,(1-STRESS_PARAM!$F$6)*(-D22)*G22,0)</f>
        <v>0</v>
      </c>
      <c r="O22" s="10" t="n">
        <f aca="false">N22*STRESS_PARAM!$G$6</f>
        <v>0</v>
      </c>
      <c r="P22" s="10" t="n">
        <f aca="false">STRESS_PARAM!$H$6</f>
        <v>0</v>
      </c>
      <c r="Q22" s="10" t="n">
        <f aca="false">MAX(0,O22-P22)</f>
        <v>0</v>
      </c>
      <c r="R22" s="10" t="n">
        <f aca="false">O22*1000/(STRESS_PARAM!$D$6*(1+E22)*(1+F22))</f>
        <v>0</v>
      </c>
      <c r="S22" s="7" t="n">
        <f aca="false">O22/G22</f>
        <v>0</v>
      </c>
      <c r="T22" s="10" t="n">
        <f aca="false">-H22*G22*(1+E22)</f>
        <v>133.11</v>
      </c>
      <c r="U22" s="10" t="n">
        <f aca="false">MAX(0,0.9-(1+J22))*G22</f>
        <v>0</v>
      </c>
    </row>
    <row r="23" customFormat="false" ht="15" hidden="false" customHeight="false" outlineLevel="0" collapsed="false">
      <c r="A23" s="0" t="s">
        <v>115</v>
      </c>
      <c r="B23" s="0" t="s">
        <v>433</v>
      </c>
      <c r="C23" s="0" t="s">
        <v>434</v>
      </c>
      <c r="D23" s="11" t="n">
        <v>-0.2</v>
      </c>
      <c r="E23" s="11" t="n">
        <v>0</v>
      </c>
      <c r="F23" s="4" t="n">
        <v>0</v>
      </c>
      <c r="G23" s="10" t="n">
        <f aca="false">STRESS_PARAM!$K$6</f>
        <v>1331.1</v>
      </c>
      <c r="H23" s="7" t="n">
        <f aca="false">STRESS_PARAM!$E$6*D23</f>
        <v>-0.2</v>
      </c>
      <c r="I23" s="7" t="str">
        <f aca="false">IF(F23=1,STRESS_PARAM!$F$6*D23,"")</f>
        <v/>
      </c>
      <c r="J23" s="7" t="n">
        <f aca="false">(1+H23)*(1+E23)-1</f>
        <v>-0.2</v>
      </c>
      <c r="K23" s="10" t="n">
        <f aca="false">-J23*G23</f>
        <v>266.22</v>
      </c>
      <c r="L23" s="10" t="n">
        <f aca="false">IF(F23=1,-I23*G23,0)</f>
        <v>0</v>
      </c>
      <c r="M23" s="10" t="n">
        <f aca="false">K23+L23</f>
        <v>266.22</v>
      </c>
      <c r="N23" s="10" t="n">
        <f aca="false">(1-STRESS_PARAM!$E$6)*(-D23)*G23*(1+E23)+IF(F23=1,(1-STRESS_PARAM!$F$6)*(-D23)*G23,0)</f>
        <v>0</v>
      </c>
      <c r="O23" s="10" t="n">
        <f aca="false">N23*STRESS_PARAM!$G$6</f>
        <v>0</v>
      </c>
      <c r="P23" s="10" t="n">
        <f aca="false">STRESS_PARAM!$H$6</f>
        <v>0</v>
      </c>
      <c r="Q23" s="10" t="n">
        <f aca="false">MAX(0,O23-P23)</f>
        <v>0</v>
      </c>
      <c r="R23" s="10" t="n">
        <f aca="false">O23*1000/(STRESS_PARAM!$D$6*(1+E23)*(1+F23))</f>
        <v>0</v>
      </c>
      <c r="S23" s="7" t="n">
        <f aca="false">O23/G23</f>
        <v>0</v>
      </c>
      <c r="T23" s="10" t="n">
        <f aca="false">-H23*G23*(1+E23)</f>
        <v>266.22</v>
      </c>
      <c r="U23" s="10" t="n">
        <f aca="false">MAX(0,0.9-(1+J23))*G23</f>
        <v>133.11</v>
      </c>
    </row>
    <row r="24" customFormat="false" ht="15" hidden="false" customHeight="false" outlineLevel="0" collapsed="false">
      <c r="A24" s="0" t="s">
        <v>115</v>
      </c>
      <c r="B24" s="0" t="s">
        <v>435</v>
      </c>
      <c r="C24" s="0" t="s">
        <v>436</v>
      </c>
      <c r="D24" s="11" t="n">
        <v>-0.3</v>
      </c>
      <c r="E24" s="11" t="n">
        <v>0</v>
      </c>
      <c r="F24" s="4" t="n">
        <v>0</v>
      </c>
      <c r="G24" s="10" t="n">
        <f aca="false">STRESS_PARAM!$K$6</f>
        <v>1331.1</v>
      </c>
      <c r="H24" s="7" t="n">
        <f aca="false">STRESS_PARAM!$E$6*D24</f>
        <v>-0.3</v>
      </c>
      <c r="I24" s="7" t="str">
        <f aca="false">IF(F24=1,STRESS_PARAM!$F$6*D24,"")</f>
        <v/>
      </c>
      <c r="J24" s="7" t="n">
        <f aca="false">(1+H24)*(1+E24)-1</f>
        <v>-0.3</v>
      </c>
      <c r="K24" s="10" t="n">
        <f aca="false">-J24*G24</f>
        <v>399.33</v>
      </c>
      <c r="L24" s="10" t="n">
        <f aca="false">IF(F24=1,-I24*G24,0)</f>
        <v>0</v>
      </c>
      <c r="M24" s="10" t="n">
        <f aca="false">K24+L24</f>
        <v>399.33</v>
      </c>
      <c r="N24" s="10" t="n">
        <f aca="false">(1-STRESS_PARAM!$E$6)*(-D24)*G24*(1+E24)+IF(F24=1,(1-STRESS_PARAM!$F$6)*(-D24)*G24,0)</f>
        <v>0</v>
      </c>
      <c r="O24" s="10" t="n">
        <f aca="false">N24*STRESS_PARAM!$G$6</f>
        <v>0</v>
      </c>
      <c r="P24" s="10" t="n">
        <f aca="false">STRESS_PARAM!$H$6</f>
        <v>0</v>
      </c>
      <c r="Q24" s="10" t="n">
        <f aca="false">MAX(0,O24-P24)</f>
        <v>0</v>
      </c>
      <c r="R24" s="10" t="n">
        <f aca="false">O24*1000/(STRESS_PARAM!$D$6*(1+E24)*(1+F24))</f>
        <v>0</v>
      </c>
      <c r="S24" s="7" t="n">
        <f aca="false">O24/G24</f>
        <v>0</v>
      </c>
      <c r="T24" s="10" t="n">
        <f aca="false">-H24*G24*(1+E24)</f>
        <v>399.33</v>
      </c>
      <c r="U24" s="10" t="n">
        <f aca="false">MAX(0,0.9-(1+J24))*G24</f>
        <v>266.22</v>
      </c>
    </row>
    <row r="25" customFormat="false" ht="15" hidden="false" customHeight="false" outlineLevel="0" collapsed="false">
      <c r="A25" s="0" t="s">
        <v>115</v>
      </c>
      <c r="B25" s="0" t="s">
        <v>437</v>
      </c>
      <c r="C25" s="0" t="s">
        <v>438</v>
      </c>
      <c r="D25" s="11" t="n">
        <v>-0.3</v>
      </c>
      <c r="E25" s="11" t="n">
        <v>-0.1</v>
      </c>
      <c r="F25" s="4" t="n">
        <v>0</v>
      </c>
      <c r="G25" s="10" t="n">
        <f aca="false">STRESS_PARAM!$K$6</f>
        <v>1331.1</v>
      </c>
      <c r="H25" s="7" t="n">
        <f aca="false">STRESS_PARAM!$E$6*D25</f>
        <v>-0.3</v>
      </c>
      <c r="I25" s="7" t="str">
        <f aca="false">IF(F25=1,STRESS_PARAM!$F$6*D25,"")</f>
        <v/>
      </c>
      <c r="J25" s="7" t="n">
        <f aca="false">(1+H25)*(1+E25)-1</f>
        <v>-0.37</v>
      </c>
      <c r="K25" s="10" t="n">
        <f aca="false">-J25*G25</f>
        <v>492.507</v>
      </c>
      <c r="L25" s="10" t="n">
        <f aca="false">IF(F25=1,-I25*G25,0)</f>
        <v>0</v>
      </c>
      <c r="M25" s="10" t="n">
        <f aca="false">K25+L25</f>
        <v>492.507</v>
      </c>
      <c r="N25" s="10" t="n">
        <f aca="false">(1-STRESS_PARAM!$E$6)*(-D25)*G25*(1+E25)+IF(F25=1,(1-STRESS_PARAM!$F$6)*(-D25)*G25,0)</f>
        <v>0</v>
      </c>
      <c r="O25" s="10" t="n">
        <f aca="false">N25*STRESS_PARAM!$G$6</f>
        <v>0</v>
      </c>
      <c r="P25" s="10" t="n">
        <f aca="false">STRESS_PARAM!$H$6</f>
        <v>0</v>
      </c>
      <c r="Q25" s="10" t="n">
        <f aca="false">MAX(0,O25-P25)</f>
        <v>0</v>
      </c>
      <c r="R25" s="10" t="n">
        <f aca="false">O25*1000/(STRESS_PARAM!$D$6*(1+E25)*(1+F25))</f>
        <v>0</v>
      </c>
      <c r="S25" s="7" t="n">
        <f aca="false">O25/G25</f>
        <v>0</v>
      </c>
      <c r="T25" s="10" t="n">
        <f aca="false">-H25*G25*(1+E25)</f>
        <v>359.397</v>
      </c>
      <c r="U25" s="10" t="n">
        <f aca="false">MAX(0,0.9-(1+J25))*G25</f>
        <v>359.397</v>
      </c>
    </row>
    <row r="26" customFormat="false" ht="15" hidden="false" customHeight="false" outlineLevel="0" collapsed="false">
      <c r="A26" s="0" t="s">
        <v>115</v>
      </c>
      <c r="B26" s="0" t="s">
        <v>439</v>
      </c>
      <c r="C26" s="0" t="s">
        <v>440</v>
      </c>
      <c r="D26" s="11" t="n">
        <v>-0.3</v>
      </c>
      <c r="E26" s="11" t="n">
        <v>0</v>
      </c>
      <c r="F26" s="4" t="n">
        <v>1</v>
      </c>
      <c r="G26" s="10" t="n">
        <f aca="false">STRESS_PARAM!$K$6</f>
        <v>1331.1</v>
      </c>
      <c r="H26" s="7" t="n">
        <f aca="false">STRESS_PARAM!$E$6*D26</f>
        <v>-0.3</v>
      </c>
      <c r="I26" s="7" t="n">
        <f aca="false">IF(F26=1,STRESS_PARAM!$F$6*D26,"")</f>
        <v>-0.3</v>
      </c>
      <c r="J26" s="7" t="n">
        <f aca="false">(1+H26)*(1+E26)-1</f>
        <v>-0.3</v>
      </c>
      <c r="K26" s="10" t="n">
        <f aca="false">-J26*G26</f>
        <v>399.33</v>
      </c>
      <c r="L26" s="10" t="n">
        <f aca="false">IF(F26=1,-I26*G26,0)</f>
        <v>399.33</v>
      </c>
      <c r="M26" s="10" t="n">
        <f aca="false">K26+L26</f>
        <v>798.66</v>
      </c>
      <c r="N26" s="10" t="n">
        <f aca="false">(1-STRESS_PARAM!$E$6)*(-D26)*G26*(1+E26)+IF(F26=1,(1-STRESS_PARAM!$F$6)*(-D26)*G26,0)</f>
        <v>0</v>
      </c>
      <c r="O26" s="10" t="n">
        <f aca="false">N26*STRESS_PARAM!$G$6</f>
        <v>0</v>
      </c>
      <c r="P26" s="10" t="n">
        <f aca="false">STRESS_PARAM!$H$6</f>
        <v>0</v>
      </c>
      <c r="Q26" s="10" t="n">
        <f aca="false">MAX(0,O26-P26)</f>
        <v>0</v>
      </c>
      <c r="R26" s="10" t="n">
        <f aca="false">O26*1000/(STRESS_PARAM!$D$6*(1+E26)*(1+F26))</f>
        <v>0</v>
      </c>
      <c r="S26" s="7" t="n">
        <f aca="false">O26/G26</f>
        <v>0</v>
      </c>
      <c r="T26" s="10" t="n">
        <f aca="false">-H26*G26*(1+E26)</f>
        <v>399.33</v>
      </c>
      <c r="U26" s="10" t="n">
        <f aca="false">MAX(0,0.9-(1+J26))*G26</f>
        <v>266.22</v>
      </c>
    </row>
    <row r="27" customFormat="false" ht="15" hidden="false" customHeight="false" outlineLevel="0" collapsed="false">
      <c r="A27" s="0" t="s">
        <v>336</v>
      </c>
      <c r="B27" s="0" t="s">
        <v>431</v>
      </c>
      <c r="C27" s="0" t="s">
        <v>432</v>
      </c>
      <c r="D27" s="11" t="n">
        <v>-0.1</v>
      </c>
      <c r="E27" s="11" t="n">
        <v>0</v>
      </c>
      <c r="F27" s="4" t="n">
        <v>0</v>
      </c>
      <c r="G27" s="10" t="n">
        <f aca="false">STRESS_PARAM!$K$7</f>
        <v>250</v>
      </c>
      <c r="H27" s="7" t="n">
        <f aca="false">STRESS_PARAM!$E$7*D27</f>
        <v>-0.07</v>
      </c>
      <c r="I27" s="7" t="str">
        <f aca="false">IF(F27=1,STRESS_PARAM!$F$7*D27,"")</f>
        <v/>
      </c>
      <c r="J27" s="7" t="n">
        <f aca="false">(1+H27)*(1+E27)-1</f>
        <v>-0.07</v>
      </c>
      <c r="K27" s="10" t="n">
        <f aca="false">-J27*G27</f>
        <v>17.5</v>
      </c>
      <c r="L27" s="10" t="n">
        <f aca="false">IF(F27=1,-I27*G27,0)</f>
        <v>0</v>
      </c>
      <c r="M27" s="10" t="n">
        <f aca="false">K27+L27</f>
        <v>17.5</v>
      </c>
      <c r="N27" s="10" t="n">
        <f aca="false">(1-STRESS_PARAM!$E$7)*(-D27)*G27*(1+E27)+IF(F27=1,(1-STRESS_PARAM!$F$7)*(-D27)*G27,0)</f>
        <v>7.5</v>
      </c>
      <c r="O27" s="10" t="n">
        <f aca="false">N27*STRESS_PARAM!$G$7</f>
        <v>0</v>
      </c>
      <c r="P27" s="10" t="n">
        <f aca="false">STRESS_PARAM!$H$7</f>
        <v>0</v>
      </c>
      <c r="Q27" s="10" t="n">
        <f aca="false">MAX(0,O27-P27)</f>
        <v>0</v>
      </c>
      <c r="R27" s="10" t="n">
        <f aca="false">O27*1000/(STRESS_PARAM!$D$7*(1+E27)*(1+F27))</f>
        <v>0</v>
      </c>
      <c r="S27" s="7" t="n">
        <f aca="false">O27/G27</f>
        <v>0</v>
      </c>
      <c r="T27" s="10" t="n">
        <f aca="false">-H27*G27*(1+E27)</f>
        <v>17.5</v>
      </c>
      <c r="U27" s="10" t="n">
        <f aca="false">MAX(0,0.9-(1+J27))*G27</f>
        <v>0</v>
      </c>
    </row>
    <row r="28" customFormat="false" ht="15" hidden="false" customHeight="false" outlineLevel="0" collapsed="false">
      <c r="A28" s="0" t="s">
        <v>336</v>
      </c>
      <c r="B28" s="0" t="s">
        <v>433</v>
      </c>
      <c r="C28" s="0" t="s">
        <v>434</v>
      </c>
      <c r="D28" s="11" t="n">
        <v>-0.2</v>
      </c>
      <c r="E28" s="11" t="n">
        <v>0</v>
      </c>
      <c r="F28" s="4" t="n">
        <v>0</v>
      </c>
      <c r="G28" s="10" t="n">
        <f aca="false">STRESS_PARAM!$K$7</f>
        <v>250</v>
      </c>
      <c r="H28" s="7" t="n">
        <f aca="false">STRESS_PARAM!$E$7*D28</f>
        <v>-0.14</v>
      </c>
      <c r="I28" s="7" t="str">
        <f aca="false">IF(F28=1,STRESS_PARAM!$F$7*D28,"")</f>
        <v/>
      </c>
      <c r="J28" s="7" t="n">
        <f aca="false">(1+H28)*(1+E28)-1</f>
        <v>-0.14</v>
      </c>
      <c r="K28" s="10" t="n">
        <f aca="false">-J28*G28</f>
        <v>35</v>
      </c>
      <c r="L28" s="10" t="n">
        <f aca="false">IF(F28=1,-I28*G28,0)</f>
        <v>0</v>
      </c>
      <c r="M28" s="10" t="n">
        <f aca="false">K28+L28</f>
        <v>35</v>
      </c>
      <c r="N28" s="10" t="n">
        <f aca="false">(1-STRESS_PARAM!$E$7)*(-D28)*G28*(1+E28)+IF(F28=1,(1-STRESS_PARAM!$F$7)*(-D28)*G28,0)</f>
        <v>15</v>
      </c>
      <c r="O28" s="10" t="n">
        <f aca="false">N28*STRESS_PARAM!$G$7</f>
        <v>0</v>
      </c>
      <c r="P28" s="10" t="n">
        <f aca="false">STRESS_PARAM!$H$7</f>
        <v>0</v>
      </c>
      <c r="Q28" s="10" t="n">
        <f aca="false">MAX(0,O28-P28)</f>
        <v>0</v>
      </c>
      <c r="R28" s="10" t="n">
        <f aca="false">O28*1000/(STRESS_PARAM!$D$7*(1+E28)*(1+F28))</f>
        <v>0</v>
      </c>
      <c r="S28" s="7" t="n">
        <f aca="false">O28/G28</f>
        <v>0</v>
      </c>
      <c r="T28" s="10" t="n">
        <f aca="false">-H28*G28*(1+E28)</f>
        <v>35</v>
      </c>
      <c r="U28" s="10" t="n">
        <f aca="false">MAX(0,0.9-(1+J28))*G28</f>
        <v>10</v>
      </c>
    </row>
    <row r="29" customFormat="false" ht="15" hidden="false" customHeight="false" outlineLevel="0" collapsed="false">
      <c r="A29" s="0" t="s">
        <v>336</v>
      </c>
      <c r="B29" s="0" t="s">
        <v>435</v>
      </c>
      <c r="C29" s="0" t="s">
        <v>436</v>
      </c>
      <c r="D29" s="11" t="n">
        <v>-0.3</v>
      </c>
      <c r="E29" s="11" t="n">
        <v>0</v>
      </c>
      <c r="F29" s="4" t="n">
        <v>0</v>
      </c>
      <c r="G29" s="10" t="n">
        <f aca="false">STRESS_PARAM!$K$7</f>
        <v>250</v>
      </c>
      <c r="H29" s="7" t="n">
        <f aca="false">STRESS_PARAM!$E$7*D29</f>
        <v>-0.21</v>
      </c>
      <c r="I29" s="7" t="str">
        <f aca="false">IF(F29=1,STRESS_PARAM!$F$7*D29,"")</f>
        <v/>
      </c>
      <c r="J29" s="7" t="n">
        <f aca="false">(1+H29)*(1+E29)-1</f>
        <v>-0.21</v>
      </c>
      <c r="K29" s="10" t="n">
        <f aca="false">-J29*G29</f>
        <v>52.5</v>
      </c>
      <c r="L29" s="10" t="n">
        <f aca="false">IF(F29=1,-I29*G29,0)</f>
        <v>0</v>
      </c>
      <c r="M29" s="10" t="n">
        <f aca="false">K29+L29</f>
        <v>52.5</v>
      </c>
      <c r="N29" s="10" t="n">
        <f aca="false">(1-STRESS_PARAM!$E$7)*(-D29)*G29*(1+E29)+IF(F29=1,(1-STRESS_PARAM!$F$7)*(-D29)*G29,0)</f>
        <v>22.5</v>
      </c>
      <c r="O29" s="10" t="n">
        <f aca="false">N29*STRESS_PARAM!$G$7</f>
        <v>0</v>
      </c>
      <c r="P29" s="10" t="n">
        <f aca="false">STRESS_PARAM!$H$7</f>
        <v>0</v>
      </c>
      <c r="Q29" s="10" t="n">
        <f aca="false">MAX(0,O29-P29)</f>
        <v>0</v>
      </c>
      <c r="R29" s="10" t="n">
        <f aca="false">O29*1000/(STRESS_PARAM!$D$7*(1+E29)*(1+F29))</f>
        <v>0</v>
      </c>
      <c r="S29" s="7" t="n">
        <f aca="false">O29/G29</f>
        <v>0</v>
      </c>
      <c r="T29" s="10" t="n">
        <f aca="false">-H29*G29*(1+E29)</f>
        <v>52.5</v>
      </c>
      <c r="U29" s="10" t="n">
        <f aca="false">MAX(0,0.9-(1+J29))*G29</f>
        <v>27.5</v>
      </c>
    </row>
    <row r="30" customFormat="false" ht="15" hidden="false" customHeight="false" outlineLevel="0" collapsed="false">
      <c r="A30" s="0" t="s">
        <v>336</v>
      </c>
      <c r="B30" s="0" t="s">
        <v>437</v>
      </c>
      <c r="C30" s="0" t="s">
        <v>438</v>
      </c>
      <c r="D30" s="11" t="n">
        <v>-0.3</v>
      </c>
      <c r="E30" s="11" t="n">
        <v>-0.1</v>
      </c>
      <c r="F30" s="4" t="n">
        <v>0</v>
      </c>
      <c r="G30" s="10" t="n">
        <f aca="false">STRESS_PARAM!$K$7</f>
        <v>250</v>
      </c>
      <c r="H30" s="7" t="n">
        <f aca="false">STRESS_PARAM!$E$7*D30</f>
        <v>-0.21</v>
      </c>
      <c r="I30" s="7" t="str">
        <f aca="false">IF(F30=1,STRESS_PARAM!$F$7*D30,"")</f>
        <v/>
      </c>
      <c r="J30" s="7" t="n">
        <f aca="false">(1+H30)*(1+E30)-1</f>
        <v>-0.289</v>
      </c>
      <c r="K30" s="10" t="n">
        <f aca="false">-J30*G30</f>
        <v>72.25</v>
      </c>
      <c r="L30" s="10" t="n">
        <f aca="false">IF(F30=1,-I30*G30,0)</f>
        <v>0</v>
      </c>
      <c r="M30" s="10" t="n">
        <f aca="false">K30+L30</f>
        <v>72.25</v>
      </c>
      <c r="N30" s="10" t="n">
        <f aca="false">(1-STRESS_PARAM!$E$7)*(-D30)*G30*(1+E30)+IF(F30=1,(1-STRESS_PARAM!$F$7)*(-D30)*G30,0)</f>
        <v>20.25</v>
      </c>
      <c r="O30" s="10" t="n">
        <f aca="false">N30*STRESS_PARAM!$G$7</f>
        <v>0</v>
      </c>
      <c r="P30" s="10" t="n">
        <f aca="false">STRESS_PARAM!$H$7</f>
        <v>0</v>
      </c>
      <c r="Q30" s="10" t="n">
        <f aca="false">MAX(0,O30-P30)</f>
        <v>0</v>
      </c>
      <c r="R30" s="10" t="n">
        <f aca="false">O30*1000/(STRESS_PARAM!$D$7*(1+E30)*(1+F30))</f>
        <v>0</v>
      </c>
      <c r="S30" s="7" t="n">
        <f aca="false">O30/G30</f>
        <v>0</v>
      </c>
      <c r="T30" s="10" t="n">
        <f aca="false">-H30*G30*(1+E30)</f>
        <v>47.25</v>
      </c>
      <c r="U30" s="10" t="n">
        <f aca="false">MAX(0,0.9-(1+J30))*G30</f>
        <v>47.25</v>
      </c>
    </row>
    <row r="31" customFormat="false" ht="15" hidden="false" customHeight="false" outlineLevel="0" collapsed="false">
      <c r="A31" s="0" t="s">
        <v>336</v>
      </c>
      <c r="B31" s="0" t="s">
        <v>439</v>
      </c>
      <c r="C31" s="0" t="s">
        <v>440</v>
      </c>
      <c r="D31" s="11" t="n">
        <v>-0.3</v>
      </c>
      <c r="E31" s="11" t="n">
        <v>0</v>
      </c>
      <c r="F31" s="4" t="n">
        <v>1</v>
      </c>
      <c r="G31" s="10" t="n">
        <f aca="false">STRESS_PARAM!$K$7</f>
        <v>250</v>
      </c>
      <c r="H31" s="7" t="n">
        <f aca="false">STRESS_PARAM!$E$7*D31</f>
        <v>-0.21</v>
      </c>
      <c r="I31" s="7" t="n">
        <f aca="false">IF(F31=1,STRESS_PARAM!$F$7*D31,"")</f>
        <v>-0.27</v>
      </c>
      <c r="J31" s="7" t="n">
        <f aca="false">(1+H31)*(1+E31)-1</f>
        <v>-0.21</v>
      </c>
      <c r="K31" s="10" t="n">
        <f aca="false">-J31*G31</f>
        <v>52.5</v>
      </c>
      <c r="L31" s="10" t="n">
        <f aca="false">IF(F31=1,-I31*G31,0)</f>
        <v>67.5</v>
      </c>
      <c r="M31" s="10" t="n">
        <f aca="false">K31+L31</f>
        <v>120</v>
      </c>
      <c r="N31" s="10" t="n">
        <f aca="false">(1-STRESS_PARAM!$E$7)*(-D31)*G31*(1+E31)+IF(F31=1,(1-STRESS_PARAM!$F$7)*(-D31)*G31,0)</f>
        <v>30</v>
      </c>
      <c r="O31" s="10" t="n">
        <f aca="false">N31*STRESS_PARAM!$G$7</f>
        <v>0</v>
      </c>
      <c r="P31" s="10" t="n">
        <f aca="false">STRESS_PARAM!$H$7</f>
        <v>0</v>
      </c>
      <c r="Q31" s="10" t="n">
        <f aca="false">MAX(0,O31-P31)</f>
        <v>0</v>
      </c>
      <c r="R31" s="10" t="n">
        <f aca="false">O31*1000/(STRESS_PARAM!$D$7*(1+E31)*(1+F31))</f>
        <v>0</v>
      </c>
      <c r="S31" s="7" t="n">
        <f aca="false">O31/G31</f>
        <v>0</v>
      </c>
      <c r="T31" s="10" t="n">
        <f aca="false">-H31*G31*(1+E31)</f>
        <v>52.5</v>
      </c>
      <c r="U31" s="10" t="n">
        <f aca="false">MAX(0,0.9-(1+J31))*G31</f>
        <v>27.5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0" min="10" style="0" width="25"/>
  </cols>
  <sheetData>
    <row r="1" customFormat="false" ht="28.35" hidden="false" customHeight="false" outlineLevel="0" collapsed="false">
      <c r="A1" s="3" t="s">
        <v>18</v>
      </c>
      <c r="B1" s="3" t="s">
        <v>17</v>
      </c>
      <c r="C1" s="3" t="s">
        <v>441</v>
      </c>
      <c r="D1" s="3" t="s">
        <v>28</v>
      </c>
      <c r="E1" s="3" t="s">
        <v>442</v>
      </c>
      <c r="F1" s="3" t="s">
        <v>443</v>
      </c>
      <c r="G1" s="3" t="s">
        <v>444</v>
      </c>
      <c r="H1" s="3" t="s">
        <v>445</v>
      </c>
      <c r="I1" s="3" t="s">
        <v>29</v>
      </c>
      <c r="J1" s="3" t="s">
        <v>30</v>
      </c>
    </row>
    <row r="2" customFormat="false" ht="41.75" hidden="false" customHeight="false" outlineLevel="0" collapsed="false">
      <c r="A2" s="12" t="s">
        <v>76</v>
      </c>
      <c r="B2" s="12" t="s">
        <v>45</v>
      </c>
      <c r="C2" s="12" t="s">
        <v>446</v>
      </c>
      <c r="D2" s="12" t="s">
        <v>447</v>
      </c>
      <c r="E2" s="12" t="s">
        <v>448</v>
      </c>
      <c r="F2" s="12" t="s">
        <v>449</v>
      </c>
      <c r="G2" s="12" t="s">
        <v>450</v>
      </c>
      <c r="H2" s="12" t="s">
        <v>451</v>
      </c>
      <c r="I2" s="12" t="s">
        <v>452</v>
      </c>
      <c r="J2" s="12" t="s">
        <v>453</v>
      </c>
    </row>
    <row r="3" customFormat="false" ht="28.35" hidden="false" customHeight="false" outlineLevel="0" collapsed="false">
      <c r="A3" s="12" t="s">
        <v>187</v>
      </c>
      <c r="B3" s="12" t="s">
        <v>45</v>
      </c>
      <c r="C3" s="12" t="s">
        <v>454</v>
      </c>
      <c r="D3" s="12" t="s">
        <v>455</v>
      </c>
      <c r="E3" s="12" t="s">
        <v>456</v>
      </c>
      <c r="F3" s="12" t="s">
        <v>457</v>
      </c>
      <c r="G3" s="12" t="s">
        <v>458</v>
      </c>
      <c r="H3" s="12" t="s">
        <v>459</v>
      </c>
      <c r="I3" s="12" t="s">
        <v>182</v>
      </c>
      <c r="J3" s="12" t="s">
        <v>460</v>
      </c>
    </row>
    <row r="4" customFormat="false" ht="28.35" hidden="false" customHeight="false" outlineLevel="0" collapsed="false">
      <c r="A4" s="12" t="s">
        <v>276</v>
      </c>
      <c r="B4" s="12" t="s">
        <v>86</v>
      </c>
      <c r="C4" s="12" t="s">
        <v>182</v>
      </c>
      <c r="D4" s="12" t="s">
        <v>461</v>
      </c>
      <c r="E4" s="12" t="s">
        <v>462</v>
      </c>
      <c r="F4" s="12" t="s">
        <v>463</v>
      </c>
      <c r="G4" s="12" t="s">
        <v>464</v>
      </c>
      <c r="H4" s="12" t="s">
        <v>465</v>
      </c>
      <c r="I4" s="12" t="s">
        <v>182</v>
      </c>
      <c r="J4" s="12" t="s">
        <v>466</v>
      </c>
    </row>
    <row r="5" customFormat="false" ht="28.35" hidden="false" customHeight="false" outlineLevel="0" collapsed="false">
      <c r="A5" s="12" t="s">
        <v>268</v>
      </c>
      <c r="B5" s="12" t="s">
        <v>86</v>
      </c>
      <c r="C5" s="12" t="s">
        <v>229</v>
      </c>
      <c r="D5" s="12" t="s">
        <v>467</v>
      </c>
      <c r="E5" s="12" t="s">
        <v>468</v>
      </c>
      <c r="F5" s="12" t="s">
        <v>469</v>
      </c>
      <c r="G5" s="12" t="s">
        <v>470</v>
      </c>
      <c r="H5" s="12" t="s">
        <v>471</v>
      </c>
      <c r="I5" s="12" t="s">
        <v>166</v>
      </c>
      <c r="J5" s="12" t="s">
        <v>472</v>
      </c>
    </row>
    <row r="6" customFormat="false" ht="41.75" hidden="false" customHeight="false" outlineLevel="0" collapsed="false">
      <c r="A6" s="12" t="s">
        <v>473</v>
      </c>
      <c r="B6" s="12" t="s">
        <v>474</v>
      </c>
      <c r="C6" s="12" t="s">
        <v>475</v>
      </c>
      <c r="D6" s="12" t="s">
        <v>476</v>
      </c>
      <c r="E6" s="12" t="s">
        <v>477</v>
      </c>
      <c r="F6" s="12" t="s">
        <v>478</v>
      </c>
      <c r="G6" s="12" t="s">
        <v>479</v>
      </c>
      <c r="H6" s="12" t="s">
        <v>480</v>
      </c>
      <c r="I6" s="12" t="s">
        <v>166</v>
      </c>
      <c r="J6" s="12" t="s">
        <v>481</v>
      </c>
    </row>
    <row r="7" customFormat="false" ht="28.35" hidden="false" customHeight="false" outlineLevel="0" collapsed="false">
      <c r="A7" s="12" t="s">
        <v>482</v>
      </c>
      <c r="B7" s="12" t="s">
        <v>115</v>
      </c>
      <c r="C7" s="12" t="s">
        <v>166</v>
      </c>
      <c r="D7" s="12" t="s">
        <v>483</v>
      </c>
      <c r="E7" s="12" t="s">
        <v>484</v>
      </c>
      <c r="F7" s="12" t="s">
        <v>485</v>
      </c>
      <c r="G7" s="12" t="s">
        <v>486</v>
      </c>
      <c r="H7" s="12" t="s">
        <v>487</v>
      </c>
      <c r="I7" s="12" t="s">
        <v>182</v>
      </c>
      <c r="J7" s="12" t="s">
        <v>488</v>
      </c>
    </row>
    <row r="8" customFormat="false" ht="28.35" hidden="false" customHeight="false" outlineLevel="0" collapsed="false">
      <c r="A8" s="12" t="s">
        <v>320</v>
      </c>
      <c r="B8" s="12" t="s">
        <v>115</v>
      </c>
      <c r="C8" s="12" t="s">
        <v>489</v>
      </c>
      <c r="D8" s="12" t="s">
        <v>490</v>
      </c>
      <c r="E8" s="12" t="s">
        <v>491</v>
      </c>
      <c r="F8" s="12" t="s">
        <v>492</v>
      </c>
      <c r="G8" s="12" t="s">
        <v>493</v>
      </c>
      <c r="H8" s="12" t="s">
        <v>494</v>
      </c>
      <c r="I8" s="12" t="s">
        <v>238</v>
      </c>
      <c r="J8" s="12" t="s">
        <v>495</v>
      </c>
    </row>
    <row r="9" customFormat="false" ht="28.35" hidden="false" customHeight="false" outlineLevel="0" collapsed="false">
      <c r="A9" s="12" t="s">
        <v>346</v>
      </c>
      <c r="B9" s="12" t="s">
        <v>336</v>
      </c>
      <c r="C9" s="12" t="s">
        <v>496</v>
      </c>
      <c r="D9" s="12" t="s">
        <v>497</v>
      </c>
      <c r="E9" s="12" t="s">
        <v>498</v>
      </c>
      <c r="F9" s="12" t="s">
        <v>499</v>
      </c>
      <c r="G9" s="12" t="s">
        <v>500</v>
      </c>
      <c r="H9" s="12" t="s">
        <v>501</v>
      </c>
      <c r="I9" s="12" t="s">
        <v>182</v>
      </c>
      <c r="J9" s="12" t="s">
        <v>352</v>
      </c>
    </row>
    <row r="10" customFormat="false" ht="28.35" hidden="false" customHeight="false" outlineLevel="0" collapsed="false">
      <c r="A10" s="12" t="s">
        <v>296</v>
      </c>
      <c r="B10" s="12" t="s">
        <v>95</v>
      </c>
      <c r="C10" s="12" t="s">
        <v>502</v>
      </c>
      <c r="D10" s="12" t="s">
        <v>503</v>
      </c>
      <c r="E10" s="12" t="s">
        <v>504</v>
      </c>
      <c r="F10" s="12" t="s">
        <v>505</v>
      </c>
      <c r="G10" s="12" t="s">
        <v>506</v>
      </c>
      <c r="H10" s="12" t="s">
        <v>507</v>
      </c>
      <c r="I10" s="12" t="s">
        <v>182</v>
      </c>
      <c r="J10" s="12" t="s">
        <v>508</v>
      </c>
    </row>
    <row r="11" customFormat="false" ht="28.35" hidden="false" customHeight="false" outlineLevel="0" collapsed="false">
      <c r="A11" s="12" t="s">
        <v>252</v>
      </c>
      <c r="B11" s="12" t="s">
        <v>509</v>
      </c>
      <c r="C11" s="12" t="s">
        <v>454</v>
      </c>
      <c r="D11" s="12" t="s">
        <v>510</v>
      </c>
      <c r="E11" s="12" t="s">
        <v>511</v>
      </c>
      <c r="F11" s="12" t="s">
        <v>512</v>
      </c>
      <c r="G11" s="12" t="s">
        <v>513</v>
      </c>
      <c r="H11" s="12" t="s">
        <v>514</v>
      </c>
      <c r="I11" s="12" t="s">
        <v>166</v>
      </c>
      <c r="J11" s="12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3" t="s">
        <v>516</v>
      </c>
      <c r="B1" s="3" t="s">
        <v>517</v>
      </c>
      <c r="C1" s="3" t="s">
        <v>18</v>
      </c>
      <c r="D1" s="3" t="s">
        <v>442</v>
      </c>
      <c r="E1" s="3" t="s">
        <v>518</v>
      </c>
      <c r="F1" s="3" t="s">
        <v>519</v>
      </c>
    </row>
    <row r="2" customFormat="false" ht="28.35" hidden="false" customHeight="false" outlineLevel="0" collapsed="false">
      <c r="A2" s="12" t="s">
        <v>520</v>
      </c>
      <c r="B2" s="12" t="s">
        <v>521</v>
      </c>
      <c r="C2" s="12" t="s">
        <v>522</v>
      </c>
      <c r="D2" s="12" t="s">
        <v>523</v>
      </c>
      <c r="E2" s="12" t="s">
        <v>524</v>
      </c>
      <c r="F2" s="12" t="s">
        <v>525</v>
      </c>
    </row>
    <row r="3" customFormat="false" ht="28.35" hidden="false" customHeight="false" outlineLevel="0" collapsed="false">
      <c r="A3" s="12" t="s">
        <v>526</v>
      </c>
      <c r="B3" s="12" t="s">
        <v>527</v>
      </c>
      <c r="C3" s="12" t="s">
        <v>528</v>
      </c>
      <c r="D3" s="12" t="s">
        <v>529</v>
      </c>
      <c r="E3" s="12" t="s">
        <v>530</v>
      </c>
      <c r="F3" s="12" t="s">
        <v>531</v>
      </c>
    </row>
    <row r="4" customFormat="false" ht="28.35" hidden="false" customHeight="false" outlineLevel="0" collapsed="false">
      <c r="A4" s="12" t="s">
        <v>532</v>
      </c>
      <c r="B4" s="12" t="s">
        <v>533</v>
      </c>
      <c r="C4" s="12" t="s">
        <v>528</v>
      </c>
      <c r="D4" s="12" t="s">
        <v>534</v>
      </c>
      <c r="E4" s="12" t="s">
        <v>535</v>
      </c>
      <c r="F4" s="12" t="s">
        <v>536</v>
      </c>
    </row>
    <row r="5" customFormat="false" ht="28.35" hidden="false" customHeight="false" outlineLevel="0" collapsed="false">
      <c r="A5" s="12" t="s">
        <v>537</v>
      </c>
      <c r="B5" s="12" t="s">
        <v>538</v>
      </c>
      <c r="C5" s="12" t="s">
        <v>539</v>
      </c>
      <c r="D5" s="12" t="s">
        <v>540</v>
      </c>
      <c r="E5" s="12" t="s">
        <v>541</v>
      </c>
      <c r="F5" s="12" t="s">
        <v>542</v>
      </c>
    </row>
    <row r="6" customFormat="false" ht="28.35" hidden="false" customHeight="false" outlineLevel="0" collapsed="false">
      <c r="A6" s="12" t="s">
        <v>543</v>
      </c>
      <c r="B6" s="12" t="s">
        <v>544</v>
      </c>
      <c r="C6" s="12" t="s">
        <v>545</v>
      </c>
      <c r="D6" s="12" t="s">
        <v>546</v>
      </c>
      <c r="E6" s="12" t="s">
        <v>547</v>
      </c>
      <c r="F6" s="12" t="s">
        <v>548</v>
      </c>
    </row>
    <row r="7" customFormat="false" ht="28.35" hidden="false" customHeight="false" outlineLevel="0" collapsed="false">
      <c r="A7" s="12" t="s">
        <v>549</v>
      </c>
      <c r="B7" s="12" t="s">
        <v>550</v>
      </c>
      <c r="C7" s="12" t="s">
        <v>551</v>
      </c>
      <c r="D7" s="12" t="s">
        <v>552</v>
      </c>
      <c r="E7" s="12" t="s">
        <v>553</v>
      </c>
      <c r="F7" s="12" t="s">
        <v>554</v>
      </c>
    </row>
    <row r="8" customFormat="false" ht="28.35" hidden="false" customHeight="false" outlineLevel="0" collapsed="false">
      <c r="A8" s="12" t="s">
        <v>555</v>
      </c>
      <c r="B8" s="12" t="s">
        <v>556</v>
      </c>
      <c r="C8" s="12" t="s">
        <v>528</v>
      </c>
      <c r="D8" s="12" t="s">
        <v>557</v>
      </c>
      <c r="E8" s="12" t="s">
        <v>558</v>
      </c>
      <c r="F8" s="12" t="s">
        <v>559</v>
      </c>
    </row>
    <row r="9" customFormat="false" ht="15" hidden="false" customHeight="false" outlineLevel="0" collapsed="false">
      <c r="A9" s="12" t="s">
        <v>560</v>
      </c>
      <c r="B9" s="12" t="s">
        <v>561</v>
      </c>
      <c r="C9" s="12" t="s">
        <v>562</v>
      </c>
      <c r="D9" s="12" t="s">
        <v>563</v>
      </c>
      <c r="E9" s="12" t="s">
        <v>564</v>
      </c>
      <c r="F9" s="12" t="s">
        <v>565</v>
      </c>
    </row>
    <row r="10" customFormat="false" ht="28.35" hidden="false" customHeight="false" outlineLevel="0" collapsed="false">
      <c r="A10" s="12" t="s">
        <v>566</v>
      </c>
      <c r="B10" s="12" t="s">
        <v>567</v>
      </c>
      <c r="C10" s="12" t="s">
        <v>568</v>
      </c>
      <c r="D10" s="12" t="s">
        <v>569</v>
      </c>
      <c r="E10" s="12" t="s">
        <v>570</v>
      </c>
      <c r="F10" s="12" t="s">
        <v>571</v>
      </c>
    </row>
    <row r="11" customFormat="false" ht="28.35" hidden="false" customHeight="false" outlineLevel="0" collapsed="false">
      <c r="A11" s="12" t="s">
        <v>572</v>
      </c>
      <c r="B11" s="12" t="s">
        <v>573</v>
      </c>
      <c r="C11" s="12" t="s">
        <v>574</v>
      </c>
      <c r="D11" s="12" t="s">
        <v>575</v>
      </c>
      <c r="E11" s="12" t="s">
        <v>576</v>
      </c>
      <c r="F11" s="12" t="s">
        <v>577</v>
      </c>
    </row>
    <row r="12" customFormat="false" ht="28.35" hidden="false" customHeight="false" outlineLevel="0" collapsed="false">
      <c r="A12" s="12" t="s">
        <v>578</v>
      </c>
      <c r="B12" s="12" t="s">
        <v>579</v>
      </c>
      <c r="C12" s="12" t="s">
        <v>580</v>
      </c>
      <c r="D12" s="12" t="s">
        <v>581</v>
      </c>
      <c r="E12" s="12" t="s">
        <v>582</v>
      </c>
      <c r="F12" s="12" t="s">
        <v>583</v>
      </c>
    </row>
    <row r="13" customFormat="false" ht="15" hidden="false" customHeight="false" outlineLevel="0" collapsed="false">
      <c r="A13" s="12" t="s">
        <v>584</v>
      </c>
      <c r="B13" s="12" t="s">
        <v>585</v>
      </c>
      <c r="C13" s="12" t="s">
        <v>276</v>
      </c>
      <c r="D13" s="12" t="s">
        <v>586</v>
      </c>
      <c r="E13" s="12" t="s">
        <v>587</v>
      </c>
      <c r="F13" s="12" t="s">
        <v>588</v>
      </c>
    </row>
    <row r="14" customFormat="false" ht="28.35" hidden="false" customHeight="false" outlineLevel="0" collapsed="false">
      <c r="A14" s="12" t="s">
        <v>589</v>
      </c>
      <c r="B14" s="12" t="s">
        <v>590</v>
      </c>
      <c r="C14" s="12" t="s">
        <v>591</v>
      </c>
      <c r="D14" s="12" t="s">
        <v>592</v>
      </c>
      <c r="E14" s="12" t="s">
        <v>593</v>
      </c>
      <c r="F14" s="12" t="s">
        <v>594</v>
      </c>
    </row>
    <row r="15" customFormat="false" ht="28.35" hidden="false" customHeight="false" outlineLevel="0" collapsed="false">
      <c r="A15" s="12" t="s">
        <v>595</v>
      </c>
      <c r="B15" s="12" t="s">
        <v>596</v>
      </c>
      <c r="C15" s="12" t="s">
        <v>539</v>
      </c>
      <c r="D15" s="12" t="s">
        <v>597</v>
      </c>
      <c r="E15" s="12" t="s">
        <v>598</v>
      </c>
      <c r="F15" s="12" t="s">
        <v>599</v>
      </c>
    </row>
    <row r="16" customFormat="false" ht="28.35" hidden="false" customHeight="false" outlineLevel="0" collapsed="false">
      <c r="A16" s="12" t="s">
        <v>600</v>
      </c>
      <c r="B16" s="12" t="s">
        <v>601</v>
      </c>
      <c r="C16" s="12" t="s">
        <v>76</v>
      </c>
      <c r="D16" s="12" t="s">
        <v>602</v>
      </c>
      <c r="E16" s="12" t="s">
        <v>603</v>
      </c>
      <c r="F16" s="12" t="s">
        <v>604</v>
      </c>
    </row>
    <row r="17" customFormat="false" ht="28.35" hidden="false" customHeight="false" outlineLevel="0" collapsed="false">
      <c r="A17" s="12" t="s">
        <v>605</v>
      </c>
      <c r="B17" s="12" t="s">
        <v>606</v>
      </c>
      <c r="C17" s="12" t="s">
        <v>46</v>
      </c>
      <c r="D17" s="12" t="s">
        <v>607</v>
      </c>
      <c r="E17" s="12" t="s">
        <v>608</v>
      </c>
      <c r="F17" s="12" t="s">
        <v>609</v>
      </c>
    </row>
    <row r="18" customFormat="false" ht="28.35" hidden="false" customHeight="false" outlineLevel="0" collapsed="false">
      <c r="A18" s="12" t="s">
        <v>610</v>
      </c>
      <c r="B18" s="12" t="s">
        <v>611</v>
      </c>
      <c r="C18" s="12" t="s">
        <v>612</v>
      </c>
      <c r="D18" s="12" t="s">
        <v>613</v>
      </c>
      <c r="E18" s="12" t="s">
        <v>614</v>
      </c>
      <c r="F18" s="12" t="s">
        <v>615</v>
      </c>
    </row>
    <row r="19" customFormat="false" ht="28.35" hidden="false" customHeight="false" outlineLevel="0" collapsed="false">
      <c r="A19" s="12" t="s">
        <v>616</v>
      </c>
      <c r="B19" s="12" t="s">
        <v>617</v>
      </c>
      <c r="C19" s="12" t="s">
        <v>618</v>
      </c>
      <c r="D19" s="12" t="s">
        <v>619</v>
      </c>
      <c r="E19" s="12" t="s">
        <v>620</v>
      </c>
      <c r="F19" s="12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17</v>
      </c>
      <c r="B1" s="3" t="s">
        <v>622</v>
      </c>
      <c r="C1" s="3" t="s">
        <v>152</v>
      </c>
      <c r="D1" s="3" t="s">
        <v>145</v>
      </c>
      <c r="E1" s="3" t="s">
        <v>623</v>
      </c>
    </row>
    <row r="2" customFormat="false" ht="28.35" hidden="false" customHeight="false" outlineLevel="0" collapsed="false">
      <c r="A2" s="12" t="s">
        <v>624</v>
      </c>
      <c r="B2" s="12" t="s">
        <v>625</v>
      </c>
      <c r="C2" s="12" t="s">
        <v>626</v>
      </c>
      <c r="D2" s="12" t="s">
        <v>627</v>
      </c>
      <c r="E2" s="12" t="s">
        <v>628</v>
      </c>
    </row>
    <row r="3" customFormat="false" ht="28.35" hidden="false" customHeight="false" outlineLevel="0" collapsed="false">
      <c r="A3" s="12" t="s">
        <v>629</v>
      </c>
      <c r="B3" s="12" t="s">
        <v>630</v>
      </c>
      <c r="C3" s="12" t="s">
        <v>631</v>
      </c>
      <c r="D3" s="12" t="s">
        <v>632</v>
      </c>
      <c r="E3" s="12" t="s">
        <v>633</v>
      </c>
    </row>
    <row r="4" customFormat="false" ht="28.35" hidden="false" customHeight="false" outlineLevel="0" collapsed="false">
      <c r="A4" s="12" t="s">
        <v>634</v>
      </c>
      <c r="B4" s="12" t="s">
        <v>635</v>
      </c>
      <c r="C4" s="12" t="s">
        <v>636</v>
      </c>
      <c r="D4" s="12" t="s">
        <v>637</v>
      </c>
      <c r="E4" s="12" t="s">
        <v>638</v>
      </c>
    </row>
    <row r="5" customFormat="false" ht="15" hidden="false" customHeight="false" outlineLevel="0" collapsed="false">
      <c r="A5" s="12" t="s">
        <v>639</v>
      </c>
      <c r="B5" s="12" t="s">
        <v>640</v>
      </c>
      <c r="C5" s="12" t="s">
        <v>641</v>
      </c>
      <c r="D5" s="12" t="s">
        <v>642</v>
      </c>
      <c r="E5" s="12" t="s">
        <v>643</v>
      </c>
    </row>
    <row r="6" customFormat="false" ht="15" hidden="false" customHeight="false" outlineLevel="0" collapsed="false">
      <c r="A6" s="12" t="s">
        <v>644</v>
      </c>
      <c r="B6" s="12" t="s">
        <v>645</v>
      </c>
      <c r="C6" s="12" t="s">
        <v>646</v>
      </c>
      <c r="D6" s="12" t="s">
        <v>558</v>
      </c>
      <c r="E6" s="12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2026-10-01T17:25:47Z</dcterms:created>
  <dc:creator>openpyxl</dc:creator>
  <dc:description/>
  <dc:language>en-US</dc:language>
  <cp:lastModifiedBy/>
  <dcterms:modified xsi:type="dcterms:W3CDTF">2026-10-01T17:25:47Z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