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14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comments6.xml" ContentType="application/vnd.openxmlformats-officedocument.spreadsheetml.comments+xml"/>
  <Override PartName="/xl/comments12.xml" ContentType="application/vnd.openxmlformats-officedocument.spreadsheetml.comments+xml"/>
  <Override PartName="/xl/comments1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isez-moi" sheetId="1" state="visible" r:id="rId3"/>
    <sheet name="Matrice" sheetId="2" state="visible" r:id="rId4"/>
    <sheet name="Indicateurs" sheetId="3" state="visible" r:id="rId5"/>
    <sheet name="Observations" sheetId="4" state="visible" r:id="rId6"/>
    <sheet name="Cacao_transmission" sheetId="5" state="visible" r:id="rId7"/>
    <sheet name="Series_CI" sheetId="6" state="visible" r:id="rId8"/>
    <sheet name="Decomposition" sheetId="7" state="visible" r:id="rId9"/>
    <sheet name="Positionnement" sheetId="8" state="visible" r:id="rId10"/>
    <sheet name="Volumes_Rendements" sheetId="9" state="visible" r:id="rId11"/>
    <sheet name="Audit_QC" sheetId="10" state="visible" r:id="rId12"/>
    <sheet name="Sources" sheetId="11" state="visible" r:id="rId13"/>
    <sheet name="Cours_mensuels" sheetId="12" state="visible" r:id="rId14"/>
    <sheet name="Cours_periodes" sheetId="13" state="visible" r:id="rId15"/>
    <sheet name="Change_mensuel" sheetId="14" state="visible" r:id="rId16"/>
    <sheet name="Change_periodes" sheetId="15" state="visible" r:id="rId17"/>
    <sheet name="Parametres" sheetId="16" state="visible" r:id="rId18"/>
  </sheets>
  <definedNames>
    <definedName function="false" hidden="true" localSheetId="3" name="_xlnm._FilterDatabase" vbProcedure="false">Observations!$A$1:$AG$178</definedName>
    <definedName function="false" hidden="true" localSheetId="10" name="_xlnm._FilterDatabase" vbProcedure="false">Sources!$A$1:$G$128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5" authorId="0">
      <text>
        <r>
          <rPr>
            <sz val="10"/>
            <rFont val="Arial"/>
            <family val="2"/>
          </rPr>
          <t xml:space="preserve">IPC 2026 non disponible : niveau 2025 conservé (aucune extrapolation)</t>
        </r>
      </text>
    </comment>
    <comment ref="D5" authorId="0">
      <text>
        <r>
          <rPr>
            <sz val="10"/>
            <rFont val="Arial"/>
            <family val="2"/>
          </rPr>
          <t xml:space="preserve">https://data.worldbank.org/indicator/FP.CPI.TOTL.ZG?locations=CI</t>
        </r>
      </text>
    </comment>
    <comment ref="D6" authorId="0">
      <text>
        <r>
          <rPr>
            <sz val="10"/>
            <rFont val="Arial"/>
            <family val="2"/>
          </rPr>
          <t xml:space="preserve">https://data.worldbank.org/indicator/FP.CPI.TOTL.ZG?locations=CI</t>
        </r>
      </text>
    </comment>
    <comment ref="D7" authorId="0">
      <text>
        <r>
          <rPr>
            <sz val="10"/>
            <rFont val="Arial"/>
            <family val="2"/>
          </rPr>
          <t xml:space="preserve">https://data.worldbank.org/indicator/FP.CPI.TOTL.ZG?locations=CI</t>
        </r>
      </text>
    </comment>
    <comment ref="D8" authorId="0">
      <text>
        <r>
          <rPr>
            <sz val="10"/>
            <rFont val="Arial"/>
            <family val="2"/>
          </rPr>
          <t xml:space="preserve">https://data.worldbank.org/indicator/FP.CPI.TOTL.ZG?locations=CI</t>
        </r>
      </text>
    </comment>
    <comment ref="D9" authorId="0">
      <text>
        <r>
          <rPr>
            <sz val="10"/>
            <rFont val="Arial"/>
            <family val="2"/>
          </rPr>
          <t xml:space="preserve">https://data.worldbank.org/indicator/FP.CPI.TOTL.ZG?locations=CI</t>
        </r>
      </text>
    </comment>
    <comment ref="D10" authorId="0">
      <text>
        <r>
          <rPr>
            <sz val="10"/>
            <rFont val="Arial"/>
            <family val="2"/>
          </rPr>
          <t xml:space="preserve">https://data.worldbank.org/indicator/FP.CPI.TOTL.ZG?locations=CI</t>
        </r>
      </text>
    </comment>
    <comment ref="D11" authorId="0">
      <text>
        <r>
          <rPr>
            <sz val="10"/>
            <rFont val="Arial"/>
            <family val="2"/>
          </rPr>
          <t xml:space="preserve">https://data.worldbank.org/indicator/FP.CPI.TOTL.ZG?locations=CI</t>
        </r>
      </text>
    </comment>
    <comment ref="D12" authorId="0">
      <text>
        <r>
          <rPr>
            <sz val="10"/>
            <rFont val="Arial"/>
            <family val="2"/>
          </rPr>
          <t xml:space="preserve">https://www.bceao.int/sites/default/files/2024-04/Rapport%20annuel%20sur%20l'%C3%A9volution%20des%20prix%20%C3%A0%20la%20consommation%20-%202023.pdf</t>
        </r>
      </text>
    </comment>
    <comment ref="D13" authorId="0">
      <text>
        <r>
          <rPr>
            <sz val="10"/>
            <rFont val="Arial"/>
            <family val="2"/>
          </rPr>
          <t xml:space="preserve">https://www.bceao.int/sites/default/files/2025-07/Rapport_annuel_sur_l-inflation-2024.pdf</t>
        </r>
      </text>
    </comment>
    <comment ref="D14" authorId="0">
      <text>
        <r>
          <rPr>
            <sz val="10"/>
            <rFont val="Arial"/>
            <family val="2"/>
          </rPr>
          <t xml:space="preserve">https://www.bceao.int/sites/default/files/2026-06/Rapport_annuel_sur%20l%27%C3%A9volution%20des%20prix%20%C3%A0%20la%20consommation%20dans%20l%27UEMOA%20en%202025.pdf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47" authorId="0">
      <text>
        <r>
          <rPr>
            <sz val="10"/>
            <rFont val="Arial"/>
            <family val="2"/>
          </rPr>
          <t xml:space="preserve">FMI PCPS (PCOCOUSDM, 3 587,19 USD/t) – https://fred.stlouisfed.org/series/PCOCOUSDM (fiabilité A)</t>
        </r>
      </text>
    </comment>
    <comment ref="B148" authorId="0">
      <text>
        <r>
          <rPr>
            <sz val="10"/>
            <rFont val="Arial"/>
            <family val="2"/>
          </rPr>
          <t xml:space="preserve">FMI PCPS (3 241,49 USD/t) – https://fred.stlouisfed.org/series/PCOCOUSDM (fiabilité A)</t>
        </r>
      </text>
    </comment>
    <comment ref="B149" authorId="0">
      <text>
        <r>
          <rPr>
            <sz val="10"/>
            <rFont val="Arial"/>
            <family val="2"/>
          </rPr>
          <t xml:space="preserve">FMI PCPS (3 392,14 USD/t) – https://fred.stlouisfed.org/series/PCOCOUSDM (fiabilité A)</t>
        </r>
      </text>
    </comment>
    <comment ref="B150" authorId="0">
      <text>
        <r>
          <rPr>
            <sz val="10"/>
            <rFont val="Arial"/>
            <family val="2"/>
          </rPr>
          <t xml:space="preserve">FMI PCPS (4 142,97 USD/t) – https://fred.stlouisfed.org/series/PCOCOUSDM (fiabilité A)</t>
        </r>
      </text>
    </comment>
    <comment ref="B151" authorId="0">
      <text>
        <r>
          <rPr>
            <sz val="10"/>
            <rFont val="Arial"/>
            <family val="2"/>
          </rPr>
          <t xml:space="preserve">FMI PCPS (4 395,46 USD/t) – https://fred.stlouisfed.org/series/PCOCOUSDM (fiabilité A)</t>
        </r>
      </text>
    </comment>
    <comment ref="B152" authorId="0">
      <text>
        <r>
          <rPr>
            <sz val="10"/>
            <rFont val="Arial"/>
            <family val="2"/>
          </rPr>
          <t xml:space="preserve">FMI PCPS (5 619,19 USD/t) – https://fred.stlouisfed.org/series/PCOCOUSDM (fiabilité A)</t>
        </r>
      </text>
    </comment>
    <comment ref="B153" authorId="0">
      <text>
        <r>
          <rPr>
            <sz val="10"/>
            <rFont val="Arial"/>
            <family val="2"/>
          </rPr>
          <t xml:space="preserve">FocusEconomics (série FMI) 5 987 USD/t ; Pink Sheet sept. 2026 : 5,95 USD/kg – https://www.focus-economics.com/commodities/agricultural/cocoa/ (fiabilité B)</t>
        </r>
      </text>
    </comment>
    <comment ref="D147" authorId="0">
      <text>
        <r>
          <rPr>
            <sz val="10"/>
            <rFont val="Arial"/>
            <family val="2"/>
          </rPr>
          <t xml:space="preserve">OIC, indicateur groupe Robustas 179,73 c/lb (CMR fév. 2026) – https://ico.org/documents/cy2025-26/cmr-0226-e.pdf (fiabilité A)</t>
        </r>
      </text>
    </comment>
    <comment ref="D148" authorId="0">
      <text>
        <r>
          <rPr>
            <sz val="10"/>
            <rFont val="Arial"/>
            <family val="2"/>
          </rPr>
          <t xml:space="preserve">FMI PCPS (PCOFFROBUSDM) 176,76 c/lb – https://fred.stlouisfed.org/series/PCOFFROBUSDM (fiabilité A)</t>
        </r>
      </text>
    </comment>
    <comment ref="D149" authorId="0">
      <text>
        <r>
          <rPr>
            <sz val="10"/>
            <rFont val="Arial"/>
            <family val="2"/>
          </rPr>
          <t xml:space="preserve">FMI PCPS 164,65 c/lb – https://fred.stlouisfed.org/series/PCOFFROBUSDM (fiabilité A)</t>
        </r>
      </text>
    </comment>
    <comment ref="D150" authorId="0">
      <text>
        <r>
          <rPr>
            <sz val="10"/>
            <rFont val="Arial"/>
            <family val="2"/>
          </rPr>
          <t xml:space="preserve">FMI PCPS 166,51 c/lb – https://fred.stlouisfed.org/series/PCOFFROBUSDM (fiabilité A)</t>
        </r>
      </text>
    </comment>
    <comment ref="D151" authorId="0">
      <text>
        <r>
          <rPr>
            <sz val="10"/>
            <rFont val="Arial"/>
            <family val="2"/>
          </rPr>
          <t xml:space="preserve">FMI PCPS 169,39 c/lb – https://fred.stlouisfed.org/series/PCOFFROBUSDM (fiabilité A)</t>
        </r>
      </text>
    </comment>
    <comment ref="D152" authorId="0">
      <text>
        <r>
          <rPr>
            <sz val="10"/>
            <rFont val="Arial"/>
            <family val="2"/>
          </rPr>
          <t xml:space="preserve">FMI PCPS 185,23 c/lb (OIC : 184,78) – https://fred.stlouisfed.org/series/PCOFFROBUSDM (fiabilité A)</t>
        </r>
      </text>
    </comment>
    <comment ref="D153" authorId="0">
      <text>
        <r>
          <rPr>
            <sz val="10"/>
            <rFont val="Arial"/>
            <family val="2"/>
          </rPr>
          <t xml:space="preserve">OIC, indicateur groupe Robustas 180,63 c/lb (CMR août 2026) – https://www.ico.org/documents/cy2025-26/cmr-0826-e.pdf (fiabilité A)</t>
        </r>
      </text>
    </comment>
    <comment ref="H148" authorId="0">
      <text>
        <r>
          <rPr>
            <sz val="10"/>
            <rFont val="Arial"/>
            <family val="2"/>
          </rPr>
          <t xml:space="preserve">SGX SICOM Rubber Monthly Report, mars 2026 (moyenne TSR20 1,965 USD/kg) – https://api2.sgx.com/sites/default/files/2026-04/SICOM%20SGX%20March%202026%20.pdf (fiabilité A)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44" authorId="0">
      <text>
        <r>
          <rPr>
            <sz val="10"/>
            <rFont val="Arial"/>
            <family val="2"/>
          </rPr>
          <t xml:space="preserve">FMI (fin oct. 10,90 ; fin nov. 11,27) : moyenne des fins de mois (approximation) (fiabilité C) – https://www.bog.gov.gh/economic-data/exchange-rate/</t>
        </r>
      </text>
    </comment>
    <comment ref="D145" authorId="0">
      <text>
        <r>
          <rPr>
            <sz val="10"/>
            <rFont val="Arial"/>
            <family val="2"/>
          </rPr>
          <t xml:space="preserve">FMI (fin nov. 11,27 ; fin déc. 10,45) : moyenne des fins de mois (approximation) (fiabilité C) – https://www.bog.gov.gh/economic-data/exchange-rate/</t>
        </r>
      </text>
    </comment>
    <comment ref="D146" authorId="0">
      <text>
        <r>
          <rPr>
            <sz val="10"/>
            <rFont val="Arial"/>
            <family val="2"/>
          </rPr>
          <t xml:space="preserve">Banque du Ghana, taux interbancaire moyen mensuel (fiabilité A) – https://www.bog.gov.gh/economic-data/exchange-rate/</t>
        </r>
      </text>
    </comment>
    <comment ref="D147" authorId="0">
      <text>
        <r>
          <rPr>
            <sz val="10"/>
            <rFont val="Arial"/>
            <family val="2"/>
          </rPr>
          <t xml:space="preserve">Banque du Ghana, taux interbancaire moyen mensuel (fiabilité A) – https://www.bog.gov.gh/economic-data/exchange-rate/</t>
        </r>
      </text>
    </comment>
    <comment ref="D148" authorId="0">
      <text>
        <r>
          <rPr>
            <sz val="10"/>
            <rFont val="Arial"/>
            <family val="2"/>
          </rPr>
          <t xml:space="preserve">Banque du Ghana, taux interbancaire moyen mensuel (fiabilité A) – https://www.bog.gov.gh/economic-data/exchange-rate/</t>
        </r>
      </text>
    </comment>
    <comment ref="D149" authorId="0">
      <text>
        <r>
          <rPr>
            <sz val="10"/>
            <rFont val="Arial"/>
            <family val="2"/>
          </rPr>
          <t xml:space="preserve">Banque du Ghana, taux interbancaire moyen mensuel (fiabilité A) – https://www.bog.gov.gh/economic-data/exchange-rate/</t>
        </r>
      </text>
    </comment>
    <comment ref="D150" authorId="0">
      <text>
        <r>
          <rPr>
            <sz val="10"/>
            <rFont val="Arial"/>
            <family val="2"/>
          </rPr>
          <t xml:space="preserve">Banque du Ghana, taux interbancaire moyen mensuel (fiabilité A) – https://www.bog.gov.gh/economic-data/exchange-rate/</t>
        </r>
      </text>
    </comment>
    <comment ref="D151" authorId="0">
      <text>
        <r>
          <rPr>
            <sz val="10"/>
            <rFont val="Arial"/>
            <family val="2"/>
          </rPr>
          <t xml:space="preserve">Banque du Ghana, taux interbancaire moyen mensuel (fiabilité A) – https://www.bog.gov.gh/economic-data/exchange-rate/</t>
        </r>
      </text>
    </comment>
    <comment ref="D152" authorId="0">
      <text>
        <r>
          <rPr>
            <sz val="10"/>
            <rFont val="Arial"/>
            <family val="2"/>
          </rPr>
          <t xml:space="preserve">Banque du Ghana, taux interbancaire moyen mensuel (fiabilité A) – https://www.bog.gov.gh/economic-data/exchange-rate/</t>
        </r>
      </text>
    </comment>
    <comment ref="D153" authorId="0">
      <text>
        <r>
          <rPr>
            <sz val="10"/>
            <rFont val="Arial"/>
            <family val="2"/>
          </rPr>
          <t xml:space="preserve">Banque du Ghana, taux interbancaire moyen mensuel (fiabilité A) – https://www.bog.gov.gh/economic-data/exchange-rate/</t>
        </r>
      </text>
    </comment>
    <comment ref="D154" authorId="0">
      <text>
        <r>
          <rPr>
            <sz val="10"/>
            <rFont val="Arial"/>
            <family val="2"/>
          </rPr>
          <t xml:space="preserve">Banque du Ghana, interbancaire 18/09 (11,55) et 28/09/2026 (11,43) (fiabilité B) – https://www.bog.gov.gh/economic-data/exchange-rate/</t>
        </r>
      </text>
    </comment>
    <comment ref="E152" authorId="0">
      <text>
        <r>
          <rPr>
            <sz val="10"/>
            <rFont val="Arial"/>
            <family val="2"/>
          </rPr>
          <t xml:space="preserve">Moyenne USD/UGX juillet 2026 (poundsterlinglive.com) (fiabilité C) – https://www.poundsterlinglive.com/history/USD-UGX-2026</t>
        </r>
      </text>
    </comment>
    <comment ref="F154" authorId="0">
      <text>
        <r>
          <rPr>
            <sz val="10"/>
            <rFont val="Arial"/>
            <family val="2"/>
          </rPr>
          <t xml:space="preserve">Vietcombank, achat/vente 9 sept. 2026 (daibieunhandan.vn) (fiabilité B) – https://en.daibieunhandan.vn/print/10429994.html</t>
        </r>
      </text>
    </comment>
    <comment ref="G144" authorId="0">
      <text>
        <r>
          <rPr>
            <sz val="10"/>
            <rFont val="Arial"/>
            <family val="2"/>
          </rPr>
          <t xml:space="preserve">UBA Tanzania, cours d'ouverture 5, 18 et 20 nov. 2025 (milieu de fourchette) (fiabilité C) – https://www.ubatanzania.co.tz/wp-content/uploads/sites/21/2025/11/OPENING-FX-RATES-UBA-TANZANIA-20_November_2025.pdf</t>
        </r>
      </text>
    </comment>
    <comment ref="H154" authorId="0">
      <text>
        <r>
          <rPr>
            <sz val="10"/>
            <rFont val="Arial"/>
            <family val="2"/>
          </rPr>
          <t xml:space="preserve">Taux implicite de la source (5 728,5 NGN/kg = 4 311 USD/t), mansamarkets.com (fiabilité C) – https://www.mansamarkets.com/blog/cocoa-farmgate-price-vs-world-price</t>
        </r>
      </text>
    </comment>
  </commentList>
</comments>
</file>

<file path=xl/sharedStrings.xml><?xml version="1.0" encoding="utf-8"?>
<sst xmlns="http://schemas.openxmlformats.org/spreadsheetml/2006/main" count="6813" uniqueCount="1980">
  <si>
    <t xml:space="preserve">Base de données du benchmark des prix agricoles – Côte d'Ivoire</t>
  </si>
  <si>
    <t xml:space="preserve">Objet</t>
  </si>
  <si>
    <t xml:space="preserve">Traçabilité complète des prix utilisés dans la note « Les prix agricoles ivoiriens sont-ils compétitifs ? » (octobre 2026).</t>
  </si>
  <si>
    <t xml:space="preserve">Date d'arrêté des données</t>
  </si>
  <si>
    <t xml:space="preserve">1er octobre 2026 (dernières annonces : prix cacao/café 2026-27 du 01/09/2026 ; prix COCOBOD du 25/09/2026).</t>
  </si>
  <si>
    <t xml:space="preserve">Règle d'or</t>
  </si>
  <si>
    <t xml:space="preserve">Aucun graphique ni chiffre de la note n'est produit en dehors de cette base. Toutes les conversions sont des formules visibles.</t>
  </si>
  <si>
    <t xml:space="preserve">Codes couleur</t>
  </si>
  <si>
    <t xml:space="preserve">Bleu = donnée saisie (prix d'origine, taux) ; noir = formule ; vert = renvoi vers un autre onglet ; fond jaune = paramètre ou hypothèse à valider.</t>
  </si>
  <si>
    <t xml:space="preserve">Fiabilité</t>
  </si>
  <si>
    <t xml:space="preserve">A = source officielle primaire ; B = presse/agence reprenant une annonce officielle datée ; C = source secondaire, commerciale ou approximation (indicatif).</t>
  </si>
  <si>
    <t xml:space="preserve">Observations</t>
  </si>
  <si>
    <t xml:space="preserve">Une ligne par prix : produit, qualité, stade, campagne, pays, monnaie, unité, prix d'origine, taux de change de la même période, prix FCFA/kg, référence internationale, taux de transmission, source, URL, date de consultation, remarque.</t>
  </si>
  <si>
    <t xml:space="preserve">Change_mensuel / Change_periodes</t>
  </si>
  <si>
    <t xml:space="preserve">Taux mensuels (BCE pour l'euro et donc le FCFA ; BRI et banques centrales pour les autres monnaies) et moyennes exactes de chaque période de comparaison.</t>
  </si>
  <si>
    <t xml:space="preserve">Cours_mensuels / Cours_periodes</t>
  </si>
  <si>
    <t xml:space="preserve">Cours internationaux mensuels (Banque mondiale « Pink Sheet » jusqu'en janvier 2026, compléments FMI/OIC/SGX ensuite) et moyennes par période.</t>
  </si>
  <si>
    <t xml:space="preserve">Cacao_transmission</t>
  </si>
  <si>
    <t xml:space="preserve">Série 2016/17-2026/27 par demi-campagne : prix CI, prix Ghana, cours mondial, taux de transmission.</t>
  </si>
  <si>
    <t xml:space="preserve">Series_CI</t>
  </si>
  <si>
    <t xml:space="preserve">Prix officiels ivoiriens sur 10 campagnes, en nominal et en FCFA constants 2025 ; coefficients de variation.</t>
  </si>
  <si>
    <t xml:space="preserve">Indicateurs</t>
  </si>
  <si>
    <t xml:space="preserve">Comparaisons deux à deux (écart absolu, écart relatif, indice, transmission) et médianes des comparateurs.</t>
  </si>
  <si>
    <t xml:space="preserve">Decomposition</t>
  </si>
  <si>
    <t xml:space="preserve">Décomposition de la valeur (cacao, anacarde, caoutchouc, palmier).</t>
  </si>
  <si>
    <t xml:space="preserve">Positionnement / Volumes_Rendements</t>
  </si>
  <si>
    <t xml:space="preserve">Données du graphique de positionnement et revenu brut à l'hectare.</t>
  </si>
  <si>
    <t xml:space="preserve">Matrice</t>
  </si>
  <si>
    <t xml:space="preserve">Matrice de synthèse reprise dans la note.</t>
  </si>
  <si>
    <t xml:space="preserve">Audit_QC</t>
  </si>
  <si>
    <t xml:space="preserve">Contrôle de comparabilité de chaque comparaison (période, produit, qualité, stade, unité, monnaie, référence, source, politique publique, fiscalité).</t>
  </si>
  <si>
    <t xml:space="preserve">Sources</t>
  </si>
  <si>
    <t xml:space="preserve">Référentiel des sources : institution, titre, URL, type, fiabilité, date de consultation.</t>
  </si>
  <si>
    <t xml:space="preserve">Limites d'accès</t>
  </si>
  <si>
    <t xml:space="preserve">L'environnement de production n'autorisait pas le téléchargement direct (FAOSTAT, Comtrade, Eurostat, API Banque mondiale). Les fichiers primaires utilisés sont archivés dans SOURCES/donnees_primaires ; les autres chiffres proviennent des pages citées (URL).</t>
  </si>
  <si>
    <t xml:space="preserve">Matrice de synthèse – compétitivité-prix des filières ivoiriennes</t>
  </si>
  <si>
    <t xml:space="preserve">Filière</t>
  </si>
  <si>
    <t xml:space="preserve">Prix CI (FCFA/kg)</t>
  </si>
  <si>
    <t xml:space="preserve">Benchmark (pays)</t>
  </si>
  <si>
    <t xml:space="preserve">Prix benchmark (FCFA/kg)</t>
  </si>
  <si>
    <t xml:space="preserve">Écart CI vs benchmark</t>
  </si>
  <si>
    <t xml:space="preserve">Part producteur / transmission</t>
  </si>
  <si>
    <t xml:space="preserve">Tendance (10 ans, nominal)</t>
  </si>
  <si>
    <t xml:space="preserve">Facteur explicatif principal</t>
  </si>
  <si>
    <t xml:space="preserve">Diagnostic</t>
  </si>
  <si>
    <t xml:space="preserve">Cacao</t>
  </si>
  <si>
    <t xml:space="preserve">Ghana (ouverture 2026/27)</t>
  </si>
  <si>
    <t xml:space="preserve">Ventes anticipées conclues au creux du marché (mars-juin 2026) ; règle ≥60 % CAF ; prélèvements ≈22 % du CAF ; Ghana : 70 % du FOB réalisé garanti par la loi</t>
  </si>
  <si>
    <t xml:space="preserve">Rémunération inférieure au benchmark ; transmission faible à court terme (décalage des ventes anticipées)</t>
  </si>
  <si>
    <t xml:space="preserve">A/B</t>
  </si>
  <si>
    <t xml:space="preserve">Café</t>
  </si>
  <si>
    <t xml:space="preserve">Vietnam, Ouganda (2026)</t>
  </si>
  <si>
    <t xml:space="preserve">Prix administré aligné sur ventes anticipées ; productivité très faible (production -70 % en 2024/25)</t>
  </si>
  <si>
    <t xml:space="preserve">Rémunération inférieure au benchmark ; problème de productivité plus que de prix</t>
  </si>
  <si>
    <t xml:space="preserve">A/B/C</t>
  </si>
  <si>
    <t xml:space="preserve">Anacarde</t>
  </si>
  <si>
    <t xml:space="preserve">Burkina, G.-Bissau, Ghana (2026)</t>
  </si>
  <si>
    <t xml:space="preserve">Plancher aligné sur les voisins UEMOA ; forte valeur captée entre le port et le CFR Asie ; Ghana/Tanzanie mieux transmis (enchères, qualité)</t>
  </si>
  <si>
    <t xml:space="preserve">Prix au niveau des voisins UEMOA, nettement inférieur au Ghana ; valeur captée en aval du port</t>
  </si>
  <si>
    <t xml:space="preserve">B/C</t>
  </si>
  <si>
    <t xml:space="preserve">Coton</t>
  </si>
  <si>
    <t xml:space="preserve">Burkina, Mali, Bénin, Togo (2025/26)</t>
  </si>
  <si>
    <t xml:space="preserve">Prix administré soutenu par une subvention de 25,3 Mds FCFA (2025/26) ; rendements dans la moyenne régionale</t>
  </si>
  <si>
    <t xml:space="preserve">Prix proche de la référence, soutenu par le budget</t>
  </si>
  <si>
    <t xml:space="preserve">Caoutchouc</t>
  </si>
  <si>
    <t xml:space="preserve">Thaïlande, Indonésie</t>
  </si>
  <si>
    <t xml:space="preserve">n.d.</t>
  </si>
  <si>
    <t xml:space="preserve">Formule : 63-66 % d'un prix de référence net de coûts ; DRC conventionnel 60 % &lt; DRC réel ; pouvoir de négociation des usiniers</t>
  </si>
  <si>
    <t xml:space="preserve">Transmission faible ; rémunération inférieure aux producteurs asiatiques</t>
  </si>
  <si>
    <t xml:space="preserve">Palmier à huile</t>
  </si>
  <si>
    <t xml:space="preserve">Indonésie, Malaisie</t>
  </si>
  <si>
    <t xml:space="preserve">Prix du régime ≈14 % du prix mondial de l'huile brute contre ≈21-22 % en Asie (≈13 % du prix intérieur de l'huile), alors que l'huile brute est payée au-dessus du prix mondial sur le marché intérieur</t>
  </si>
  <si>
    <t xml:space="preserve">Rémunération inférieure ; partage de la valeur défavorable au planteur</t>
  </si>
  <si>
    <t xml:space="preserve">Riz</t>
  </si>
  <si>
    <t xml:space="preserve">Sénégal (2025)</t>
  </si>
  <si>
    <t xml:space="preserve">Paddy payé au-dessus de la parité FOB du riz importé (équivalent paddy du riz thaï 5 %, hors fret et droits) : coûts de production et d'usinage élevés, rendements faibles</t>
  </si>
  <si>
    <t xml:space="preserve">Rémunération supérieure mais compétitivité faible face aux importations</t>
  </si>
  <si>
    <t xml:space="preserve">Banane dessert</t>
  </si>
  <si>
    <t xml:space="preserve">Équateur (prix minimum)</t>
  </si>
  <si>
    <t xml:space="preserve">Filière intégrée (plantations exportatrices) : aucun prix producteur public en Côte d'Ivoire</t>
  </si>
  <si>
    <t xml:space="preserve">Données insuffisantes pour conclure</t>
  </si>
  <si>
    <t xml:space="preserve">B</t>
  </si>
  <si>
    <t xml:space="preserve">Mangue</t>
  </si>
  <si>
    <t xml:space="preserve">Burkina Faso</t>
  </si>
  <si>
    <t xml:space="preserve">n.c.</t>
  </si>
  <si>
    <t xml:space="preserve">Prix CI fixé en station (220 FCFA/kg) et à la caisse bord champ (poids non publié) : stades non comparables</t>
  </si>
  <si>
    <t xml:space="preserve">Ananas, maïs, manioc, igname, plantain, tomate, oignon, cola, coco, canne</t>
  </si>
  <si>
    <t xml:space="preserve">—</t>
  </si>
  <si>
    <t xml:space="preserve">Pas de prix bord champ public harmonisé (OCPV publie des prix à la consommation) ; FAOSTAT non accessible depuis l'environnement d'étude</t>
  </si>
  <si>
    <t xml:space="preserve">Lecture : écart = prix CI ÷ benchmark − 1 ; part producteur = prix CI ÷ référence internationale (caoutchouc : base sèche ; palmier : prix du régime ÷ prix mondial de l'huile ; riz : ÷ équivalent paddy du riz thaï 5 % FOB). n.d. = non disponible ; n.c. = non comparable.</t>
  </si>
  <si>
    <t xml:space="preserve">Indicateurs de compétitivité-prix : comparaisons deux à deux (même produit, même stade, même période)</t>
  </si>
  <si>
    <t xml:space="preserve">Comparaison</t>
  </si>
  <si>
    <t xml:space="preserve">ID Côte d'Ivoire</t>
  </si>
  <si>
    <t xml:space="preserve">ID comparateur</t>
  </si>
  <si>
    <t xml:space="preserve">Prix comparateur (FCFA/kg)</t>
  </si>
  <si>
    <t xml:space="preserve">I. Écart absolu (FCFA/kg)</t>
  </si>
  <si>
    <t xml:space="preserve">II. Écart relatif</t>
  </si>
  <si>
    <t xml:space="preserve">Indice CI (comparateur = 100)</t>
  </si>
  <si>
    <t xml:space="preserve">IV. Transmission CI</t>
  </si>
  <si>
    <t xml:space="preserve">IV. Transmission comparateur</t>
  </si>
  <si>
    <t xml:space="preserve">Comparabilité</t>
  </si>
  <si>
    <t xml:space="preserve">Commentaire</t>
  </si>
  <si>
    <t xml:space="preserve">Ghana – ouverture 2026/27</t>
  </si>
  <si>
    <t xml:space="preserve">CAC-CI-2026/27-P</t>
  </si>
  <si>
    <t xml:space="preserve">CAC-GH-2026/27-P</t>
  </si>
  <si>
    <t xml:space="preserve">Directe</t>
  </si>
  <si>
    <t xml:space="preserve">Deux prix administrés, même grade, même date ; Ghana = 71 % du FOB réalisé (Act 1182)</t>
  </si>
  <si>
    <t xml:space="preserve">Ghana – campagne principale 2025/26</t>
  </si>
  <si>
    <t xml:space="preserve">CAC-CI-2025/26-P</t>
  </si>
  <si>
    <t xml:space="preserve">CAC-GH-2025/26-P</t>
  </si>
  <si>
    <t xml:space="preserve">Prix d'ouverture ; Ghana ramené à 41 392 GH¢/t au 12/02/2026</t>
  </si>
  <si>
    <t xml:space="preserve">Ghana – campagne intermédiaire 2025/26</t>
  </si>
  <si>
    <t xml:space="preserve">CAC-CI-2025/26-I</t>
  </si>
  <si>
    <t xml:space="preserve">CAC-GH-2025/26-I</t>
  </si>
  <si>
    <t xml:space="preserve">Cameroun – mars-avril 2026 (marché libéralisé)</t>
  </si>
  <si>
    <t xml:space="preserve">CAC-CM-2026-04</t>
  </si>
  <si>
    <t xml:space="preserve">Indicative</t>
  </si>
  <si>
    <t xml:space="preserve">Prix de marché relevé (fourchette) vs prix garanti</t>
  </si>
  <si>
    <t xml:space="preserve">Cameroun – fin juin 2026</t>
  </si>
  <si>
    <t xml:space="preserve">CAC-CM-2026-06</t>
  </si>
  <si>
    <t xml:space="preserve">Le marché libéralisé suit le cours mondial avec peu de retard</t>
  </si>
  <si>
    <t xml:space="preserve">Nigeria – sept. 2026 (source secondaire)</t>
  </si>
  <si>
    <t xml:space="preserve">CAC-NG-2026-09</t>
  </si>
  <si>
    <t xml:space="preserve">Source C : à confirmer</t>
  </si>
  <si>
    <t xml:space="preserve">Équateur – février 2026</t>
  </si>
  <si>
    <t xml:space="preserve">CAC-EC-2026-02</t>
  </si>
  <si>
    <t xml:space="preserve">Qualités différentes (CCN-51/Nacional)</t>
  </si>
  <si>
    <t xml:space="preserve">Vietnam – fin sept. 2026</t>
  </si>
  <si>
    <t xml:space="preserve">CAF-CI-2026/27</t>
  </si>
  <si>
    <t xml:space="preserve">CAF-VN-2026-09</t>
  </si>
  <si>
    <t xml:space="preserve">Café vert robusta, prix bord champ/collecteur</t>
  </si>
  <si>
    <t xml:space="preserve">Ouganda – juillet 2026</t>
  </si>
  <si>
    <t xml:space="preserve">CAF-CI-2025/26</t>
  </si>
  <si>
    <t xml:space="preserve">CAF-UG-2026-07</t>
  </si>
  <si>
    <t xml:space="preserve">FAQ ≈ café vert non classé ; taux de change de source C</t>
  </si>
  <si>
    <t xml:space="preserve">Burkina Faso – 2026</t>
  </si>
  <si>
    <t xml:space="preserve">ANA-CI-2026</t>
  </si>
  <si>
    <t xml:space="preserve">ANA-BF-2026</t>
  </si>
  <si>
    <t xml:space="preserve">Deux prix planchers, même devise</t>
  </si>
  <si>
    <t xml:space="preserve">Guinée-Bissau – 2026</t>
  </si>
  <si>
    <t xml:space="preserve">ANA-GW-2026</t>
  </si>
  <si>
    <t xml:space="preserve">Prix de référence producteur</t>
  </si>
  <si>
    <t xml:space="preserve">Ghana – 2026</t>
  </si>
  <si>
    <t xml:space="preserve">ANA-GH-2026</t>
  </si>
  <si>
    <t xml:space="preserve">Prix minimum ; respect effectif non documenté</t>
  </si>
  <si>
    <t xml:space="preserve">Tanzanie – 2025/26 (enchères)</t>
  </si>
  <si>
    <t xml:space="preserve">ANA-TZ-2025/26</t>
  </si>
  <si>
    <t xml:space="preserve">Saison et qualité (KOR) différentes ; prix d'enchère en magasin primaire</t>
  </si>
  <si>
    <t xml:space="preserve">Mali – 2025</t>
  </si>
  <si>
    <t xml:space="preserve">ANA-CI-2025</t>
  </si>
  <si>
    <t xml:space="preserve">ANA-ML-2025</t>
  </si>
  <si>
    <t xml:space="preserve">Même année (2025)</t>
  </si>
  <si>
    <t xml:space="preserve">Burkina Faso – 2025/26</t>
  </si>
  <si>
    <t xml:space="preserve">COT-CI-2025/26</t>
  </si>
  <si>
    <t xml:space="preserve">COT-BF-2025/26</t>
  </si>
  <si>
    <t xml:space="preserve">Prix administrés, même qualité (1er choix)</t>
  </si>
  <si>
    <t xml:space="preserve">Mali – 2025/26</t>
  </si>
  <si>
    <t xml:space="preserve">COT-ML-2025/26</t>
  </si>
  <si>
    <t xml:space="preserve">Bénin – 2025/26</t>
  </si>
  <si>
    <t xml:space="preserve">COT-BJ-2025/26</t>
  </si>
  <si>
    <t xml:space="preserve">Coton conventionnel</t>
  </si>
  <si>
    <t xml:space="preserve">Togo – 2025/26</t>
  </si>
  <si>
    <t xml:space="preserve">COT-TG-2025/26</t>
  </si>
  <si>
    <t xml:space="preserve">Source C</t>
  </si>
  <si>
    <t xml:space="preserve">Sénégal – 2025/26</t>
  </si>
  <si>
    <t xml:space="preserve">COT-SN-2025/26</t>
  </si>
  <si>
    <t xml:space="preserve">« Jusqu'à 350 FCFA » : source C</t>
  </si>
  <si>
    <t xml:space="preserve">Thaïlande – mai 2025 (base sèche)</t>
  </si>
  <si>
    <t xml:space="preserve">CAO-CI-2025-04</t>
  </si>
  <si>
    <t xml:space="preserve">CAO-TH-2025-05</t>
  </si>
  <si>
    <t xml:space="preserve">CI converti en kg sec (DRC 60 %) ; un mois d'écart</t>
  </si>
  <si>
    <t xml:space="preserve">Indonésie – août/sept. 2026 (base sèche)</t>
  </si>
  <si>
    <t xml:space="preserve">CAO-CI-2026-09</t>
  </si>
  <si>
    <t xml:space="preserve">CAO-ID-2026-08</t>
  </si>
  <si>
    <t xml:space="preserve">Prix de référence provincial ; un mois d'écart</t>
  </si>
  <si>
    <t xml:space="preserve">Indonésie (Riau) – janvier 2026</t>
  </si>
  <si>
    <t xml:space="preserve">PAL-CI-FFB-2026-01</t>
  </si>
  <si>
    <t xml:space="preserve">PAL-ID-FFB-2026-01</t>
  </si>
  <si>
    <t xml:space="preserve">Bord champ (CI) vs livraison usine (Riau)</t>
  </si>
  <si>
    <t xml:space="preserve">Malaisie – 2025 vs CI janv. 2026</t>
  </si>
  <si>
    <t xml:space="preserve">PAL-MY-FFB-2025</t>
  </si>
  <si>
    <t xml:space="preserve">Périodes proches mais différentes</t>
  </si>
  <si>
    <t xml:space="preserve">Sénégal – 2025</t>
  </si>
  <si>
    <t xml:space="preserve">RIZ-CI-2025</t>
  </si>
  <si>
    <t xml:space="preserve">RIZ-SN-2025</t>
  </si>
  <si>
    <t xml:space="preserve">Prix producteur fixé (130) ; usiniers 160 avec subvention</t>
  </si>
  <si>
    <t xml:space="preserve">Vietnam – fin 2025 (paddy frais)</t>
  </si>
  <si>
    <t xml:space="preserve">RIZ-VN-2025</t>
  </si>
  <si>
    <t xml:space="preserve">Paddy frais (humide) vs paddy sec</t>
  </si>
  <si>
    <t xml:space="preserve">III. Position relative : médiane des comparateurs directs de la même période (à défaut de comparateur direct : médiane des comparateurs indicatifs, résultat indicatif)</t>
  </si>
  <si>
    <t xml:space="preserve">Période de référence</t>
  </si>
  <si>
    <t xml:space="preserve">ID CI</t>
  </si>
  <si>
    <t xml:space="preserve">Statut du benchmark</t>
  </si>
  <si>
    <t xml:space="preserve">Médiane comparateurs (FCFA/kg)</t>
  </si>
  <si>
    <t xml:space="preserve">Écart absolu</t>
  </si>
  <si>
    <t xml:space="preserve">Écart relatif</t>
  </si>
  <si>
    <t xml:space="preserve">Indice CI (médiane = 100)</t>
  </si>
  <si>
    <t xml:space="preserve">Transmission CI</t>
  </si>
  <si>
    <t xml:space="preserve">Médiane transmission comparateurs</t>
  </si>
  <si>
    <t xml:space="preserve">Nb comparateurs</t>
  </si>
  <si>
    <t xml:space="preserve">Comparateurs retenus</t>
  </si>
  <si>
    <t xml:space="preserve">Ouverture 2026/27</t>
  </si>
  <si>
    <t xml:space="preserve">Directs</t>
  </si>
  <si>
    <t xml:space="preserve">Ghana (seul comparateur direct à la même date ; Nigeria sept. 2026 exclu : source C, comparaison indicative)</t>
  </si>
  <si>
    <t xml:space="preserve">Sept. 2026 (CI 2026/27)</t>
  </si>
  <si>
    <t xml:space="preserve">Vietnam (sept. 2026), Ouganda (juil. 2026)</t>
  </si>
  <si>
    <t xml:space="preserve">Campagne 2026</t>
  </si>
  <si>
    <t xml:space="preserve">Burkina, Guinée-Bissau, Ghana (Tanzanie exclue : saison, qualité et stade différents, comparaison indicative)</t>
  </si>
  <si>
    <t xml:space="preserve">Campagne 2025/26</t>
  </si>
  <si>
    <t xml:space="preserve">Burkina, Mali, Bénin, Togo (Sénégal exclu : comparaison indicative)</t>
  </si>
  <si>
    <t xml:space="preserve">2025-2026 (base sèche)</t>
  </si>
  <si>
    <t xml:space="preserve">Indicatifs (aucun direct)</t>
  </si>
  <si>
    <t xml:space="preserve">Thaïlande (mai 2025), Indonésie (août 2026)</t>
  </si>
  <si>
    <t xml:space="preserve">Janv. 2026 / 2025</t>
  </si>
  <si>
    <t xml:space="preserve">Indonésie (Riau), Malaisie</t>
  </si>
  <si>
    <t xml:space="preserve">2025</t>
  </si>
  <si>
    <t xml:space="preserve">Sénégal (Vietnam exclu : paddy frais, comparaison indicative)</t>
  </si>
  <si>
    <t xml:space="preserve">VI. Transmission moyenne sur la durée (prix CI ÷ cours international de la même campagne)</t>
  </si>
  <si>
    <t xml:space="preserve">Période</t>
  </si>
  <si>
    <t xml:space="preserve">Moyenne CI</t>
  </si>
  <si>
    <t xml:space="preserve">Moyenne 3 dernières campagnes</t>
  </si>
  <si>
    <t xml:space="preserve">Note</t>
  </si>
  <si>
    <t xml:space="preserve">2016/17-2025/26</t>
  </si>
  <si>
    <t xml:space="preserve">Robusta (indicateur OIC) ; 2025/26 : oct. 2025-août 2026</t>
  </si>
  <si>
    <t xml:space="preserve">2017/18-2025/26</t>
  </si>
  <si>
    <t xml:space="preserve">Équivalent fibre (rendement à l'égrenage) ÷ indice A ; 2025/26 partiel</t>
  </si>
  <si>
    <t xml:space="preserve">2016/17-2025/26 (demi-campagnes)</t>
  </si>
  <si>
    <t xml:space="preserve">Ghana sur la même période : voir onglet Cacao_transmission</t>
  </si>
  <si>
    <t xml:space="preserve">ID</t>
  </si>
  <si>
    <t xml:space="preserve">Produit exact</t>
  </si>
  <si>
    <t xml:space="preserve">Pays</t>
  </si>
  <si>
    <t xml:space="preserve">Année / campagne</t>
  </si>
  <si>
    <t xml:space="preserve">Période couverte</t>
  </si>
  <si>
    <t xml:space="preserve">Type de prix</t>
  </si>
  <si>
    <t xml:space="preserve">Stade de commercialisation</t>
  </si>
  <si>
    <t xml:space="preserve">Qualité / spécification</t>
  </si>
  <si>
    <t xml:space="preserve">Prix original</t>
  </si>
  <si>
    <t xml:space="preserve">Monnaie</t>
  </si>
  <si>
    <t xml:space="preserve">Unité d'origine</t>
  </si>
  <si>
    <t xml:space="preserve">kg par unité</t>
  </si>
  <si>
    <t xml:space="preserve">Code période (change)</t>
  </si>
  <si>
    <t xml:space="preserve">Taux de change (monnaie / USD)</t>
  </si>
  <si>
    <t xml:space="preserve">Source du taux de change</t>
  </si>
  <si>
    <t xml:space="preserve">Taux FCFA / USD (même période)</t>
  </si>
  <si>
    <t xml:space="preserve">Prix USD/kg</t>
  </si>
  <si>
    <t xml:space="preserve">Prix FCFA/kg</t>
  </si>
  <si>
    <t xml:space="preserve">Facteur d'équivalence</t>
  </si>
  <si>
    <t xml:space="preserve">Base de comparaison</t>
  </si>
  <si>
    <t xml:space="preserve">Prix FCFA/kg (base de comparaison)</t>
  </si>
  <si>
    <t xml:space="preserve">ID référence internationale</t>
  </si>
  <si>
    <t xml:space="preserve">Prix international de référence (FCFA/kg)</t>
  </si>
  <si>
    <t xml:space="preserve">Taux de transmission</t>
  </si>
  <si>
    <t xml:space="preserve">ID valeur FOB/CAF nationale</t>
  </si>
  <si>
    <t xml:space="preserve">Valeur FOB/CAF (FCFA/kg)</t>
  </si>
  <si>
    <t xml:space="preserve">Part producteur dans FOB/CAF</t>
  </si>
  <si>
    <t xml:space="preserve">Source</t>
  </si>
  <si>
    <t xml:space="preserve">URL</t>
  </si>
  <si>
    <t xml:space="preserve">Date de consultation</t>
  </si>
  <si>
    <t xml:space="preserve">Remarque méthodologique</t>
  </si>
  <si>
    <t xml:space="preserve">CAC-CI-2016/17-P</t>
  </si>
  <si>
    <t xml:space="preserve">Fèves de cacao marchandes</t>
  </si>
  <si>
    <t xml:space="preserve">Côte d'Ivoire</t>
  </si>
  <si>
    <t xml:space="preserve">2016/17</t>
  </si>
  <si>
    <t xml:space="preserve">Campagne principale (oct.-mars)</t>
  </si>
  <si>
    <t xml:space="preserve">Prix minimum garanti (administré)</t>
  </si>
  <si>
    <t xml:space="preserve">Bord champ</t>
  </si>
  <si>
    <t xml:space="preserve">Bien fermenté, séché, trié (grade marchand)</t>
  </si>
  <si>
    <t xml:space="preserve">XOF</t>
  </si>
  <si>
    <t xml:space="preserve">kg</t>
  </si>
  <si>
    <t xml:space="preserve">2016-10:2017-03</t>
  </si>
  <si>
    <t xml:space="preserve">BCE (parité fixe 655,957 FCFA/EUR)</t>
  </si>
  <si>
    <t xml:space="preserve">FCFA/kg de produit tel que vendu</t>
  </si>
  <si>
    <t xml:space="preserve">INT-CAC-2016/17-P</t>
  </si>
  <si>
    <t xml:space="preserve">CCC / Gouvernement (via Connectionivoirienne) – Le kilo de cacao à 1 100 FCFA pour la campagne 2016-2017</t>
  </si>
  <si>
    <t xml:space="preserve">https://connectionivoirienne.net/2016/09/28/cote-divoire-le-kilo-de-cacao-a-1-100-fcfa-pour-la-campagne-2016-2017</t>
  </si>
  <si>
    <t xml:space="preserve">2026-10-01</t>
  </si>
  <si>
    <t xml:space="preserve">Prix administré par le CCC ; ventes anticipées ; règle ≥60 % du prix CAF de référence</t>
  </si>
  <si>
    <t xml:space="preserve">CAC-CI-2016/17-I</t>
  </si>
  <si>
    <t xml:space="preserve">Campagne intermédiaire (avr.-sept.)</t>
  </si>
  <si>
    <t xml:space="preserve">2017-04:2017-09</t>
  </si>
  <si>
    <t xml:space="preserve">INT-CAC-2016/17-I</t>
  </si>
  <si>
    <t xml:space="preserve">CCC (via Connectionivoirienne) – Prix bord champ du cacao pour la campagne intermédiaire fixé à 700 FCFA</t>
  </si>
  <si>
    <t xml:space="preserve">https://connectionivoirienne.net/2017/03/30/cote-divoire-le-prix-bord-champ-du-cacao-pour-la-campagne-intermediaire-fixe-a-700-fcfa-1-euro/</t>
  </si>
  <si>
    <t xml:space="preserve">CAC-CI-2017/18-P</t>
  </si>
  <si>
    <t xml:space="preserve">2017/18</t>
  </si>
  <si>
    <t xml:space="preserve">2017-10:2018-03</t>
  </si>
  <si>
    <t xml:space="preserve">INT-CAC-2017/18-P</t>
  </si>
  <si>
    <t xml:space="preserve">CCC (via Connectionivoirienne) – Le prix d'achat au producteur de cacao maintenu à 700 FCFA (campagne intermédiaire 2017-2018)</t>
  </si>
  <si>
    <t xml:space="preserve">https://connectionivoirienne.net/2018/03/30/le-prix-dachat-au-producteur-de-cacao-en-cote-divoire-maintenu-a-700-francs-cfa</t>
  </si>
  <si>
    <t xml:space="preserve">CAC-CI-2017/18-I</t>
  </si>
  <si>
    <t xml:space="preserve">2018-04:2018-09</t>
  </si>
  <si>
    <t xml:space="preserve">INT-CAC-2017/18-I</t>
  </si>
  <si>
    <t xml:space="preserve">CAC-CI-2018/19-P</t>
  </si>
  <si>
    <t xml:space="preserve">2018/19</t>
  </si>
  <si>
    <t xml:space="preserve">2018-10:2019-03</t>
  </si>
  <si>
    <t xml:space="preserve">INT-CAC-2018/19-P</t>
  </si>
  <si>
    <t xml:space="preserve">CCC (via Agence Ecofin) – Cocoa farm-gate price set to CFA750 per kilo for 2018/2019 season</t>
  </si>
  <si>
    <t xml:space="preserve">https://www.ecofinagency.com/agriculture/0210-39023-cote-d-ivoire-cocoa-farm-gate-price-set-to-cfa750-per-kilo-for-2018/2019-season</t>
  </si>
  <si>
    <t xml:space="preserve">CAC-CI-2018/19-I</t>
  </si>
  <si>
    <t xml:space="preserve">2019-04:2019-09</t>
  </si>
  <si>
    <t xml:space="preserve">INT-CAC-2018/19-I</t>
  </si>
  <si>
    <t xml:space="preserve">Gouvernement (via Afrique-sur7) – Le gouvernement maintient le prix du cacao à 750 FCFA pour la campagne intermédiaire</t>
  </si>
  <si>
    <t xml:space="preserve">https://www.afrique-sur7.fr/420663-prix-cacao-750-campagne-intermediaire</t>
  </si>
  <si>
    <t xml:space="preserve">CAC-CI-2019/20-P</t>
  </si>
  <si>
    <t xml:space="preserve">2019/20</t>
  </si>
  <si>
    <t xml:space="preserve">2019-10:2020-03</t>
  </si>
  <si>
    <t xml:space="preserve">INT-CAC-2019/20-P</t>
  </si>
  <si>
    <t xml:space="preserve">CCC (via Connectionivoirienne) – Le prix du kg de cacao fixé à 825 FCFA pour la campagne 2019-2020</t>
  </si>
  <si>
    <t xml:space="preserve">https://connectionivoirienne.net/2019/10/01/le-prix-du-kg-de-cacao-fixe-a-825-fcfa-en-cote-divoire-pour-la-campagne-2019-2020/</t>
  </si>
  <si>
    <t xml:space="preserve">CAC-CI-2019/20-I</t>
  </si>
  <si>
    <t xml:space="preserve">2020-04:2020-09</t>
  </si>
  <si>
    <t xml:space="preserve">INT-CAC-2019/20-I</t>
  </si>
  <si>
    <t xml:space="preserve">CCC (via Connectionivoirienne) – Le prix bord champ du cacao maintenu à 825 FCFA/kg pour la petite traite (le prix de marché aurait été de 625 FCFA)</t>
  </si>
  <si>
    <t xml:space="preserve">https://connectionivoirienne.net/2020/04/01/le-prix-bord-champ-du-cacao-maintenu-a-825-fcfa-kg-pour-la-petite-traite-en-cote-divoire/</t>
  </si>
  <si>
    <t xml:space="preserve">CAC-CI-2020/21-P</t>
  </si>
  <si>
    <t xml:space="preserve">2020/21</t>
  </si>
  <si>
    <t xml:space="preserve">2020-10:2021-03</t>
  </si>
  <si>
    <t xml:space="preserve">INT-CAC-2020/21-P</t>
  </si>
  <si>
    <t xml:space="preserve">CCC (via BusinessWorld/Reuters) – Ivory Coast raises 2020/21 cocoa farmgate price by 21% (1 000 FCFA/kg)</t>
  </si>
  <si>
    <t xml:space="preserve">https://www.pressreader.com/philippines/business-world/20201005/281676847366265</t>
  </si>
  <si>
    <t xml:space="preserve">CAC-CI-2020/21-I</t>
  </si>
  <si>
    <t xml:space="preserve">2021-04:2021-09</t>
  </si>
  <si>
    <t xml:space="preserve">INT-CAC-2020/21-I</t>
  </si>
  <si>
    <t xml:space="preserve">CCC (via KOACI) – Cacao : le Conseil fixe le kg de la fève à 750 FCFA pour la campagne intermédiaire</t>
  </si>
  <si>
    <t xml:space="preserve">https://www.koaci.com/index.php/article/2021/03/31/cote-divoire/politique/cote-divoire-cacao-le-conseil-fixe-le-kg-de-la-feve-a-750-fcfa-pour-la-campagne-intermediaire_149966.html</t>
  </si>
  <si>
    <t xml:space="preserve">CAC-CI-2021/22-P</t>
  </si>
  <si>
    <t xml:space="preserve">2021/22</t>
  </si>
  <si>
    <t xml:space="preserve">2021-10:2022-03</t>
  </si>
  <si>
    <t xml:space="preserve">INT-CAC-2021/22-P</t>
  </si>
  <si>
    <t xml:space="preserve">CCC (via Connectionivoirienne) – Le prix bord-champ du café fixé à 700 FCFA/kg, le cacao à 825 FCFA</t>
  </si>
  <si>
    <t xml:space="preserve">https://connectionivoirienne.net/2021/10/01/le-prix-bord-champ-du-cafe-fixe-a-700-fcfa-kg/</t>
  </si>
  <si>
    <t xml:space="preserve">CAC-CI-2021/22-I</t>
  </si>
  <si>
    <t xml:space="preserve">2022-04:2022-09</t>
  </si>
  <si>
    <t xml:space="preserve">INT-CAC-2021/22-I</t>
  </si>
  <si>
    <t xml:space="preserve">CCC (via Abidjan.net) – Le prix du kg de cacao pour la campagne intermédiaire maintenu à 825 FCFA</t>
  </si>
  <si>
    <t xml:space="preserve">https://news.abidjan.net/articles/706140/cote-divoire-le-prix-du-kg-de-cacao-pour-la-campagne-intermediaire-maintenu-a-825-fcfa</t>
  </si>
  <si>
    <t xml:space="preserve">CAC-CI-2022/23-P</t>
  </si>
  <si>
    <t xml:space="preserve">2022/23</t>
  </si>
  <si>
    <t xml:space="preserve">2022-10:2023-03</t>
  </si>
  <si>
    <t xml:space="preserve">INT-CAC-2022/23-P</t>
  </si>
  <si>
    <t xml:space="preserve">CCC (via Further Africa/Reuters) – Ivory Coast raises cocoa farmgate price by 9% for 2022/2023 (900 FCFA/kg)</t>
  </si>
  <si>
    <t xml:space="preserve">https://furtherafrica.com/2022/10/03/ivory-coast-raises-cocoa-farmgate-price-by-9-for-2022-2023-harvest/</t>
  </si>
  <si>
    <t xml:space="preserve">CAC-CI-2022/23-I</t>
  </si>
  <si>
    <t xml:space="preserve">2023-04:2023-09</t>
  </si>
  <si>
    <t xml:space="preserve">INT-CAC-2022/23-I</t>
  </si>
  <si>
    <t xml:space="preserve">CCC (via ConfectioneryNews) – Mid-crop 2022/23 farmgate price unchanged at 900 XOF/kg</t>
  </si>
  <si>
    <t xml:space="preserve">https://www.confectionerynews.com/Article/2023/05/03/cocoa-futures-up-6-as-farmgate-prices-stall-due-to-sluggish-exports-in-cote-d-ivoire/</t>
  </si>
  <si>
    <t xml:space="preserve">CAC-CI-2023/24-P</t>
  </si>
  <si>
    <t xml:space="preserve">2023/24</t>
  </si>
  <si>
    <t xml:space="preserve">2023-10:2024-03</t>
  </si>
  <si>
    <t xml:space="preserve">INT-CAC-2023/24-P</t>
  </si>
  <si>
    <t xml:space="preserve">CCC (via Sika Finance) – Des prix d'achat de 1 000 FCFA/kg pour le cacao et 900 FCFA/kg pour le café</t>
  </si>
  <si>
    <t xml:space="preserve">https://www.sikafinance.com/marches/cote-divoire-des-prix-dachat-de-1-000-fcfakg-pour-le-cacao-et-900-fcfakg-pour-le-cafe_42852</t>
  </si>
  <si>
    <t xml:space="preserve">CAC-CI-2023/24-I</t>
  </si>
  <si>
    <t xml:space="preserve">2024-04:2024-09</t>
  </si>
  <si>
    <t xml:space="preserve">INT-CAC-2023/24-I</t>
  </si>
  <si>
    <t xml:space="preserve">CCC (via FoodBev/Reuters) – Ivory Coast raises cocoa farmgate price by 50% (1 500 FCFA/kg, avril 2024)</t>
  </si>
  <si>
    <t xml:space="preserve">https://www.foodbev.com/news/ivory-coast-raises-cocoa-farmgate-price-by-50/</t>
  </si>
  <si>
    <t xml:space="preserve">CAC-CI-2024/25-P</t>
  </si>
  <si>
    <t xml:space="preserve">2024/25</t>
  </si>
  <si>
    <t xml:space="preserve">2024-10:2025-03</t>
  </si>
  <si>
    <t xml:space="preserve">INT-CAC-2024/25-P</t>
  </si>
  <si>
    <t xml:space="preserve">CCC (via Agence Ecofin) – Côte d'Ivoire : 1 800 FCFA le kg de cacao pour la campagne principale 2024/2025</t>
  </si>
  <si>
    <t xml:space="preserve">https://www.agenceecofin.com/cacao/0110-122025-cote-d-ivoire-1800-fcfa-le-kg-de-cacao-pour-la-campagne-principale-2024/2025</t>
  </si>
  <si>
    <t xml:space="preserve">CAC-CI-2024/25-I</t>
  </si>
  <si>
    <t xml:space="preserve">2025-04:2025-09</t>
  </si>
  <si>
    <t xml:space="preserve">INT-CAC-2024/25-I</t>
  </si>
  <si>
    <t xml:space="preserve">CCC (via allAfrica/Fraternité Matin) – Le prix d'achat aux planteurs fixé à 2 200 FCFA, un nouveau record</t>
  </si>
  <si>
    <t xml:space="preserve">https://fr.allafrica.com/stories/202504030258.html</t>
  </si>
  <si>
    <t xml:space="preserve">2025/26</t>
  </si>
  <si>
    <t xml:space="preserve">2025-10:2026-03</t>
  </si>
  <si>
    <t xml:space="preserve">INT-CAC-2025/26-P</t>
  </si>
  <si>
    <t xml:space="preserve">Présidence / CCC (via AIP) – Campagne 2025-2026 : prix bord champ du cacao 2 800 FCFA/kg et café 1 700 FCFA/kg</t>
  </si>
  <si>
    <t xml:space="preserve">https://www.aip.ci/257389/cote-divoire-aip-campagne-2025-2026-le-prix-bord-champ-du-cacao-fixe-a-2-800-fcfa-kg-et-celui-du-cafe-a-1-700-fcfa-kg-alassane-ouattara/</t>
  </si>
  <si>
    <t xml:space="preserve">2026-04:2026-09</t>
  </si>
  <si>
    <t xml:space="preserve">INT-CAC-2025/26-I</t>
  </si>
  <si>
    <t xml:space="preserve">MINADERPV / CCC (via KOACI) – Cacao : prix bord champ fixé à 1 200 FCFA/kg pour la campagne intermédiaire 2025-2026</t>
  </si>
  <si>
    <t xml:space="preserve">https://www.koaci.com/article/2026/03/04/cote-divoire/societe/cote-divoire-cacao-le-prix-bord-champ-fixe-a-1-200-fcfakg-pour-la-campagne-intermediaire-2025-2026_194830.html</t>
  </si>
  <si>
    <t xml:space="preserve">CAC-GH-2016/17-P</t>
  </si>
  <si>
    <t xml:space="preserve">Ghana</t>
  </si>
  <si>
    <t xml:space="preserve">Prix producteur fixé (COCOBOD)</t>
  </si>
  <si>
    <t xml:space="preserve">Bord champ (centres d'achat LBC)</t>
  </si>
  <si>
    <t xml:space="preserve">Grade I/II (contrôle QCC)</t>
  </si>
  <si>
    <t xml:space="preserve">GHS</t>
  </si>
  <si>
    <t xml:space="preserve">tonne</t>
  </si>
  <si>
    <t xml:space="preserve">BRI / Banque du Ghana (moyenne de période)</t>
  </si>
  <si>
    <t xml:space="preserve">COCOBOD (via The Cocoa Post) – Producer price of cocoa up 8.42% (GH¢475 → GH¢515/bag ; 7 600 → 8 240 GH¢/t)</t>
  </si>
  <si>
    <t xml:space="preserve">https://thecocoapost.com/producer-price-of-cocoa-up-8-42/</t>
  </si>
  <si>
    <t xml:space="preserve">GH¢475/sac de 64 kg brut</t>
  </si>
  <si>
    <t xml:space="preserve">CAC-GH-2016/17-I</t>
  </si>
  <si>
    <t xml:space="preserve">CAC-GH-2017/18-P</t>
  </si>
  <si>
    <t xml:space="preserve">Prix inchangé</t>
  </si>
  <si>
    <t xml:space="preserve">CAC-GH-2017/18-I</t>
  </si>
  <si>
    <t xml:space="preserve">CAC-GH-2018/19-P</t>
  </si>
  <si>
    <t xml:space="preserve">CAC-GH-2018/19-I</t>
  </si>
  <si>
    <t xml:space="preserve">CAC-GH-2019/20-P</t>
  </si>
  <si>
    <t xml:space="preserve">GH¢515/sac</t>
  </si>
  <si>
    <t xml:space="preserve">CAC-GH-2019/20-I</t>
  </si>
  <si>
    <t xml:space="preserve">CAC-GH-2020/21-P</t>
  </si>
  <si>
    <t xml:space="preserve">COCOBOD – Cocoa producer price goes up 28% from GH¢515 to GH¢660 per bag (10 560 GH¢/t)</t>
  </si>
  <si>
    <t xml:space="preserve">https://cocobod.gh/news/cocoa-producer-price-goes-up-28-from-gh515-to-gh660-per-bag</t>
  </si>
  <si>
    <t xml:space="preserve">A</t>
  </si>
  <si>
    <t xml:space="preserve">GH¢660/sac ; intègre le différentiel de revenu décent (LID, 400 USD/t)</t>
  </si>
  <si>
    <t xml:space="preserve">CAC-GH-2020/21-I</t>
  </si>
  <si>
    <t xml:space="preserve">CAC-GH-2021/22-P</t>
  </si>
  <si>
    <t xml:space="preserve">Gouvernement du Ghana (via B&amp;FT) – Gov't maintains cocoa price at GH¢660 per bag (87,15 % du FOB)</t>
  </si>
  <si>
    <t xml:space="preserve">https://thebftonline.com/?p=97805</t>
  </si>
  <si>
    <t xml:space="preserve">Prix maintenu ; 87,15 % du FOB selon le gouvernement</t>
  </si>
  <si>
    <t xml:space="preserve">CAC-GH-2021/22-I</t>
  </si>
  <si>
    <t xml:space="preserve">CAC-GH-2022/23-P</t>
  </si>
  <si>
    <t xml:space="preserve">COCOBOD – Press release – opening of 2022/23 main crop season (GH¢800/bag ; 12 800 GH¢/t)</t>
  </si>
  <si>
    <t xml:space="preserve">https://cocobod.gh/news/press-release-opening-of-202223-main-crop-season</t>
  </si>
  <si>
    <t xml:space="preserve">GH¢800/sac</t>
  </si>
  <si>
    <t xml:space="preserve">CAC-GH-2022/23-I</t>
  </si>
  <si>
    <t xml:space="preserve">CAC-GH-2023/24-P</t>
  </si>
  <si>
    <t xml:space="preserve">Gouvernement du Ghana (via Graphic Online) – Cocoa price up: bag from GH¢800 to GH¢1 308 (20 928 GH¢/t)</t>
  </si>
  <si>
    <t xml:space="preserve">https://www.graphic.com.gh/news/general-news/govt-increases-cocoa-price-bag-up-from-gh-800-to-gh-1-308-tome-now-gh-20-943-from-gh-12-800.html</t>
  </si>
  <si>
    <t xml:space="preserve">1 308 GH¢/sac (Graphic : 20 943 GH¢/t) puis 33 120 GH¢/t à compter du 05/04/2024</t>
  </si>
  <si>
    <t xml:space="preserve">CAC-GH-2023/24-I</t>
  </si>
  <si>
    <t xml:space="preserve">COCOBOD (compte officiel X) – Producer price increased by 58.26% from GH¢20 928 to GH¢33 120 per tonne from 5 April 2024</t>
  </si>
  <si>
    <t xml:space="preserve">https://x.com/ghcocobod/status/1776312981111873684</t>
  </si>
  <si>
    <t xml:space="preserve">CAC-GH-2024/25-P</t>
  </si>
  <si>
    <t xml:space="preserve">COCOBOD – Review of the producer price of cocoa for the 2024/2025 season (48 000 GH¢/t, 11 sept. 2024)</t>
  </si>
  <si>
    <t xml:space="preserve">https://cocobod.gh/news/review-of-the-producer-price-of-cocoa-for-the-20242025-cocoa-season-wednesday-11th-september-2024</t>
  </si>
  <si>
    <t xml:space="preserve">48 000 GH¢/t (11/09/2024), relevé à 49 600 GH¢/t en cours de campagne</t>
  </si>
  <si>
    <t xml:space="preserve">CAC-GH-2024/25-I</t>
  </si>
  <si>
    <t xml:space="preserve">Gouvernement du Ghana (via Graphic Online) – Cocoa price shoots to GH¢49 600 a tonne</t>
  </si>
  <si>
    <t xml:space="preserve">https://www.graphic.com.gh/news/general-news/ghana-news-cocoa-price-shoots-to-ghc49-600-a-tonne-its-3rd-price-adjustment-in-9-months.html</t>
  </si>
  <si>
    <t xml:space="preserve">COCOBOD / Citi Newsroom – 51 660 GH¢/t (70 % FOB 7 200 USD à 10,25) → 58 000 GH¢/t (11,5 GH¢/USD) → 41 392 GH¢/t au 12/02/2026 (90 % FOB 4 200 USD)</t>
  </si>
  <si>
    <t xml:space="preserve">https://citinewsroom.com/2026/02/cocoa-producer-price-cut-to-gh%C2%A241392-per-tonne-from-gh%C2%A251660/</t>
  </si>
  <si>
    <t xml:space="preserve">51 660 (août 2025) → 58 000 GH¢/t ; abaissé à 41 392 GH¢/t le 12/02/2026</t>
  </si>
  <si>
    <t xml:space="preserve">2026/27</t>
  </si>
  <si>
    <t xml:space="preserve">Ouverture campagne principale (annonce 01/09/2026)</t>
  </si>
  <si>
    <t xml:space="preserve">Bien fermenté, séché, trié</t>
  </si>
  <si>
    <t xml:space="preserve">2026-09:2026-09</t>
  </si>
  <si>
    <t xml:space="preserve">INT-CAC-2026-08</t>
  </si>
  <si>
    <t xml:space="preserve">Gouvernement de Côte d'Ivoire (portail officiel) – Campagne principale 2026-2027 : cacao 1 200 FCFA/kg, café 1 300 FCFA/kg</t>
  </si>
  <si>
    <t xml:space="preserve">https://gouv.ci/actualite/campagne-principale-2026-2027-le-prix-bord-champ-du-cacao-est-fixe-a-1200-fcfa-le-kg-le-prix-du-cafe-setablit-a-1300-fcfa-le-kg-8771</t>
  </si>
  <si>
    <t xml:space="preserve">Fondé sur &gt;1,1 Mt de ventes anticipées conclues mars-juin 2026, au creux du marché</t>
  </si>
  <si>
    <t xml:space="preserve">Ouverture campagne (effet 25/09/2026)</t>
  </si>
  <si>
    <t xml:space="preserve">Grade I/II</t>
  </si>
  <si>
    <t xml:space="preserve">FOB-GH-CAC-2026/27</t>
  </si>
  <si>
    <t xml:space="preserve">COCOBOD (via MyJoyOnline) – Producer price GH¢42 400/t for 2026/27 (71,18 % du FOB brut réalisé ; Act 1182 : minimum 70 %)</t>
  </si>
  <si>
    <t xml:space="preserve">https://www.myjoyonline.com/cocobod-increases-cocoa-producer-price-to-gh%C2%A242400-for-2026-27-season/</t>
  </si>
  <si>
    <t xml:space="preserve">71,18 % du FOB brut réalisé (Act 1182 : minimum 70 %) ; GH¢2 650/sac de 64 kg</t>
  </si>
  <si>
    <t xml:space="preserve">Fèves de cacao (valeur FOB brute réalisée)</t>
  </si>
  <si>
    <t xml:space="preserve">Ventes de la campagne 2026/27</t>
  </si>
  <si>
    <t xml:space="preserve">Valeur FOB brute réalisée (dérivée)</t>
  </si>
  <si>
    <t xml:space="preserve">FOB Tema/Takoradi</t>
  </si>
  <si>
    <t xml:space="preserve">Dérivé : prix producteur ÷ 71,18 % (part déclarée par le COCOBOD)</t>
  </si>
  <si>
    <t xml:space="preserve">Cameroun</t>
  </si>
  <si>
    <t xml:space="preserve">Mars-avril 2026</t>
  </si>
  <si>
    <t xml:space="preserve">Prix de marché (libéralisé, relevé ONCC-SIF)</t>
  </si>
  <si>
    <t xml:space="preserve">Bord champ (bassins de production)</t>
  </si>
  <si>
    <t xml:space="preserve">Fèves marchandes (qualité variable)</t>
  </si>
  <si>
    <t xml:space="preserve">XAF</t>
  </si>
  <si>
    <t xml:space="preserve">2026-03:2026-04</t>
  </si>
  <si>
    <t xml:space="preserve">INT-CAC-2026-04</t>
  </si>
  <si>
    <t xml:space="preserve">ONCC-SIF (via Invest-Time) – Cacao au Cameroun : 1 200-1 450 FCFA/kg dans les bassins (mars-avril 2026)</t>
  </si>
  <si>
    <t xml:space="preserve">https://invest-time.com/2026/05/07/cacao-cameroun-prix-campagne/</t>
  </si>
  <si>
    <t xml:space="preserve">Milieu de la fourchette 1200-1450 FCFA/kg ; XAF = XOF (même parité avec l'euro)</t>
  </si>
  <si>
    <t xml:space="preserve">CAC-CM-2026-05</t>
  </si>
  <si>
    <t xml:space="preserve">Début mai 2026</t>
  </si>
  <si>
    <t xml:space="preserve">2026-05:2026-05</t>
  </si>
  <si>
    <t xml:space="preserve">INT-CAC-2026-05</t>
  </si>
  <si>
    <t xml:space="preserve">ONCC-SIF (via Investir au Cameroun) – Le prix du kilogramme repasse au-dessus de 1 500 FCFA (1 550-1 650)</t>
  </si>
  <si>
    <t xml:space="preserve">https://www.investiraucameroun.com/agriculture/0705-23372-cacao-le-prix-du-kilogramme-repasse-au-dessus-de-1-500-fcfa-a-deux-mois-de-la-fin-de-campagne</t>
  </si>
  <si>
    <t xml:space="preserve">Milieu de la fourchette 1550-1650 FCFA/kg ; XAF = XOF (même parité avec l'euro)</t>
  </si>
  <si>
    <t xml:space="preserve">30 juin 2026</t>
  </si>
  <si>
    <t xml:space="preserve">2026-06:2026-06</t>
  </si>
  <si>
    <t xml:space="preserve">INT-CAC-2026-06</t>
  </si>
  <si>
    <t xml:space="preserve">ONCC-SIF (via Investir au Cameroun) – Le prix aux producteurs atteint 2 250 FCFA (2 100-2 250 au 30/06/2026)</t>
  </si>
  <si>
    <t xml:space="preserve">https://www.investiraucameroun.com/agriculture/3006-23552-cacao-le-prix-aux-producteurs-atteint-2250-fcfa-son-plus-haut-niveau-depuis-le-debut-de-la-campagne-2025-2026</t>
  </si>
  <si>
    <t xml:space="preserve">Milieu de la fourchette 2100-2250 FCFA/kg ; XAF = XOF (même parité avec l'euro)</t>
  </si>
  <si>
    <t xml:space="preserve">Fèves de cacao</t>
  </si>
  <si>
    <t xml:space="preserve">Nigeria</t>
  </si>
  <si>
    <t xml:space="preserve">25/09/2026</t>
  </si>
  <si>
    <t xml:space="preserve">Prix de marché (libéralisé)</t>
  </si>
  <si>
    <t xml:space="preserve">Bord champ (indicatif)</t>
  </si>
  <si>
    <t xml:space="preserve">Non précisée</t>
  </si>
  <si>
    <t xml:space="preserve">NGN</t>
  </si>
  <si>
    <t xml:space="preserve">Implicite source (C)</t>
  </si>
  <si>
    <t xml:space="preserve">Mansa Markets – Nigeria farmgate 5 728,5 NGN/kg (≈4 311 USD/t), 25/09/2026</t>
  </si>
  <si>
    <t xml:space="preserve">https://www.mansamarkets.com/blog/cocoa-farmgate-price-vs-world-price</t>
  </si>
  <si>
    <t xml:space="preserve">C</t>
  </si>
  <si>
    <t xml:space="preserve">Source secondaire ; taux de change implicite de la source ; à titre indicatif uniquement</t>
  </si>
  <si>
    <t xml:space="preserve">CAC-EC-2026-01</t>
  </si>
  <si>
    <t xml:space="preserve">Fèves de cacao sèches (CCN-51 / Nacional)</t>
  </si>
  <si>
    <t xml:space="preserve">Équateur</t>
  </si>
  <si>
    <t xml:space="preserve">Janvier 2026</t>
  </si>
  <si>
    <t xml:space="preserve">Après décotes usuelles (qualité variable)</t>
  </si>
  <si>
    <t xml:space="preserve">USD</t>
  </si>
  <si>
    <t xml:space="preserve">quintal (100 lb)</t>
  </si>
  <si>
    <t xml:space="preserve">2026-01:2026-01</t>
  </si>
  <si>
    <t xml:space="preserve">INT-CAC-2026-01</t>
  </si>
  <si>
    <t xml:space="preserve">El Universo – Les producteurs reçoivent 180-190 USD/quintal (janv. 2026)</t>
  </si>
  <si>
    <t xml:space="preserve">https://www.eluniverso.com/noticias/economia/precio-cacao-ecuador-exportador-productor-nota/</t>
  </si>
  <si>
    <t xml:space="preserve">Milieu de fourchette 180-190 USD/qq</t>
  </si>
  <si>
    <t xml:space="preserve">Fèves de cacao sèches</t>
  </si>
  <si>
    <t xml:space="preserve">Février 2026</t>
  </si>
  <si>
    <t xml:space="preserve">Centres de collecte principaux</t>
  </si>
  <si>
    <t xml:space="preserve">Qualité variable</t>
  </si>
  <si>
    <t xml:space="preserve">2026-02:2026-02</t>
  </si>
  <si>
    <t xml:space="preserve">INT-CAC-2026-02</t>
  </si>
  <si>
    <t xml:space="preserve">Al Día (Équateur) – Le cacao revient à 100 USD le quintal (80-85 USD dans les petits cantons), fév. 2026</t>
  </si>
  <si>
    <t xml:space="preserve">https://www.aldia.com.ec/el-cacao-regresa-a-niveles-de-2023-100-el-quintal-y-en-cantones-pequenos-llega-a-80/</t>
  </si>
  <si>
    <t xml:space="preserve">80-85 USD/qq dans les petits cantons</t>
  </si>
  <si>
    <t xml:space="preserve">CAF-CI-2016/17</t>
  </si>
  <si>
    <t xml:space="preserve">Café vert robusta (décortiqué)</t>
  </si>
  <si>
    <t xml:space="preserve">Campagne (oct.-sept.)</t>
  </si>
  <si>
    <t xml:space="preserve">Bien séché, décortiqué, trié</t>
  </si>
  <si>
    <t xml:space="preserve">2016-10:2017-09</t>
  </si>
  <si>
    <t xml:space="preserve">INT-ROB-2016/17</t>
  </si>
  <si>
    <t xml:space="preserve">CCC (via Connectionivoirienne) – Le prix du kg de café reste inchangé à 750 FCFA pour la campagne 2017-2018</t>
  </si>
  <si>
    <t xml:space="preserve">https://connectionivoirienne.net/2017/12/21/cote-divoire-le-prix-du-kg-de-cafe-reste-inchange-a-750-fcfa-pour-la-campagne-2017-2018/</t>
  </si>
  <si>
    <t xml:space="preserve">Prix 2016/17 déduit du maintien à 750 FCFA en 2017/18 (« inchangé ») ; Avant 2021/22 la campagne café s'ouvrait en décembre : moyenne oct.-sept. utilisée par homogénéité</t>
  </si>
  <si>
    <t xml:space="preserve">CAF-CI-2017/18</t>
  </si>
  <si>
    <t xml:space="preserve">2017-10:2018-09</t>
  </si>
  <si>
    <t xml:space="preserve">INT-ROB-2017/18</t>
  </si>
  <si>
    <t xml:space="preserve">Avant 2021/22 la campagne café s'ouvrait en décembre : moyenne oct.-sept. utilisée par homogénéité</t>
  </si>
  <si>
    <t xml:space="preserve">CAF-CI-2018/19</t>
  </si>
  <si>
    <t xml:space="preserve">2018-10:2019-09</t>
  </si>
  <si>
    <t xml:space="preserve">INT-ROB-2018/19</t>
  </si>
  <si>
    <t xml:space="preserve">CCC (via Abidjan.net) – Prix du café 2018-2019 : 700 FCFA/kg (baisse de 50 FCFA)</t>
  </si>
  <si>
    <t xml:space="preserve">https://news.abidjan.net/h/649843.html</t>
  </si>
  <si>
    <t xml:space="preserve">CAF-CI-2019/20</t>
  </si>
  <si>
    <t xml:space="preserve">2019-10:2020-09</t>
  </si>
  <si>
    <t xml:space="preserve">INT-ROB-2019/20</t>
  </si>
  <si>
    <t xml:space="preserve">CCC (via Connectionivoirienne) – Café 2019-2020 fixé à 700 FCFA ; maintien permis par une subvention de 32 Mds FCFA (prix de marché : 473 FCFA)</t>
  </si>
  <si>
    <t xml:space="preserve">https://connectionivoirienne.net/2019/12/26/le-prix-du-kg-de-cafe-fixe-a-700-fcfa-pour-la-campagne-2019-2020-en-cote-divoire/</t>
  </si>
  <si>
    <t xml:space="preserve">Maintien financé par une subvention de 32 Mds FCFA (prix de marché estimé : 473 FCFA) ; Avant 2021/22 la campagne café s'ouvrait en décembre : moyenne oct.-sept. utilisée par homogénéité</t>
  </si>
  <si>
    <t xml:space="preserve">CAF-CI-2020/21</t>
  </si>
  <si>
    <t xml:space="preserve">2020-10:2021-09</t>
  </si>
  <si>
    <t xml:space="preserve">INT-ROB-2020/21</t>
  </si>
  <si>
    <t xml:space="preserve">CCC (via KOACI) – Café : prix bord champ fixé à 550 FCFA/kg (campagne 2020-2021, 28/12/2020)</t>
  </si>
  <si>
    <t xml:space="preserve">https://www.koaci.com/article/2020/12/23/cote-divoire/economie/cote-divoire-cafe-debut-de-la-campagne-commerciale-le-28-decembre-le-prix-bord-champ-du-kilo-fixe-a-550-fcfa-soit-une-baisse-de-155-fcfa_147642.html</t>
  </si>
  <si>
    <t xml:space="preserve">Campagne ouverte le 28/12/2020 ; Avant 2021/22 la campagne café s'ouvrait en décembre : moyenne oct.-sept. utilisée par homogénéité</t>
  </si>
  <si>
    <t xml:space="preserve">CAF-CI-2021/22</t>
  </si>
  <si>
    <t xml:space="preserve">2021-10:2022-09</t>
  </si>
  <si>
    <t xml:space="preserve">INT-ROB-2021/22</t>
  </si>
  <si>
    <t xml:space="preserve">CAF-CI-2022/23</t>
  </si>
  <si>
    <t xml:space="preserve">2022-10:2023-09</t>
  </si>
  <si>
    <t xml:space="preserve">INT-ROB-2022/23</t>
  </si>
  <si>
    <t xml:space="preserve">CCC (via Abidjan.net) – Campagne 2022-2023 : cacao 900 FCFA, café 750 FCFA</t>
  </si>
  <si>
    <t xml:space="preserve">https://news.abidjan.net/articles/712879/campagne-2022-2023-le-prix-bord-champ-du-kilogramme-de-cacao-fixe-a-900-fcfa-et-celui-du-cafe-a-750-fcfa</t>
  </si>
  <si>
    <t xml:space="preserve">CAF-CI-2023/24</t>
  </si>
  <si>
    <t xml:space="preserve">2023-10:2024-09</t>
  </si>
  <si>
    <t xml:space="preserve">INT-ROB-2023/24</t>
  </si>
  <si>
    <t xml:space="preserve">CCC (via Abidjan.net) – Campagne 2023-2024 : cacao 1 000 FCFA, café 900 FCFA</t>
  </si>
  <si>
    <t xml:space="preserve">https://news.abidjan.net/articles/724364/campagne-principale-de-commercialisation-2023-2024-cafe-cacao-le-prix-du-kg-de-cacao-fixe-a-1000-fcfa-et-celui-du-cafe-a-900-fcfa</t>
  </si>
  <si>
    <t xml:space="preserve">CAF-CI-2024/25</t>
  </si>
  <si>
    <t xml:space="preserve">2024-10:2025-09</t>
  </si>
  <si>
    <t xml:space="preserve">INT-ROB-2024/25</t>
  </si>
  <si>
    <t xml:space="preserve">CCC (via Agence Ecofin) – Hausse de plus de 66 % du prix bord champ du café en 2024/2025 (1 500 FCFA)</t>
  </si>
  <si>
    <t xml:space="preserve">https://www.agenceecofin.com/breves-agro/0110-122027-cote-d-ivoire-hausse-de-plus-de-66-du-prix-bord-champ-du-cafe-en-2024/2025</t>
  </si>
  <si>
    <t xml:space="preserve">2025-10:2026-09</t>
  </si>
  <si>
    <t xml:space="preserve">INT-ROB-2025/26</t>
  </si>
  <si>
    <t xml:space="preserve">Ouverture (annonce 01/09/2026)</t>
  </si>
  <si>
    <t xml:space="preserve">INT-ROB-2026-08</t>
  </si>
  <si>
    <t xml:space="preserve">Café robusta FAQ (vert, non classé)</t>
  </si>
  <si>
    <t xml:space="preserve">Ouganda</t>
  </si>
  <si>
    <t xml:space="preserve">Juillet 2026</t>
  </si>
  <si>
    <t xml:space="preserve">Prix de marché (libéralisé, relevé UCDA)</t>
  </si>
  <si>
    <t xml:space="preserve">FAQ (Fair Average Quality)</t>
  </si>
  <si>
    <t xml:space="preserve">UGX</t>
  </si>
  <si>
    <t xml:space="preserve">2026-07:2026-07</t>
  </si>
  <si>
    <t xml:space="preserve">BRI ; juil. 2026 : source secondaire (C)</t>
  </si>
  <si>
    <t xml:space="preserve">INT-ROB-2026-07</t>
  </si>
  <si>
    <t xml:space="preserve">Uganda Coffee Development Authority (UCDA) – Monthly report July 2026 : prix bord champ Robusta FAQ moyen 11 500 UGX/kg</t>
  </si>
  <si>
    <t xml:space="preserve">https://ugandacoffee.go.ug/sites/default/files/2026-09/10%20July%202026%20Report%20draft(2)(1)(1).pdf</t>
  </si>
  <si>
    <t xml:space="preserve">Moyenne UCDA (fourchette 11 000-12 000) ; taux de change de source secondaire (C)</t>
  </si>
  <si>
    <t xml:space="preserve">Café vert robusta (nhân xô)</t>
  </si>
  <si>
    <t xml:space="preserve">Vietnam</t>
  </si>
  <si>
    <t xml:space="preserve">28/09/2026</t>
  </si>
  <si>
    <t xml:space="preserve">Prix de marché intérieur</t>
  </si>
  <si>
    <t xml:space="preserve">Départ exploitation / collecteur (Dak Lak)</t>
  </si>
  <si>
    <t xml:space="preserve">Robusta courant (FAQ)</t>
  </si>
  <si>
    <t xml:space="preserve">VND</t>
  </si>
  <si>
    <t xml:space="preserve">BRI ; sept. 2026 : Vietcombank</t>
  </si>
  <si>
    <t xml:space="preserve">Vietnam.vn (prix Dak Lak) – Prix intérieur du café robusta, Dak Lak : 93 600 VND/kg (28/09/2026)</t>
  </si>
  <si>
    <t xml:space="preserve">https://www.vietnam.vn/en/gia-nong-san-hom-nay-28-9-2026-gia-ca-phe-trong-nuoc-di-nguoc-the-gioi-hang-vu-moi-sap-bat-dau-my-trung-giam-thue-doi-voi-60-ty-usd-hang-hoa</t>
  </si>
  <si>
    <t xml:space="preserve">Prix Dak Lak ; marché très concurrentiel, rendements très élevés</t>
  </si>
  <si>
    <t xml:space="preserve">ANA-CI-2016</t>
  </si>
  <si>
    <t xml:space="preserve">Noix de cajou brute (RCN)</t>
  </si>
  <si>
    <t xml:space="preserve">2016</t>
  </si>
  <si>
    <t xml:space="preserve">Campagne (févr.-juil.)</t>
  </si>
  <si>
    <t xml:space="preserve">Prix plancher obligatoire (administré)</t>
  </si>
  <si>
    <t xml:space="preserve">Bien séchée, bien triée</t>
  </si>
  <si>
    <t xml:space="preserve">2016-02:2016-07</t>
  </si>
  <si>
    <t xml:space="preserve">Gouvernement (via Abidjan.net) – Anacarde : le prix du kilogramme fixé à 350 FCFA (2016)</t>
  </si>
  <si>
    <t xml:space="preserve">https://news.abidjan.net/articles/582020/anacarde-le-prix-du-kilogramme-fixe-a-350-fcfa-par-le-gouvernement-ivoirien</t>
  </si>
  <si>
    <t xml:space="preserve">Prix plancher ; le prix réellement payé peut s'en écarter (ex. 2015 : 410 FCFA obtenus pour un plancher de 275)</t>
  </si>
  <si>
    <t xml:space="preserve">ANA-CI-2017</t>
  </si>
  <si>
    <t xml:space="preserve">2017</t>
  </si>
  <si>
    <t xml:space="preserve">2017-02:2017-07</t>
  </si>
  <si>
    <t xml:space="preserve">CCA (via allAfrica) – Campagne cajou 2017 : mesures arrêtées par le Conseil du coton et de l'anacarde (440 FCFA)</t>
  </si>
  <si>
    <t xml:space="preserve">https://fr.allafrica.com/stories/201702210313.html</t>
  </si>
  <si>
    <t xml:space="preserve">ANA-CI-2018</t>
  </si>
  <si>
    <t xml:space="preserve">2018</t>
  </si>
  <si>
    <t xml:space="preserve">2018-02:2018-07</t>
  </si>
  <si>
    <t xml:space="preserve">CCA (via Financial Afrik) – La campagne de commercialisation des noix de cajou s'annonce sous de bons auspices en 2018 (500 FCFA)</t>
  </si>
  <si>
    <t xml:space="preserve">https://www.financialafrik.com/2018/02/17/cote-divoire-la-campagne-de-commercialisation-des-noix-de-cajou-sannonce-sous-de-bons-auspices-en-2018</t>
  </si>
  <si>
    <t xml:space="preserve">ANA-CI-2019</t>
  </si>
  <si>
    <t xml:space="preserve">2019</t>
  </si>
  <si>
    <t xml:space="preserve">2019-02:2019-07</t>
  </si>
  <si>
    <t xml:space="preserve">Gouvernement (via Fraternité Matin) – Noix de cajou : le prix fixé à 375 FCFA/kg pour la campagne 2019</t>
  </si>
  <si>
    <t xml:space="preserve">https://www.fratmat.info/article/87617/62/noix-de-cajou-le-prix-fixe-a-375-f-cfa-kg-pour-la-campagne-2019</t>
  </si>
  <si>
    <t xml:space="preserve">ANA-CI-2020</t>
  </si>
  <si>
    <t xml:space="preserve">2020</t>
  </si>
  <si>
    <t xml:space="preserve">2020-02:2020-07</t>
  </si>
  <si>
    <t xml:space="preserve">Gouvernement (via Fraternité Matin) – Anacarde : le prix bord champ fixé à 400 FCFA le kg (2020)</t>
  </si>
  <si>
    <t xml:space="preserve">https://www.fratmat.info/article/201657/economie/anacarde-le-prix-bord-champ-fixe-a-400-fcfa-le-kg</t>
  </si>
  <si>
    <t xml:space="preserve">ANA-CI-2021</t>
  </si>
  <si>
    <t xml:space="preserve">2021</t>
  </si>
  <si>
    <t xml:space="preserve">2021-02:2021-07</t>
  </si>
  <si>
    <t xml:space="preserve">CCA (via Abidjan.net) – Démarrage de la campagne 2022 de commercialisation de la noix de cajou (prix plancher 305 FCFA, inchangé depuis 2021)</t>
  </si>
  <si>
    <t xml:space="preserve">https://news.abidjan.net/articles/703951/demarrage-ce-vendredi-de-la-campagne-2022-de-la-commercialisation-de-la-noix-de-cajou-communique</t>
  </si>
  <si>
    <t xml:space="preserve">ANA-CI-2022</t>
  </si>
  <si>
    <t xml:space="preserve">2022</t>
  </si>
  <si>
    <t xml:space="preserve">2022-02:2022-07</t>
  </si>
  <si>
    <t xml:space="preserve">ANA-CI-2023</t>
  </si>
  <si>
    <t xml:space="preserve">2023</t>
  </si>
  <si>
    <t xml:space="preserve">2023-02:2023-07</t>
  </si>
  <si>
    <t xml:space="preserve">Gouvernement (via Abidjan.net) – Le prix de la noix de cajou fixé à 315 FCFA/kg (2023)</t>
  </si>
  <si>
    <t xml:space="preserve">https://news.abidjan.net/articles/717534/cote-divoire-le-prix-de-la-noix-de-cajou-fixe-a-315-f-cfa-kg-officiel</t>
  </si>
  <si>
    <t xml:space="preserve">ANA-CI-2024</t>
  </si>
  <si>
    <t xml:space="preserve">2024</t>
  </si>
  <si>
    <t xml:space="preserve">2024-02:2024-07</t>
  </si>
  <si>
    <t xml:space="preserve">MINADERPV (via AIP) – Le prix bord champ du kg de l'anacarde fixé à 275 FCFA (campagne 2024)</t>
  </si>
  <si>
    <t xml:space="preserve">https://www.aip.ci/33996/cote-divoire-aip-le-prix-bord-champ-du-kg-de-lanacarde-fixe-a-275-fcfa-pour-la-campagne-2023-2024/</t>
  </si>
  <si>
    <t xml:space="preserve">2025-02:2025-07</t>
  </si>
  <si>
    <t xml:space="preserve">MINADERPV (via KOACI) – Anacarde : prix bord-champ fixé à 425 FCFA (+54 %), campagne 2025</t>
  </si>
  <si>
    <t xml:space="preserve">https://www.koaci.com/article/2025/01/17/cote-divoire/societe/cote-divoire-anacarde-le-prix-bord-champ-du-kg-fixe-a-425-fcfa-soit-une-hausse-de-54-par-rapport-a-la-campagne-precedente_183836.html</t>
  </si>
  <si>
    <t xml:space="preserve">2026</t>
  </si>
  <si>
    <t xml:space="preserve">2026-02:2026-07</t>
  </si>
  <si>
    <t xml:space="preserve">INT-ANA-CI-2026</t>
  </si>
  <si>
    <t xml:space="preserve">MINADERPV (via Agence Ecofin) – Baisse de 6 % du prix minimum bord champ de la noix de cajou en 2026 (400 FCFA)</t>
  </si>
  <si>
    <t xml:space="preserve">https://www.agenceecofin.com/actualites-agro/0902-135589-cote-d-ivoire-baisse-de-6-du-prix-minimum-bord-champ-de-la-noix-de-cajou-en-2026</t>
  </si>
  <si>
    <t xml:space="preserve">ANA-CI-2026-REAL</t>
  </si>
  <si>
    <t xml:space="preserve">Campagne 2026 (bilan août 2026)</t>
  </si>
  <si>
    <t xml:space="preserve">Prix moyen réellement payé</t>
  </si>
  <si>
    <t xml:space="preserve">Bord champ (département de Niakara)</t>
  </si>
  <si>
    <t xml:space="preserve">AIP – Campagne anacarde 2026 : près de 15 Mds FCFA de revenus à Niakara (prix moyen 416 FCFA/kg)</t>
  </si>
  <si>
    <t xml:space="preserve">https://www.aip.ci/cote-divoire-aip-campagne-anacarde-2026-pres-de-15-milliards-fcfa-de-revenus-engranges-par-les-producteurs-du-departement-de-niakara/</t>
  </si>
  <si>
    <t xml:space="preserve">Moyenne locale (450 en mars, 375 en mai, ventes groupées à 400)</t>
  </si>
  <si>
    <t xml:space="preserve">ANA-CI-2026-PORT</t>
  </si>
  <si>
    <t xml:space="preserve">Prix plancher obligatoire</t>
  </si>
  <si>
    <t xml:space="preserve">Magasin portuaire (Abidjan/San-Pedro)</t>
  </si>
  <si>
    <t xml:space="preserve">Gouvernement / CCAK (via Abidjan.net) – Prix planchers 2026 : bord champ 400, magasin intérieur 425, magasin usine 454, magasin portuaire 484 FCFA/kg</t>
  </si>
  <si>
    <t xml:space="preserve">https://news.abidjan.net/articles/747086/commercialisation-de-lanacarde-le-gouvernement-fixe-les-prix-planchers-pour-la-campagne-2026</t>
  </si>
  <si>
    <t xml:space="preserve">Barème 2026 : 400 bord champ → 425 magasin intérieur → 454 usine → 484 port</t>
  </si>
  <si>
    <t xml:space="preserve">Prix plancher (administré)</t>
  </si>
  <si>
    <t xml:space="preserve">Noix brute</t>
  </si>
  <si>
    <t xml:space="preserve">Gouvernement du Burkina Faso (via Sika Finance) – Prix bord champ de la noix de cajou maintenu à 385 FCFA/kg (2026)</t>
  </si>
  <si>
    <t xml:space="preserve">https://www.sikafinance.com/marches/burkina-le-prix-bord-champ-de-la-noix-de-cajou-maintenu-a-385-fcfakg-pour-soutenir-la-transformation-locale_60008</t>
  </si>
  <si>
    <t xml:space="preserve">Guinée-Bissau</t>
  </si>
  <si>
    <t xml:space="preserve">Campagne 2026 (ouverte le 11/03/2026)</t>
  </si>
  <si>
    <t xml:space="preserve">Prix de référence producteur (administré)</t>
  </si>
  <si>
    <t xml:space="preserve">2026-03:2026-07</t>
  </si>
  <si>
    <t xml:space="preserve">Gouvernement de transition de Guinée-Bissau (via Xinhua) – Campagne 2026 : 410 FCFA/kg au producteur, 478 FCFA/kg à Bissau</t>
  </si>
  <si>
    <t xml:space="preserve">https://english.news.cn/20260311/508ae13acd8c44109ea651276bd01b86/c.html</t>
  </si>
  <si>
    <t xml:space="preserve">Prix d'achat à Bissau par les intermédiaires : 478 FCFA/kg</t>
  </si>
  <si>
    <t xml:space="preserve">Mali</t>
  </si>
  <si>
    <t xml:space="preserve">Campagne 2025</t>
  </si>
  <si>
    <t xml:space="preserve">2025-03:2025-07</t>
  </si>
  <si>
    <t xml:space="preserve">Gouvernement du Mali (via Agence Ecofin) – Mali : la filière anacarde face au défi du respect du prix plancher (390 FCFA ; achats à 350-375)</t>
  </si>
  <si>
    <t xml:space="preserve">https://www.agenceecofin.com/actualites/0104-127164-mali-la-filiere-anacarde-face-au-defi-du-respect-du-prix-plancher</t>
  </si>
  <si>
    <t xml:space="preserve">Campagne 2025 (2026 non trouvée) ; achats effectifs 350-375 FCFA/kg selon la source</t>
  </si>
  <si>
    <t xml:space="preserve">2025/26 (récolte 2026)</t>
  </si>
  <si>
    <t xml:space="preserve">Saison 2026</t>
  </si>
  <si>
    <t xml:space="preserve">Prix minimum producteur (administré, TCDA)</t>
  </si>
  <si>
    <t xml:space="preserve">KOR 46, 190 noix/kg, humidité ≤10 %</t>
  </si>
  <si>
    <t xml:space="preserve">2026-02:2026-05</t>
  </si>
  <si>
    <t xml:space="preserve">FOB-GH-ANA-2026</t>
  </si>
  <si>
    <t xml:space="preserve">Tree Crops Development Authority (TCDA, Ghana) – Government sets GHS 12.00/kg as minimum producer price for RCN (2025/2026) – benchmark FOB 1 400 USD/t, 11,0241 GH¢/USD</t>
  </si>
  <si>
    <t xml:space="preserve">https://tcda.gov.gh/government-sets-ghs-12-00-per-kilogram-as-minimum-producer-price-for-raw-cashew-nuts-2025-2026-season/</t>
  </si>
  <si>
    <t xml:space="preserve">Prix arrondi à la hausse ; respect effectif non documenté</t>
  </si>
  <si>
    <t xml:space="preserve">Noix de cajou brute (référence FOB)</t>
  </si>
  <si>
    <t xml:space="preserve">Référence de calcul TCDA</t>
  </si>
  <si>
    <t xml:space="preserve">FOB de référence (modèle de prix)</t>
  </si>
  <si>
    <t xml:space="preserve">FOB Tema</t>
  </si>
  <si>
    <t xml:space="preserve">KOR 48, 180 noix/kg</t>
  </si>
  <si>
    <t xml:space="preserve">Référence FOB utilisée par la TCDA pour fixer le prix producteur</t>
  </si>
  <si>
    <t xml:space="preserve">Tanzanie</t>
  </si>
  <si>
    <t xml:space="preserve">Enchères oct. 2025-janv. 2026</t>
  </si>
  <si>
    <t xml:space="preserve">Prix moyen d'enchères (système de récépissés d'entrepôt)</t>
  </si>
  <si>
    <t xml:space="preserve">Magasin primaire (coopératives)</t>
  </si>
  <si>
    <t xml:space="preserve">Grade standard, KOR élevé (≈50 lb)</t>
  </si>
  <si>
    <t xml:space="preserve">TZS</t>
  </si>
  <si>
    <t xml:space="preserve">2025-11:2025-11</t>
  </si>
  <si>
    <t xml:space="preserve">UBA Tanzania (approximation, C)</t>
  </si>
  <si>
    <t xml:space="preserve">The Citizen (données TMX/CBT) – Cashew farmers earn Sh1.3tr : 430 961 t vendues pour 1 279 Mds TZS (2025/26)</t>
  </si>
  <si>
    <t xml:space="preserve">https://www.thecitizen.co.tz/tanzania/business/cashew-farmers-earn-sh1-3tr-as-production-heads-toward-record-5311708</t>
  </si>
  <si>
    <t xml:space="preserve">Prix moyen = recettes / volumes ; saison décalée (oct.-janv.) ; taux de change approché (C)</t>
  </si>
  <si>
    <t xml:space="preserve">Noix de cajou brute d'origine ivoirienne</t>
  </si>
  <si>
    <t xml:space="preserve">International (Asie)</t>
  </si>
  <si>
    <t xml:space="preserve">Avril-mai 2026</t>
  </si>
  <si>
    <t xml:space="preserve">Prix de marché CFR (cotation négoce)</t>
  </si>
  <si>
    <t xml:space="preserve">CFR Vietnam/Inde</t>
  </si>
  <si>
    <t xml:space="preserve">RCN Côte d'Ivoire (KOR 46-48)</t>
  </si>
  <si>
    <t xml:space="preserve">2026-04:2026-05</t>
  </si>
  <si>
    <t xml:space="preserve">Cardassilaris (négociant) – Cashew market report May 2026 : RCN Côte d'Ivoire 1 560 USD/t (avr.-mai 2026)</t>
  </si>
  <si>
    <t xml:space="preserve">https://www.cardassilaris.com/news/cashew-market-report-may-2026-rcn-quality-vietnam</t>
  </si>
  <si>
    <t xml:space="preserve">Pas de bourse pour la noix brute : cotation de négoce, à recouper</t>
  </si>
  <si>
    <t xml:space="preserve">INT-ANA-VN-2026</t>
  </si>
  <si>
    <t xml:space="preserve">Noix de cajou brute (toutes origines)</t>
  </si>
  <si>
    <t xml:space="preserve">Vietnam (importations)</t>
  </si>
  <si>
    <t xml:space="preserve">Janvier-avril 2026</t>
  </si>
  <si>
    <t xml:space="preserve">Valeur unitaire à l'importation</t>
  </si>
  <si>
    <t xml:space="preserve">CIF/CFR Vietnam</t>
  </si>
  <si>
    <t xml:space="preserve">Toutes origines (Cambodge, Côte d'Ivoire, Nigeria…)</t>
  </si>
  <si>
    <t xml:space="preserve">2026-01:2026-04</t>
  </si>
  <si>
    <t xml:space="preserve">Douanes vietnamiennes (via Viet Nam News) – Raw cashew nut imports Jan-Apr 2026 : ~1,3 Mt pour ~2,2 Mds USD (≈1 704 USD/t)</t>
  </si>
  <si>
    <t xml:space="preserve">https://vietnamnews.vn/economy/945883/raw-cashew-nut-imports-rocket-in-first-four-months.html</t>
  </si>
  <si>
    <t xml:space="preserve">Valeur unitaire = valeur ÷ volume ; mélange de qualités (limite de l'indicateur)</t>
  </si>
  <si>
    <t xml:space="preserve">COT-CI-2017/18</t>
  </si>
  <si>
    <t xml:space="preserve">Coton graine 1er choix</t>
  </si>
  <si>
    <t xml:space="preserve">Achats nov.-mars ; fibre commercialisée août-juillet</t>
  </si>
  <si>
    <t xml:space="preserve">Prix d'achat fixé (administré)</t>
  </si>
  <si>
    <t xml:space="preserve">Bord champ (marchés coton)</t>
  </si>
  <si>
    <t xml:space="preserve">1er choix</t>
  </si>
  <si>
    <t xml:space="preserve">2017-08:2018-07</t>
  </si>
  <si>
    <t xml:space="preserve">équivalent fibre (÷ rendement égrenage)</t>
  </si>
  <si>
    <t xml:space="preserve">INT-COT-2017/18</t>
  </si>
  <si>
    <t xml:space="preserve">Gouvernement (via KOACI) – Coton graine : 300 FCFA/kg (+35 FCFA par rapport à 265 FCFA en 2017-2018)</t>
  </si>
  <si>
    <t xml:space="preserve">https://www.koaci.com/index.php/article/2019/05/22/cote-divoire/economie/cote-divoire-le-prix-du-kilogramme-de-coton-graine-pour-la-campagne-2018-2019-fixe-a-300-fcfa-soit-une-hausse-de-35-fcfa_131167.html</t>
  </si>
  <si>
    <t xml:space="preserve">Équivalent fibre = prix coton graine ÷ rendement à l'égrenage (graine de coton non valorisée)</t>
  </si>
  <si>
    <t xml:space="preserve">COT-CI-2018/19</t>
  </si>
  <si>
    <t xml:space="preserve">2018-08:2019-07</t>
  </si>
  <si>
    <t xml:space="preserve">INT-COT-2018/19</t>
  </si>
  <si>
    <t xml:space="preserve">Gouvernement (via Abidjan.net) – Le prix du coton graine de premier choix maintenu à 265 FCFA/kg (2018-2019)</t>
  </si>
  <si>
    <t xml:space="preserve">https://news.abidjan.net/h/638493.html</t>
  </si>
  <si>
    <t xml:space="preserve">COT-CI-2019/20</t>
  </si>
  <si>
    <t xml:space="preserve">2019-08:2020-07</t>
  </si>
  <si>
    <t xml:space="preserve">INT-COT-2019/20</t>
  </si>
  <si>
    <t xml:space="preserve">Gouvernement (via KOACI) – Le prix du coton graine reste inchangé pour la campagne 2019-2020 : 300 FCFA/kg</t>
  </si>
  <si>
    <t xml:space="preserve">https://www.koaci.com/article/2019/10/29/cote-divoire/economie/cote-divoire-le-prix-du-coton-de-graine-reste-inchange-pour-la-campagne-2019-2020-300-fcfakg_136257.html</t>
  </si>
  <si>
    <t xml:space="preserve">COT-CI-2020/21</t>
  </si>
  <si>
    <t xml:space="preserve">2020-08:2021-07</t>
  </si>
  <si>
    <t xml:space="preserve">INT-COT-2020/21</t>
  </si>
  <si>
    <t xml:space="preserve">Gouvernement (via allAfrica) – Campagne 2021-2022 du coton : le prix du kilo demeure à 300 F (inchangé depuis 2020-2021)</t>
  </si>
  <si>
    <t xml:space="preserve">https://fr.allafrica.com/stories/202110080394.html</t>
  </si>
  <si>
    <t xml:space="preserve">COT-CI-2021/22</t>
  </si>
  <si>
    <t xml:space="preserve">2021-08:2022-07</t>
  </si>
  <si>
    <t xml:space="preserve">INT-COT-2021/22</t>
  </si>
  <si>
    <t xml:space="preserve">COT-CI-2022/23</t>
  </si>
  <si>
    <t xml:space="preserve">2022-08:2023-07</t>
  </si>
  <si>
    <t xml:space="preserve">INT-COT-2022/23</t>
  </si>
  <si>
    <t xml:space="preserve">Gouvernement (via Connectionivoirienne) – Coton campagne 2022/2023 : le prix du kilogramme fixé à 310 FCFA</t>
  </si>
  <si>
    <t xml:space="preserve">https://connectionivoirienne.net/2022/07/14/coton-camapagne-2022-2023-le-prix-du-kilogramme-fixe-a-310-fcfa/</t>
  </si>
  <si>
    <t xml:space="preserve">COT-CI-2023/24</t>
  </si>
  <si>
    <t xml:space="preserve">2023-08:2024-07</t>
  </si>
  <si>
    <t xml:space="preserve">INT-COT-2023/24</t>
  </si>
  <si>
    <t xml:space="preserve">Gouvernement (via Abidjan.net) – Coton graine 1er choix 310 FCFA, 2e choix 285 FCFA (2023-2024)</t>
  </si>
  <si>
    <t xml:space="preserve">https://news.abidjan.net/articles/720825/cote-divoire-le-prix-du-coton-graines-1er-choix-fixe-a-310-fcfa-et-a-285-f-cfa-le-kilo-du-2e-choix</t>
  </si>
  <si>
    <t xml:space="preserve">COT-CI-2024/25</t>
  </si>
  <si>
    <t xml:space="preserve">2024-08:2025-07</t>
  </si>
  <si>
    <t xml:space="preserve">INT-COT-2024/25</t>
  </si>
  <si>
    <t xml:space="preserve">Agence Ecofin – La subvention à la filière coton a plus que doublé en 2025/2026 (25,3 Mds FCFA contre 11,9 Mds)</t>
  </si>
  <si>
    <t xml:space="preserve">https://www.agenceecofin.com/actualites-agro/0108-130586-cote-d-ivoire-la-subvention-a-la-filiere-coton-a-plus-que-double-en-2025/2026</t>
  </si>
  <si>
    <t xml:space="preserve">2025-08:2026-07</t>
  </si>
  <si>
    <t xml:space="preserve">INT-COT-2025/26</t>
  </si>
  <si>
    <t xml:space="preserve">MINADERPV (via KOACI) – Campagne 2025-2026 : coton 1er choix 310 FCFA/kg, 2e choix 285 FCFA/kg (31/07/2025)</t>
  </si>
  <si>
    <t xml:space="preserve">https://www.koaci.com/article/2025/07/31/cote-divoire/societe/cote-divoire-campagne-2025-2026-le-prix-du-coton-de-1er-choix-est-fixe-a-310-fcfakg-et-celui-de-2e-choix-a-285-fcfakg_189056.html</t>
  </si>
  <si>
    <t xml:space="preserve">Campagne</t>
  </si>
  <si>
    <t xml:space="preserve">1er choix (conventionnel)</t>
  </si>
  <si>
    <t xml:space="preserve">SOFITEX (Burkina Faso) – Campagne 2025-2026 : engrais 17 500 FCFA, kg de coton 325 FCFA</t>
  </si>
  <si>
    <t xml:space="preserve">https://www.sofitex.bf/2025/04/10/campagne-cotonniere-2025-2026-les-engrais-a-17-500-f-cfa-les-insecticides-a-5-200-f-cfa-et-le-kg-de-coton-a-325-f-cfa/</t>
  </si>
  <si>
    <t xml:space="preserve">2e choix 300 FCFA</t>
  </si>
  <si>
    <t xml:space="preserve">Gouvernement du Mali (via Mali 24) – Prix du kilo du coton graine maintenu à 300 FCFA</t>
  </si>
  <si>
    <t xml:space="preserve">https://mali24.info/mali-433-700-tonnes-de-coton-produites-le-prix-du-kilo-du-coton-graine-maintenu-a-300-f-cfa/</t>
  </si>
  <si>
    <t xml:space="preserve">Décision du Conseil supérieur de l'agriculture du 06/05/2025</t>
  </si>
  <si>
    <t xml:space="preserve">Bénin</t>
  </si>
  <si>
    <t xml:space="preserve">Gouvernement du Bénin (via La Nation) – Campagne cotonnière 2025-2026 : prix des insecticides et du coton graine homologués (300 FCFA)</t>
  </si>
  <si>
    <t xml:space="preserve">https://lanation.bj/actualites/campagne-cotonniere-2025-2026-les-prix-des-insecticides-et-du-coton-graine-homologues</t>
  </si>
  <si>
    <t xml:space="preserve">Conventionnel ; biologique 360 FCFA</t>
  </si>
  <si>
    <t xml:space="preserve">Togo</t>
  </si>
  <si>
    <t xml:space="preserve">Africa Radio – Coton africain : ~300 FCFA au Bénin et au Mali, 310 en Côte d'Ivoire, 325 au Burkina, jusqu'à 350 au Sénégal</t>
  </si>
  <si>
    <t xml:space="preserve">https://www.africaradio.com/actualite-115836-coton-africain-pourquoi-les-producteurs-ouest-africains-perdent-ils-du-terrain</t>
  </si>
  <si>
    <t xml:space="preserve">Source régionale secondaire (C)</t>
  </si>
  <si>
    <t xml:space="preserve">Sénégal</t>
  </si>
  <si>
    <t xml:space="preserve">« jusqu'à 350 FCFA » : source secondaire (C)</t>
  </si>
  <si>
    <t xml:space="preserve">COT-BF-2026/27</t>
  </si>
  <si>
    <t xml:space="preserve">2026-04:2026-07</t>
  </si>
  <si>
    <t xml:space="preserve">Prix plancher 2026/27 (310/285) ; source de presse non primaire</t>
  </si>
  <si>
    <t xml:space="preserve">COT-BJ-2026/27</t>
  </si>
  <si>
    <t xml:space="preserve">Gouvernement du Bénin (via Le Matinal) – Campagne 2026-2027 : coton conventionnel 300 FCFA (1er choix), biologique 360 FCFA (CM du 13/05/2026)</t>
  </si>
  <si>
    <t xml:space="preserve">https://lematinal.bj/campagne-cotonniere-2026-2027-le-prix-de-cession-des-intrants-et-dachat-de-coton-graine-homologue/</t>
  </si>
  <si>
    <t xml:space="preserve">Conventionnel 1er choix ; biologique 360</t>
  </si>
  <si>
    <t xml:space="preserve">CAO-CI-2025-01</t>
  </si>
  <si>
    <t xml:space="preserve">Caoutchouc naturel (fonds de tasse)</t>
  </si>
  <si>
    <t xml:space="preserve">Mois 2025-01</t>
  </si>
  <si>
    <t xml:space="preserve">Prix bord champ fixé (APROMAC, loi 2017-540)</t>
  </si>
  <si>
    <t xml:space="preserve">Coagulum humide, DRC de référence 60 %</t>
  </si>
  <si>
    <t xml:space="preserve">2024-12:2024-12</t>
  </si>
  <si>
    <t xml:space="preserve">kg de caoutchouc sec (÷ DRC 60 %)</t>
  </si>
  <si>
    <t xml:space="preserve">INT-TSR-2024-12</t>
  </si>
  <si>
    <t xml:space="preserve">APROMAC (via Yessouan) – Prix caoutchouc Côte d'Ivoire : 442 FCFA/kg en janvier 2025</t>
  </si>
  <si>
    <t xml:space="preserve">https://www.yessouan.ci/Prix-caoutchouc-Cote-d-Ivoire-442-FCFA-kg-en-janvier-2025_a1537.html</t>
  </si>
  <si>
    <t xml:space="preserve">Prix du mois M calculé sur les cours SICOM du mois M-1 ; producteur = 63 % (66 % en 2026) du prix de référence</t>
  </si>
  <si>
    <t xml:space="preserve">Mois 2025-04</t>
  </si>
  <si>
    <t xml:space="preserve">2025-03:2025-03</t>
  </si>
  <si>
    <t xml:space="preserve">INT-TSR-2025-03</t>
  </si>
  <si>
    <t xml:space="preserve">APROMAC (via 7info) – Caoutchouc naturel : prix du kg pour le mois d'avril (438 FCFA)</t>
  </si>
  <si>
    <t xml:space="preserve">https://www.7info.ci/caoutchouc-naturel-voici-le-prix-du-kg-pour-le-mois-davril/</t>
  </si>
  <si>
    <t xml:space="preserve">CAO-CI-2026-01</t>
  </si>
  <si>
    <t xml:space="preserve">Mois 2026-01</t>
  </si>
  <si>
    <t xml:space="preserve">2025-12:2025-12</t>
  </si>
  <si>
    <t xml:space="preserve">INT-TSR-2025-12</t>
  </si>
  <si>
    <t xml:space="preserve">APROMAC (via 7info) – Caoutchouc : nouveaux prix du kg (janv. 352, fév. 368, avr. 401, mai 439, juil. 493 FCFA)</t>
  </si>
  <si>
    <t xml:space="preserve">https://www.7info.ci/caoutchouc-voici-le-nouveau-prix-du-kg/</t>
  </si>
  <si>
    <t xml:space="preserve">CAO-CI-2026-02</t>
  </si>
  <si>
    <t xml:space="preserve">Mois 2026-02</t>
  </si>
  <si>
    <t xml:space="preserve">INT-TSR-2026-01</t>
  </si>
  <si>
    <t xml:space="preserve">CAO-CI-2026-04</t>
  </si>
  <si>
    <t xml:space="preserve">Mois 2026-04</t>
  </si>
  <si>
    <t xml:space="preserve">2026-03:2026-03</t>
  </si>
  <si>
    <t xml:space="preserve">INT-TSR-2026-03</t>
  </si>
  <si>
    <t xml:space="preserve">CAO-CI-2026-05</t>
  </si>
  <si>
    <t xml:space="preserve">Mois 2026-05</t>
  </si>
  <si>
    <t xml:space="preserve">CAO-CI-2026-07</t>
  </si>
  <si>
    <t xml:space="preserve">Mois 2026-07</t>
  </si>
  <si>
    <t xml:space="preserve">Mois 2026-09</t>
  </si>
  <si>
    <t xml:space="preserve">APROMAC (via Business &amp; Actuality) – Prix du caoutchouc : 484 FCFA/kg en septembre 2026</t>
  </si>
  <si>
    <t xml:space="preserve">https://businessactuality.com/cote-divoire-prix-du-caoutchouc-484-fcfa-kg-en-septembre-2026/</t>
  </si>
  <si>
    <t xml:space="preserve">Caoutchouc (cup lump) base 100 % DRC</t>
  </si>
  <si>
    <t xml:space="preserve">Thaïlande</t>
  </si>
  <si>
    <t xml:space="preserve">02/05/2025</t>
  </si>
  <si>
    <t xml:space="preserve">Marché central / bord champ</t>
  </si>
  <si>
    <t xml:space="preserve">Cup lump 100 % DRC (sec)</t>
  </si>
  <si>
    <t xml:space="preserve">THB</t>
  </si>
  <si>
    <t xml:space="preserve">2025-04:2025-04</t>
  </si>
  <si>
    <t xml:space="preserve">BCE (taux croisé)</t>
  </si>
  <si>
    <t xml:space="preserve">INT-TSR-2025-04</t>
  </si>
  <si>
    <t xml:space="preserve">Thai Rubber Association – Prix intérieurs (cup lump 100 %) : 58 THB/kg (2 mai 2025)</t>
  </si>
  <si>
    <t xml:space="preserve">https://www.thainr.com/en/?detail=pr-local</t>
  </si>
  <si>
    <t xml:space="preserve">Comparé au TSR20 du mois précédent, comme pour la Côte d'Ivoire</t>
  </si>
  <si>
    <t xml:space="preserve">Bokar base KKK 100 % (sec)</t>
  </si>
  <si>
    <t xml:space="preserve">Indonésie</t>
  </si>
  <si>
    <t xml:space="preserve">Août 2026 (4 relevés)</t>
  </si>
  <si>
    <t xml:space="preserve">Prix de référence provincial (Sumatra-Sud)</t>
  </si>
  <si>
    <t xml:space="preserve">Bord champ (prix de référence)</t>
  </si>
  <si>
    <t xml:space="preserve">KKK 100 % (sec)</t>
  </si>
  <si>
    <t xml:space="preserve">IDR</t>
  </si>
  <si>
    <t xml:space="preserve">2026-08:2026-08</t>
  </si>
  <si>
    <t xml:space="preserve">Disperindag/Gapkindo Sumatra-Sud (via IDN Times) – Prix de référence KKK 100 % : 38 835 à 42 238 Rp/kg (août 2026)</t>
  </si>
  <si>
    <t xml:space="preserve">https://sumsel.idntimes.com/news/sumatra-selatan/harga-karet-sumsel-kembali-menguat-akhir-agustus-tembus-rp41-ribu-00-pbgds-3n14cx</t>
  </si>
  <si>
    <t xml:space="preserve">Prix de référence non reçu uniformément (dépend du KKK) ; TSR20 juil.-août 2026 non vérifié : pas de taux de transmission calculé</t>
  </si>
  <si>
    <t xml:space="preserve">Régimes de palme (FFB)</t>
  </si>
  <si>
    <t xml:space="preserve">Prix fixé (Conseil Hévéa-Palmier à huile-Coco)</t>
  </si>
  <si>
    <t xml:space="preserve">Régimes frais (planteurs villageois)</t>
  </si>
  <si>
    <t xml:space="preserve">INT-CPO-2026-01</t>
  </si>
  <si>
    <t xml:space="preserve">Conseil Hévéa-Palmier à huile-Coco (via Afrik Soir) – Prix de janvier 2026 : huile de palme brute 620 000 FCFA/t ; régimes bord champ 80 000 FCFA/t</t>
  </si>
  <si>
    <t xml:space="preserve">https://afriksoir.net/cote-divoire-le-conseil-hevea-palmier-a-huile-coco-fixe-les-prix-du-palmier-a-huile-pour-janvier-2026/</t>
  </si>
  <si>
    <t xml:space="preserve">Ratio = prix régime / prix mondial de l'huile brute (pas une transmission au sens strict)</t>
  </si>
  <si>
    <t xml:space="preserve">PAL-CI-CPO-2026-01</t>
  </si>
  <si>
    <t xml:space="preserve">Huile de palme brute (CPO)</t>
  </si>
  <si>
    <t xml:space="preserve">Prix fixé (marché intérieur)</t>
  </si>
  <si>
    <t xml:space="preserve">Départ huilerie</t>
  </si>
  <si>
    <t xml:space="preserve">CPO</t>
  </si>
  <si>
    <t xml:space="preserve">Prix intérieur de l'huile brute comparé au prix mondial (CIF Rotterdam)</t>
  </si>
  <si>
    <t xml:space="preserve">PAL-CI-FFB-2024-Q4</t>
  </si>
  <si>
    <t xml:space="preserve">Octobre-décembre 2024</t>
  </si>
  <si>
    <t xml:space="preserve">Prix fixé (CHP-HC)</t>
  </si>
  <si>
    <t xml:space="preserve">Régimes frais</t>
  </si>
  <si>
    <t xml:space="preserve">2024-10:2024-12</t>
  </si>
  <si>
    <t xml:space="preserve">INT-CPO-2024-Q4</t>
  </si>
  <si>
    <t xml:space="preserve">CHP-HC (via Abidjan Économie) – Huile de palme brute 600 000 FCFA/t ; régimes bord champ 75 000 FCFA/t (oct.-déc. 2024)</t>
  </si>
  <si>
    <t xml:space="preserve">https://www.abidjaneconomie.net/2024/10/19/cote-divoire-nouvelles-tarifications-pour-lhuile-de-palme-brut-et-regimes-de-palme-pour-octobre-a-decembre-2024/</t>
  </si>
  <si>
    <t xml:space="preserve">Régimes de palme (TBS)</t>
  </si>
  <si>
    <t xml:space="preserve">Janvier 2026 (3 semaines)</t>
  </si>
  <si>
    <t xml:space="preserve">Prix de référence provincial (Disbun Riau)</t>
  </si>
  <si>
    <t xml:space="preserve">Livraison usine (planteurs partenaires)</t>
  </si>
  <si>
    <t xml:space="preserve">Palmiers de 10-20 ans</t>
  </si>
  <si>
    <t xml:space="preserve">Disbun Riau (via HaiSawit / Media Center Riau) – Prix TBS (régimes) Riau, palmiers 10-20 ans : 3 496,91 / 3 430,63 / 3 449,84 Rp/kg (janv. 2026)</t>
  </si>
  <si>
    <t xml:space="preserve">https://haisawit.co.id/news/detail/resmi-naik-cek-daftar-harga-sawit-riau-periode-1420-januari-2026</t>
  </si>
  <si>
    <t xml:space="preserve">Prix départ planteur partenaire ; les planteurs indépendants vendent souvent en dessous</t>
  </si>
  <si>
    <t xml:space="preserve">Malaisie</t>
  </si>
  <si>
    <t xml:space="preserve">Moyenne 2025</t>
  </si>
  <si>
    <t xml:space="preserve">Prix de référence MPOB (1 % OER × OER national)</t>
  </si>
  <si>
    <t xml:space="preserve">Départ plantation (référence)</t>
  </si>
  <si>
    <t xml:space="preserve">FFB, OER national 19,74 %</t>
  </si>
  <si>
    <t xml:space="preserve">MYR</t>
  </si>
  <si>
    <t xml:space="preserve">2025-01:2025-12</t>
  </si>
  <si>
    <t xml:space="preserve">INT-CPO-2025</t>
  </si>
  <si>
    <t xml:space="preserve">Malaysian Palm Oil Board (MPOB) – Overview of the Malaysian Oil Palm Industry 2025 : prix des régimes à 1 % OER 47,39 RM ; OER 19,74 %</t>
  </si>
  <si>
    <t xml:space="preserve">https://bepi.mpob.gov.my/images/overview/Overview2025.pdf</t>
  </si>
  <si>
    <t xml:space="preserve">Prix à 1 % OER (47,39 RM) × taux d'extraction national (19,74 %)</t>
  </si>
  <si>
    <t xml:space="preserve">Riz paddy</t>
  </si>
  <si>
    <t xml:space="preserve">Moyenne janv.-déc. 2025</t>
  </si>
  <si>
    <t xml:space="preserve">Prix moyen observé</t>
  </si>
  <si>
    <t xml:space="preserve">Paddy sec (non précisé)</t>
  </si>
  <si>
    <t xml:space="preserve">INT-RIZ-2025</t>
  </si>
  <si>
    <t xml:space="preserve">USDA FAS – Côte d'Ivoire Grain and Feed Annual 2026 : paddy bord champ 233 FCFA/kg en moyenne 2025 (+8,5 %)</t>
  </si>
  <si>
    <t xml:space="preserve">https://apps.fas.usda.gov/newgainapi/api/Report/DownloadReportByFileName?fileName=Grain+and+Feed+Annual_Accra_Cote+d%27Ivoire_IV2026-0003</t>
  </si>
  <si>
    <t xml:space="preserve">+8,5 % par rapport à 2024</t>
  </si>
  <si>
    <t xml:space="preserve">Prix producteur fixé (interprofession)</t>
  </si>
  <si>
    <t xml:space="preserve">Paddy</t>
  </si>
  <si>
    <t xml:space="preserve">USDA FAS – Senegal Grain and Feed Annual 2025 : paddy 130 FCFA/kg + subvention 30 FCFA (prix usinier 160)</t>
  </si>
  <si>
    <t xml:space="preserve">https://apps.fas.usda.gov/newgainapi/api/Report/DownloadReportByFileName?fileName=Grain+and+Feed+Annual_Dakar_Senegal_SG2025-0008.pdf</t>
  </si>
  <si>
    <t xml:space="preserve">Subvention de 30 FCFA/kg depuis 2022 : prix payé par les usiniers 160 FCFA/kg</t>
  </si>
  <si>
    <t xml:space="preserve">Riz paddy frais (IR 50404 / OM 5451)</t>
  </si>
  <si>
    <t xml:space="preserve">Fin 2025</t>
  </si>
  <si>
    <t xml:space="preserve">Prix de marché</t>
  </si>
  <si>
    <t xml:space="preserve">Bord champ (delta du Mékong)</t>
  </si>
  <si>
    <t xml:space="preserve">Paddy frais (humide)</t>
  </si>
  <si>
    <t xml:space="preserve">2025-09:2025-10</t>
  </si>
  <si>
    <t xml:space="preserve">SGGP News – Paddy frais du delta du Mékong : IR 50404 5 400-5 500 ; OM 5451 5 600-5 700 VND/kg (2025)</t>
  </si>
  <si>
    <t xml:space="preserve">https://en.sggp.org.vn/rice-farmers-in-mekong-delta-struggle-as-prices-plunge-yields-decline-post120063.html</t>
  </si>
  <si>
    <t xml:space="preserve">Paddy frais (humidité élevée) : sous-estime le prix du paddy sec ; comparaison indicative</t>
  </si>
  <si>
    <t xml:space="preserve">BAN-EC-2026</t>
  </si>
  <si>
    <t xml:space="preserve">Banane d'exportation (caisse 22XU, 43 lb)</t>
  </si>
  <si>
    <t xml:space="preserve">Année 2026</t>
  </si>
  <si>
    <t xml:space="preserve">Prix minimum de soutien (administré)</t>
  </si>
  <si>
    <t xml:space="preserve">Pied du navire (producteur → exportateur)</t>
  </si>
  <si>
    <t xml:space="preserve">Banane export</t>
  </si>
  <si>
    <t xml:space="preserve">caisse 43 lb</t>
  </si>
  <si>
    <t xml:space="preserve">2026-01:2026-08</t>
  </si>
  <si>
    <t xml:space="preserve">MAGP Équateur, Acuerdo Ministerial 107 (via Agraria.pe) – Prix minimum de soutien 2026 : 7,50 USD la caisse 22XU de 43 lb</t>
  </si>
  <si>
    <t xml:space="preserve">https://agraria.pe/noticias/ecuador-fija-en-us-7-50-el-precio-minimo-de-la-caja-de-banan-40795</t>
  </si>
  <si>
    <t xml:space="preserve">Pas de prix producteur public comparable en Côte d'Ivoire (filière intégrée)</t>
  </si>
  <si>
    <t xml:space="preserve">MAN-CI-2026</t>
  </si>
  <si>
    <t xml:space="preserve">Mangue export (Kent)</t>
  </si>
  <si>
    <t xml:space="preserve">Prix interprofessionnel (Inter-Mangue)</t>
  </si>
  <si>
    <t xml:space="preserve">Station de conditionnement</t>
  </si>
  <si>
    <t xml:space="preserve">Mangue export</t>
  </si>
  <si>
    <t xml:space="preserve">2026-03:2026-06</t>
  </si>
  <si>
    <t xml:space="preserve">Inter-Mangue (via AIP) – Mangue 2026 : prix bord champ maintenu à 2 450 FCFA la caisse ; 220 FCFA/kg en station</t>
  </si>
  <si>
    <t xml:space="preserve">https://www.aip.ci/332817/cote-divoire-aip-filiere-mangue-le-prix-bord-champ-maintenu-a-2-450-fcfa-la-caisse-pour-la-campagne-2026/</t>
  </si>
  <si>
    <t xml:space="preserve">Bord champ : 2 450 FCFA la caisse (poids non publié) : non convertible en FCFA/kg</t>
  </si>
  <si>
    <t xml:space="preserve">MAN-BF-2026</t>
  </si>
  <si>
    <t xml:space="preserve">Gouvernement du Burkina Faso (via leFaso.net) – Campagne fruitière 2026 : anacarde 385 FCFA, mangue 95 FCFA le kg</t>
  </si>
  <si>
    <t xml:space="preserve">https://lefaso.net/spip.php?article144610</t>
  </si>
  <si>
    <t xml:space="preserve">Stade différent du prix ivoirien (station) : pas de comparaison directe</t>
  </si>
  <si>
    <t xml:space="preserve">International</t>
  </si>
  <si>
    <t xml:space="preserve">2016-10 → 2017-03</t>
  </si>
  <si>
    <t xml:space="preserve">Moyenne 2016-10 à 2017-03</t>
  </si>
  <si>
    <t xml:space="preserve">Cours international (moyenne mensuelle)</t>
  </si>
  <si>
    <t xml:space="preserve">Bourses Londres/New York (prix ICCO)</t>
  </si>
  <si>
    <t xml:space="preserve">Standard</t>
  </si>
  <si>
    <t xml:space="preserve">Banque mondiale – Commodity Price Data (Pink Sheet), CMO-Historical-Data-Monthly.xlsx, mise à jour 3 février 2026</t>
  </si>
  <si>
    <t xml:space="preserve">https://www.worldbank.org/en/research/commodity-markets</t>
  </si>
  <si>
    <t xml:space="preserve">Banque mondiale (ICCO) jusqu'en janv. 2026, FMI ensuite</t>
  </si>
  <si>
    <t xml:space="preserve">2017-04 → 2017-09</t>
  </si>
  <si>
    <t xml:space="preserve">Moyenne 2017-04 à 2017-09</t>
  </si>
  <si>
    <t xml:space="preserve">2017-10 → 2018-03</t>
  </si>
  <si>
    <t xml:space="preserve">Moyenne 2017-10 à 2018-03</t>
  </si>
  <si>
    <t xml:space="preserve">2018-04 → 2018-09</t>
  </si>
  <si>
    <t xml:space="preserve">Moyenne 2018-04 à 2018-09</t>
  </si>
  <si>
    <t xml:space="preserve">2018-10 → 2019-03</t>
  </si>
  <si>
    <t xml:space="preserve">Moyenne 2018-10 à 2019-03</t>
  </si>
  <si>
    <t xml:space="preserve">2019-04 → 2019-09</t>
  </si>
  <si>
    <t xml:space="preserve">Moyenne 2019-04 à 2019-09</t>
  </si>
  <si>
    <t xml:space="preserve">2019-10 → 2020-03</t>
  </si>
  <si>
    <t xml:space="preserve">Moyenne 2019-10 à 2020-03</t>
  </si>
  <si>
    <t xml:space="preserve">2020-04 → 2020-09</t>
  </si>
  <si>
    <t xml:space="preserve">Moyenne 2020-04 à 2020-09</t>
  </si>
  <si>
    <t xml:space="preserve">2020-10 → 2021-03</t>
  </si>
  <si>
    <t xml:space="preserve">Moyenne 2020-10 à 2021-03</t>
  </si>
  <si>
    <t xml:space="preserve">2021-04 → 2021-09</t>
  </si>
  <si>
    <t xml:space="preserve">Moyenne 2021-04 à 2021-09</t>
  </si>
  <si>
    <t xml:space="preserve">2021-10 → 2022-03</t>
  </si>
  <si>
    <t xml:space="preserve">Moyenne 2021-10 à 2022-03</t>
  </si>
  <si>
    <t xml:space="preserve">2022-04 → 2022-09</t>
  </si>
  <si>
    <t xml:space="preserve">Moyenne 2022-04 à 2022-09</t>
  </si>
  <si>
    <t xml:space="preserve">2022-10 → 2023-03</t>
  </si>
  <si>
    <t xml:space="preserve">Moyenne 2022-10 à 2023-03</t>
  </si>
  <si>
    <t xml:space="preserve">2023-04 → 2023-09</t>
  </si>
  <si>
    <t xml:space="preserve">Moyenne 2023-04 à 2023-09</t>
  </si>
  <si>
    <t xml:space="preserve">2023-10 → 2024-03</t>
  </si>
  <si>
    <t xml:space="preserve">Moyenne 2023-10 à 2024-03</t>
  </si>
  <si>
    <t xml:space="preserve">2024-04 → 2024-09</t>
  </si>
  <si>
    <t xml:space="preserve">Moyenne 2024-04 à 2024-09</t>
  </si>
  <si>
    <t xml:space="preserve">2024-10 → 2025-03</t>
  </si>
  <si>
    <t xml:space="preserve">Moyenne 2024-10 à 2025-03</t>
  </si>
  <si>
    <t xml:space="preserve">2025-04 → 2025-09</t>
  </si>
  <si>
    <t xml:space="preserve">Moyenne 2025-04 à 2025-09</t>
  </si>
  <si>
    <t xml:space="preserve">2025-10 → 2026-03</t>
  </si>
  <si>
    <t xml:space="preserve">Moyenne 2025-10 à 2026-03</t>
  </si>
  <si>
    <t xml:space="preserve">2026-04 → 2026-08</t>
  </si>
  <si>
    <t xml:space="preserve">Moyenne 2026-04 à 2026-08</t>
  </si>
  <si>
    <t xml:space="preserve">2026-04:2026-08</t>
  </si>
  <si>
    <t xml:space="preserve">Banque mondiale (ICCO) jusqu'en janv. 2026, FMI ensuite ; septembre 2026 non disponible</t>
  </si>
  <si>
    <t xml:space="preserve">2026-01 → 2026-01</t>
  </si>
  <si>
    <t xml:space="preserve">Moyenne 2026-01 à 2026-01</t>
  </si>
  <si>
    <t xml:space="preserve">Cours international (mensuel)</t>
  </si>
  <si>
    <t xml:space="preserve">Prix ICCO</t>
  </si>
  <si>
    <t xml:space="preserve">2026-02 → 2026-02</t>
  </si>
  <si>
    <t xml:space="preserve">Moyenne 2026-02 à 2026-02</t>
  </si>
  <si>
    <t xml:space="preserve">FMI – Primary Commodity Prices (via FRED : PCOCOUSDM, PCOFFROBUSDM)</t>
  </si>
  <si>
    <t xml:space="preserve">https://fred.stlouisfed.org/series/PCOCOUSDM</t>
  </si>
  <si>
    <t xml:space="preserve">2026-08 → 2026-08</t>
  </si>
  <si>
    <t xml:space="preserve">Moyenne 2026-08 à 2026-08</t>
  </si>
  <si>
    <t xml:space="preserve">2026-03 → 2026-04</t>
  </si>
  <si>
    <t xml:space="preserve">Moyenne 2026-03 à 2026-04</t>
  </si>
  <si>
    <t xml:space="preserve">Cours international</t>
  </si>
  <si>
    <t xml:space="preserve">2026-05 → 2026-05</t>
  </si>
  <si>
    <t xml:space="preserve">Moyenne 2026-05 à 2026-05</t>
  </si>
  <si>
    <t xml:space="preserve">2026-06 → 2026-06</t>
  </si>
  <si>
    <t xml:space="preserve">Moyenne 2026-06 à 2026-06</t>
  </si>
  <si>
    <t xml:space="preserve">Café robusta</t>
  </si>
  <si>
    <t xml:space="preserve">2016-10 → 2017-09</t>
  </si>
  <si>
    <t xml:space="preserve">Moyenne 2016-10 à 2017-09</t>
  </si>
  <si>
    <t xml:space="preserve">Cours international (indicateur OIC)</t>
  </si>
  <si>
    <t xml:space="preserve">Ex-dock New York/Le Havre-Marseille</t>
  </si>
  <si>
    <t xml:space="preserve">Robusta (indicateur OIC)</t>
  </si>
  <si>
    <t xml:space="preserve">2017-10 → 2018-09</t>
  </si>
  <si>
    <t xml:space="preserve">Moyenne 2017-10 à 2018-09</t>
  </si>
  <si>
    <t xml:space="preserve">2018-10 → 2019-09</t>
  </si>
  <si>
    <t xml:space="preserve">Moyenne 2018-10 à 2019-09</t>
  </si>
  <si>
    <t xml:space="preserve">2019-10 → 2020-09</t>
  </si>
  <si>
    <t xml:space="preserve">Moyenne 2019-10 à 2020-09</t>
  </si>
  <si>
    <t xml:space="preserve">2020-10 → 2021-09</t>
  </si>
  <si>
    <t xml:space="preserve">Moyenne 2020-10 à 2021-09</t>
  </si>
  <si>
    <t xml:space="preserve">2021-10 → 2022-09</t>
  </si>
  <si>
    <t xml:space="preserve">Moyenne 2021-10 à 2022-09</t>
  </si>
  <si>
    <t xml:space="preserve">2022-10 → 2023-09</t>
  </si>
  <si>
    <t xml:space="preserve">Moyenne 2022-10 à 2023-09</t>
  </si>
  <si>
    <t xml:space="preserve">2023-10 → 2024-09</t>
  </si>
  <si>
    <t xml:space="preserve">Moyenne 2023-10 à 2024-09</t>
  </si>
  <si>
    <t xml:space="preserve">2024-10 → 2025-09</t>
  </si>
  <si>
    <t xml:space="preserve">Moyenne 2024-10 à 2025-09</t>
  </si>
  <si>
    <t xml:space="preserve">2025-10 → 2026-08</t>
  </si>
  <si>
    <t xml:space="preserve">Moyenne 2025-10 à 2026-08</t>
  </si>
  <si>
    <t xml:space="preserve">2025-10:2026-08</t>
  </si>
  <si>
    <t xml:space="preserve">Banque mondiale jusqu'en janv. 2026 ; OIC/FMI ensuite</t>
  </si>
  <si>
    <t xml:space="preserve">2026-07 → 2026-07</t>
  </si>
  <si>
    <t xml:space="preserve">Moyenne 2026-07 à 2026-07</t>
  </si>
  <si>
    <t xml:space="preserve">Ex-dock</t>
  </si>
  <si>
    <t xml:space="preserve">Robusta</t>
  </si>
  <si>
    <t xml:space="preserve">Organisation internationale du café – Coffee Market Report (février et août 2026)</t>
  </si>
  <si>
    <t xml:space="preserve">https://www.ico.org/documents/cy2025-26/cmr-0826-e.pdf</t>
  </si>
  <si>
    <t xml:space="preserve">Coton fibre</t>
  </si>
  <si>
    <t xml:space="preserve">2017-08 → 2018-07</t>
  </si>
  <si>
    <t xml:space="preserve">Moyenne 2017-08 à 2018-07</t>
  </si>
  <si>
    <t xml:space="preserve">Indice Cotlook A</t>
  </si>
  <si>
    <t xml:space="preserve">CFR Extrême-Orient</t>
  </si>
  <si>
    <t xml:space="preserve">Middling 1-1/8"</t>
  </si>
  <si>
    <t xml:space="preserve">Campagne de commercialisation de la fibre (août-juillet)</t>
  </si>
  <si>
    <t xml:space="preserve">2018-08 → 2019-07</t>
  </si>
  <si>
    <t xml:space="preserve">Moyenne 2018-08 à 2019-07</t>
  </si>
  <si>
    <t xml:space="preserve">2019-08 → 2020-07</t>
  </si>
  <si>
    <t xml:space="preserve">Moyenne 2019-08 à 2020-07</t>
  </si>
  <si>
    <t xml:space="preserve">2020-08 → 2021-07</t>
  </si>
  <si>
    <t xml:space="preserve">Moyenne 2020-08 à 2021-07</t>
  </si>
  <si>
    <t xml:space="preserve">2021-08 → 2022-07</t>
  </si>
  <si>
    <t xml:space="preserve">Moyenne 2021-08 à 2022-07</t>
  </si>
  <si>
    <t xml:space="preserve">2022-08 → 2023-07</t>
  </si>
  <si>
    <t xml:space="preserve">Moyenne 2022-08 à 2023-07</t>
  </si>
  <si>
    <t xml:space="preserve">2023-08 → 2024-07</t>
  </si>
  <si>
    <t xml:space="preserve">Moyenne 2023-08 à 2024-07</t>
  </si>
  <si>
    <t xml:space="preserve">2024-08 → 2025-07</t>
  </si>
  <si>
    <t xml:space="preserve">Moyenne 2024-08 à 2025-07</t>
  </si>
  <si>
    <t xml:space="preserve">2025-08 → 2026-01</t>
  </si>
  <si>
    <t xml:space="preserve">Moyenne 2025-08 à 2026-01</t>
  </si>
  <si>
    <t xml:space="preserve">2025-08:2026-01</t>
  </si>
  <si>
    <t xml:space="preserve">Campagne de commercialisation de la fibre (août-juillet) ; 2025/26 : août 2025-janv. 2026 seulement</t>
  </si>
  <si>
    <t xml:space="preserve">Caoutchouc naturel TSR20</t>
  </si>
  <si>
    <t xml:space="preserve">2024-12 → 2024-12</t>
  </si>
  <si>
    <t xml:space="preserve">Moyenne 2024-12 à 2024-12</t>
  </si>
  <si>
    <t xml:space="preserve">Cours SGX-SICOM TSR20 (mensuel)</t>
  </si>
  <si>
    <t xml:space="preserve">FOB (contrat SICOM)</t>
  </si>
  <si>
    <t xml:space="preserve">TSR20 (sec)</t>
  </si>
  <si>
    <t xml:space="preserve">2025-03 → 2025-03</t>
  </si>
  <si>
    <t xml:space="preserve">Moyenne 2025-03 à 2025-03</t>
  </si>
  <si>
    <t xml:space="preserve">2025-04 → 2025-04</t>
  </si>
  <si>
    <t xml:space="preserve">Moyenne 2025-04 à 2025-04</t>
  </si>
  <si>
    <t xml:space="preserve">2025-12 → 2025-12</t>
  </si>
  <si>
    <t xml:space="preserve">Moyenne 2025-12 à 2025-12</t>
  </si>
  <si>
    <t xml:space="preserve">2026-03 → 2026-03</t>
  </si>
  <si>
    <t xml:space="preserve">Moyenne 2026-03 à 2026-03</t>
  </si>
  <si>
    <t xml:space="preserve">SGX – SICOM Rubber Monthly Report – mars 2026</t>
  </si>
  <si>
    <t xml:space="preserve">https://api2.sgx.com/sites/default/files/2026-04/SICOM%20SGX%20March%202026%20.pdf</t>
  </si>
  <si>
    <t xml:space="preserve">Huile de palme brute</t>
  </si>
  <si>
    <t xml:space="preserve">Prix mondial (Malaisie/Indonésie)</t>
  </si>
  <si>
    <t xml:space="preserve">CIF Rotterdam</t>
  </si>
  <si>
    <t xml:space="preserve">2024-10 → 2024-12</t>
  </si>
  <si>
    <t xml:space="preserve">Moyenne 2024-10 à 2024-12</t>
  </si>
  <si>
    <t xml:space="preserve">Prix mondial</t>
  </si>
  <si>
    <t xml:space="preserve">2025-01 → 2025-12</t>
  </si>
  <si>
    <t xml:space="preserve">Moyenne 2025-01 à 2025-12</t>
  </si>
  <si>
    <t xml:space="preserve">Riz blanchi Thaï 5 % brisures (équivalent paddy)</t>
  </si>
  <si>
    <t xml:space="preserve">Prix FOB Bangkok × taux d'usinage</t>
  </si>
  <si>
    <t xml:space="preserve">FOB Bangkok (équivalent paddy)</t>
  </si>
  <si>
    <t xml:space="preserve">Thaï 5 % ; taux d'usinage 65 %</t>
  </si>
  <si>
    <t xml:space="preserve">équivalent paddy (× taux d'usinage)</t>
  </si>
  <si>
    <t xml:space="preserve">Équivalent paddy = prix du riz blanchi × 65 % (paramètre) ; hors fret, assurance et droits</t>
  </si>
  <si>
    <t xml:space="preserve">Cacao – prix producteur Côte d'Ivoire vs Ghana vs cours mondial (FCFA/kg, même demi-campagne)</t>
  </si>
  <si>
    <t xml:space="preserve">Demi-campagne</t>
  </si>
  <si>
    <t xml:space="preserve">Prix Ghana (FCFA/kg)</t>
  </si>
  <si>
    <t xml:space="preserve">Cours mondial ICCO (FCFA/kg)</t>
  </si>
  <si>
    <t xml:space="preserve">Transmission Ghana</t>
  </si>
  <si>
    <t xml:space="preserve">Indice CI (Ghana = 100)</t>
  </si>
  <si>
    <t xml:space="preserve">FCFA/USD</t>
  </si>
  <si>
    <t xml:space="preserve">GHS/USD</t>
  </si>
  <si>
    <t xml:space="preserve">Principale (oct.-mars)</t>
  </si>
  <si>
    <t xml:space="preserve">Intermédiaire (avr.-sept.)</t>
  </si>
  <si>
    <t xml:space="preserve">Ouverture (cours d'août 2026)</t>
  </si>
  <si>
    <t xml:space="preserve">Moyenne 10 campagnes (2016/17-2025/26)</t>
  </si>
  <si>
    <t xml:space="preserve">Moyenne 3 dernières campagnes (2023/24-2025/26)</t>
  </si>
  <si>
    <t xml:space="preserve">Coefficient de variation 10 campagnes</t>
  </si>
  <si>
    <t xml:space="preserve">Lecture : la transmission rapporte le prix bord champ au cours mondial moyen de la même demi-campagne (méthode identique pour les deux pays). Les prix ivoiriens reposent sur des ventes anticipées conclues plusieurs mois avant la campagne (mars-juin 2026 pour 2026/27, source CI_CAC_VENTES) : un décalage est structurel. Demi-campagne intermédiaire 2025/26 : cours moyen avr.-août 2026 (septembre non encore publié).</t>
  </si>
  <si>
    <t xml:space="preserve">Prix officiels ivoiriens : 10 campagnes, nominal et réel (FCFA constants 2025)</t>
  </si>
  <si>
    <t xml:space="preserve">Année d'ouverture</t>
  </si>
  <si>
    <t xml:space="preserve">Inflation CI (%)</t>
  </si>
  <si>
    <t xml:space="preserve">Indice des prix (2015 = 100)</t>
  </si>
  <si>
    <t xml:space="preserve">Source inflation</t>
  </si>
  <si>
    <t xml:space="preserve">Cacao principale</t>
  </si>
  <si>
    <t xml:space="preserve">Cacao intermédiaire</t>
  </si>
  <si>
    <t xml:space="preserve">Coton graine</t>
  </si>
  <si>
    <t xml:space="preserve">Cacao princ. (FCFA 2025)</t>
  </si>
  <si>
    <t xml:space="preserve">Café (FCFA 2025)</t>
  </si>
  <si>
    <t xml:space="preserve">Anacarde (FCFA 2025)</t>
  </si>
  <si>
    <t xml:space="preserve">Coton (FCFA 2025)</t>
  </si>
  <si>
    <t xml:space="preserve">Cours cacao (FCFA/kg, princ.)</t>
  </si>
  <si>
    <t xml:space="preserve">Cours robusta (FCFA/kg, camp.)</t>
  </si>
  <si>
    <t xml:space="preserve">Banque mondiale (WDI, d'après INS)</t>
  </si>
  <si>
    <t xml:space="preserve">Banque mondiale (WDI) ; BCEAO 4,2 %</t>
  </si>
  <si>
    <t xml:space="preserve">Banque mondiale (WDI) ; BCEAO 5,2 %</t>
  </si>
  <si>
    <t xml:space="preserve">Banque mondiale (WDI) ; BCEAO 4,4 %</t>
  </si>
  <si>
    <t xml:space="preserve">BCEAO, Rapport annuel sur l'inflation 2024</t>
  </si>
  <si>
    <t xml:space="preserve">DG Trésor / BCEAO (rapport annuel prix UEMOA 2025)</t>
  </si>
  <si>
    <t xml:space="preserve">IPC 2026 non publié : niveau 2025 conservé</t>
  </si>
  <si>
    <t xml:space="preserve">Variation 2016→2025 (nominal)</t>
  </si>
  <si>
    <t xml:space="preserve">Variation 2016→2025 (réel)</t>
  </si>
  <si>
    <t xml:space="preserve">Variation 2016→2026 (dernier prix connu, nominal)</t>
  </si>
  <si>
    <t xml:space="preserve">Variation 2016→2026 (dernier prix connu, réel)</t>
  </si>
  <si>
    <t xml:space="preserve">Coefficient de variation 2016-2025</t>
  </si>
  <si>
    <t xml:space="preserve">Notes : prix d'ouverture de campagne (le prix intermédiaire du cacao est en colonne F). Déflateur : IPC Côte d'Ivoire de l'année d'ouverture. Coton : série disponible à partir de 2017/18. Café 2016/17 déduit du maintien à 750 FCFA en 2017/18.</t>
  </si>
  <si>
    <t xml:space="preserve">Décomposition de la valeur : du prix international au prix producteur</t>
  </si>
  <si>
    <t xml:space="preserve">Cacao – structure du prix CAF (règle de partage)</t>
  </si>
  <si>
    <t xml:space="preserve">% du CAF</t>
  </si>
  <si>
    <t xml:space="preserve">FCFA/kg (2026/27, si part = 60 %)</t>
  </si>
  <si>
    <t xml:space="preserve">USD/kg</t>
  </si>
  <si>
    <t xml:space="preserve">Source / note</t>
  </si>
  <si>
    <t xml:space="preserve">Prix CAF de référence implicite (prix bord champ ÷ 60 %)</t>
  </si>
  <si>
    <t xml:space="preserve">Calcul : 1 200 FCFA/kg ÷ 60 % (plancher réglementaire). Majorant du CAF si la part producteur dépasse 60 %.</t>
  </si>
  <si>
    <t xml:space="preserve">Producteur (prix bord champ garanti)</t>
  </si>
  <si>
    <t xml:space="preserve">Règle de partage ≥60 % du CAF (Banque mondiale 2019 ; Agence Ecofin 2026)</t>
  </si>
  <si>
    <t xml:space="preserve">Droit unique de sortie (DUS)</t>
  </si>
  <si>
    <t xml:space="preserve">14,6 % du CAF depuis le 16/11/2012 (OMC TPR 2017 ; Banque mondiale 2019)</t>
  </si>
  <si>
    <t xml:space="preserve">Autres prélèvements fiscaux et parafiscaux</t>
  </si>
  <si>
    <t xml:space="preserve">Plafond global ≈22 % du CAF (Banque mondiale 2019) ; 23,2 % observé en 2016/17 (OMC)</t>
  </si>
  <si>
    <t xml:space="preserve">Coûts de commercialisation, transport, conditionnement, marges, fret et assurance (résidu)</t>
  </si>
  <si>
    <t xml:space="preserve">Résidu calculé (dont ≈225 FCFA/kg de marges privées selon la Banque mondiale 2019)</t>
  </si>
  <si>
    <t xml:space="preserve">Pour mémoire : cours mondial ICCO, août 2026 (FCFA/kg)</t>
  </si>
  <si>
    <t xml:space="preserve">Le CAF implicite des ventes anticipées est très inférieur au cours de marché d'août 2026 : décalage dû au calendrier des ventes (mars-juin 2026).</t>
  </si>
  <si>
    <t xml:space="preserve">Anacarde 2026 – du bord champ au CFR Asie</t>
  </si>
  <si>
    <t xml:space="preserve">FCFA/kg</t>
  </si>
  <si>
    <t xml:space="preserve">% du CFR</t>
  </si>
  <si>
    <t xml:space="preserve">Prix plancher bord champ</t>
  </si>
  <si>
    <t xml:space="preserve">Barème 2026 (CCAK)</t>
  </si>
  <si>
    <t xml:space="preserve">Collecte → magasin intérieur</t>
  </si>
  <si>
    <t xml:space="preserve">Plancher magasin intérieur 425</t>
  </si>
  <si>
    <t xml:space="preserve">Magasin intérieur → magasin usine</t>
  </si>
  <si>
    <t xml:space="preserve">Plancher magasin usine 454</t>
  </si>
  <si>
    <t xml:space="preserve">Magasin usine → magasin portuaire</t>
  </si>
  <si>
    <t xml:space="preserve">Plancher magasin portuaire 484</t>
  </si>
  <si>
    <t xml:space="preserve">Droit unique de sortie (5 % de la valeur CAF de référence)</t>
  </si>
  <si>
    <t xml:space="preserve">DUS 5 % depuis le 20/11/2024 (assiette approximée par le CFR)</t>
  </si>
  <si>
    <t xml:space="preserve">Fret maritime, frais portuaires, conditionnement, financement, freinte et marge exportateur (résidu)</t>
  </si>
  <si>
    <t xml:space="preserve">Résidu calculé ; non décomposable faute de données publiques sur les coûts d'exportation</t>
  </si>
  <si>
    <t xml:space="preserve">Prix CFR Vietnam/Inde, noix ivoirienne (avr.-mai 2026)</t>
  </si>
  <si>
    <t xml:space="preserve">Cotation de négoce (fiabilité C) ; valeur unitaire Vietnam toutes origines janv.-avr. 2026 : voir Observations</t>
  </si>
  <si>
    <t xml:space="preserve">Caoutchouc – part du cours mondial (base kg sec)</t>
  </si>
  <si>
    <t xml:space="preserve">Valeur</t>
  </si>
  <si>
    <t xml:space="preserve">Part du prix de référence revenant au producteur (règle 2026)</t>
  </si>
  <si>
    <t xml:space="preserve">63 % jusqu'en 2025 ; 66 % à partir de 2026 (Agence Ecofin)</t>
  </si>
  <si>
    <t xml:space="preserve">Moyenne observée : prix bord champ (sec, DRC 60 %) ÷ TSR20 du mois précédent</t>
  </si>
  <si>
    <t xml:space="preserve">5 couples mois/TSR20 vérifiés (janv. et avr. 2025 ; janv., févr. et avr. 2026)</t>
  </si>
  <si>
    <t xml:space="preserve">Même calcul si le DRC réel est de 66 % (milieu de 65-68 %)</t>
  </si>
  <si>
    <t xml:space="preserve">Un DRC réel supérieur à la convention réduit la rémunération effective par kg sec</t>
  </si>
  <si>
    <t xml:space="preserve">Thaïlande : prix cup lump 100 % DRC ÷ TSR20 (mai 2025)</t>
  </si>
  <si>
    <t xml:space="preserve">Palmier à huile – partage huile/régime</t>
  </si>
  <si>
    <t xml:space="preserve">Ratio</t>
  </si>
  <si>
    <t xml:space="preserve">CI : prix du régime ÷ prix intérieur de l'huile brute (janv. 2026)</t>
  </si>
  <si>
    <t xml:space="preserve">CI : prix du régime ÷ prix mondial de l'huile brute (janv. 2026)</t>
  </si>
  <si>
    <t xml:space="preserve">Indonésie (Riau) : prix du régime ÷ prix mondial de l'huile brute (janv. 2026)</t>
  </si>
  <si>
    <t xml:space="preserve">Malaisie : prix du régime (MPOB) ÷ prix mondial de l'huile brute (2025)</t>
  </si>
  <si>
    <t xml:space="preserve">CI : prix intérieur de l'huile brute ÷ prix mondial (janv. 2026)</t>
  </si>
  <si>
    <t xml:space="preserve">Un ratio &gt;100 % signale un marché intérieur protégé (prix de l'huile supérieur au prix mondial)</t>
  </si>
  <si>
    <t xml:space="preserve">Coton – soutien budgétaire 2025/26</t>
  </si>
  <si>
    <t xml:space="preserve">Subvention exceptionnelle 2025/26 (FCFA)</t>
  </si>
  <si>
    <t xml:space="preserve">Agence Ecofin (0108-130586) : 25,3 Mds FCFA contre 11,9 Mds en 2024/25</t>
  </si>
  <si>
    <t xml:space="preserve">Production de coton graine de référence (t, campagne 2024/25)</t>
  </si>
  <si>
    <t xml:space="preserve">Subvention rapportée au kg de coton graine (FCFA/kg)</t>
  </si>
  <si>
    <t xml:space="preserve">Ordre de grandeur : la production 2025/26 n'étant pas encore publiée, la production 2024/25 sert de dénominateur</t>
  </si>
  <si>
    <t xml:space="preserve">En % du prix d'achat (310 FCFA/kg)</t>
  </si>
  <si>
    <t xml:space="preserve">Positionnement des filières (graphique 1 de la note)</t>
  </si>
  <si>
    <t xml:space="preserve">X : rémunération relative (indice CI, médiane comparateurs = 100)</t>
  </si>
  <si>
    <t xml:space="preserve">Y : taux de transmission (prix CI / référence internationale)</t>
  </si>
  <si>
    <t xml:space="preserve">Taille : valeur brute au producteur (Mds FCFA)</t>
  </si>
  <si>
    <t xml:space="preserve">Ouverture 2026/27 ; transmission vs cours d'août 2026</t>
  </si>
  <si>
    <t xml:space="preserve">2026/27 ; transmission vs robusta d'août 2026</t>
  </si>
  <si>
    <t xml:space="preserve">Campagne 2026 ; transmission vs CFR Asie avr.-mai 2026</t>
  </si>
  <si>
    <t xml:space="preserve">2025/26 ; transmission en équivalent fibre vs indice A</t>
  </si>
  <si>
    <t xml:space="preserve">Sept. 2026 (base sèche) ; transmission = moyenne des couples vérifiés</t>
  </si>
  <si>
    <t xml:space="preserve">Importance économique (valeur brute au producteur) et revenu brut à l'hectare</t>
  </si>
  <si>
    <t xml:space="preserve">Volume (t)</t>
  </si>
  <si>
    <t xml:space="preserve">Libellé</t>
  </si>
  <si>
    <t xml:space="preserve">ID prix</t>
  </si>
  <si>
    <t xml:space="preserve">Valeur brute producteur (Mds FCFA)</t>
  </si>
  <si>
    <t xml:space="preserve">Remarque</t>
  </si>
  <si>
    <t xml:space="preserve">Production 2025/26 (prévision CCC 2,0-2,1 Mt)</t>
  </si>
  <si>
    <t xml:space="preserve">CCC (via CNBC Africa/Reuters) – La Côte d'Ivoire anticipe 2,0-2,1 Mt de cacao en 2025/26 (+10,5 %)</t>
  </si>
  <si>
    <t xml:space="preserve">https://www.cnbcafrica.com/2026/ivory-coast-expects-cocoa-output-to-rise-10-5-in-2025-26-season-regulator-says</t>
  </si>
  <si>
    <t xml:space="preserve">Borne basse de la prévision</t>
  </si>
  <si>
    <t xml:space="preserve">Production commercialisée 2025</t>
  </si>
  <si>
    <t xml:space="preserve">MINADERPV (via AIP) – Production historique de 1 549 221 t de noix de cajou en 2025</t>
  </si>
  <si>
    <t xml:space="preserve">https://www.aip.ci/316955/aip-la-cote-divoire-atteint-une-production-historique-de-1-549-221-tonnes-de-noix-de-cajou-au-titre-de-la-campagne-2025/</t>
  </si>
  <si>
    <t xml:space="preserve">Production ≈1,6 Mt (2023)</t>
  </si>
  <si>
    <t xml:space="preserve">Financial Afrik – Numéro trois mondial du caoutchouc (≈1,6 Mt en 2023)</t>
  </si>
  <si>
    <t xml:space="preserve">https://www.financialafrik.com/2026/01/15/numero-trois-mondial-du-caoutchouc-la-cote-divoire-veut-capter-davantage-de-valeur/</t>
  </si>
  <si>
    <t xml:space="preserve">Base humide supposée (non précisée par la source)</t>
  </si>
  <si>
    <t xml:space="preserve">Coton graine 2024/25</t>
  </si>
  <si>
    <t xml:space="preserve">Agence Ecofin – Croissance modeste de la production cotonnière 2024/2025 : 351 764 t, 984 kg/ha, 357 267 ha</t>
  </si>
  <si>
    <t xml:space="preserve">https://www.agenceecofin.com/actualites-agro/1501-124919-cote-d-ivoire-croissance-modeste-de-la-production-cotonniere-en-2024/2025</t>
  </si>
  <si>
    <t xml:space="preserve">Achats oct. 2024-juin 2025 (effondrement de la production)</t>
  </si>
  <si>
    <t xml:space="preserve">AIP – Filière café-cacao : production de café 24 832 t d'octobre 2024 à juin 2025 (-69,7 %)</t>
  </si>
  <si>
    <t xml:space="preserve">https://www.aip.ci/257515/cote-divoire-aip-la-filiere-cafe-cacao-moteur-de-croissance-economique-face-aux-defis-sociaux-et-environnementaux-feature/</t>
  </si>
  <si>
    <t xml:space="preserve">Rendement (kg/ha)</t>
  </si>
  <si>
    <t xml:space="preserve">Revenu brut (FCFA/ha)</t>
  </si>
  <si>
    <t xml:space="preserve">Wessel &amp; Quist-Wessel (2015), NJAS – Cocoa production in West Africa, a review ; KIT (2018) – Rendements moyens : Côte d'Ivoire ≈500-600 kg/ha ; Ghana ≈400 kg/ha</t>
  </si>
  <si>
    <t xml:space="preserve">https://www.sciencedirect.com/science/article/pii/S1573521415000160</t>
  </si>
  <si>
    <t xml:space="preserve">Agence Ecofin – Burkina Faso : production 2024/2025 (300 000 t ; 865 kg/ha)</t>
  </si>
  <si>
    <t xml:space="preserve">https://www.agenceecofin.com/actualites-agro/2002-126013-au-burkina-faso-la-production-cotonniere-2024/2025-s-annonce-plus-faible-que-prevu</t>
  </si>
  <si>
    <t xml:space="preserve">La Marina (Bénin) – Campagne 2024-2025 : rendements Bénin 1 248 kg/ha, Mali 914 kg/ha</t>
  </si>
  <si>
    <t xml:space="preserve">https://lamarinabj.com/index.php/2025/02/05/campagne-cotonniere-2024-2025-en-afrique-le-benin-peut-il-reprendre-sa-place-de-leader/</t>
  </si>
  <si>
    <t xml:space="preserve">Audit de cohérence (section 18 du cahier des charges)</t>
  </si>
  <si>
    <t xml:space="preserve">Produit</t>
  </si>
  <si>
    <t xml:space="preserve">Qualité</t>
  </si>
  <si>
    <t xml:space="preserve">Stade</t>
  </si>
  <si>
    <t xml:space="preserve">Unité</t>
  </si>
  <si>
    <t xml:space="preserve">Référence internationale</t>
  </si>
  <si>
    <t xml:space="preserve">Source primaire</t>
  </si>
  <si>
    <t xml:space="preserve">Politique publique (soutien)</t>
  </si>
  <si>
    <t xml:space="preserve">Fiscalité</t>
  </si>
  <si>
    <t xml:space="preserve">Verdict</t>
  </si>
  <si>
    <t xml:space="preserve">Cacao CI vs Ghana (2016/17-2026/27)</t>
  </si>
  <si>
    <t xml:space="preserve">OK (même demi-campagne)</t>
  </si>
  <si>
    <t xml:space="preserve">OK</t>
  </si>
  <si>
    <t xml:space="preserve">OK (grade marchand)</t>
  </si>
  <si>
    <t xml:space="preserve">OK (bord champ)</t>
  </si>
  <si>
    <t xml:space="preserve">OK (GH¢/t → kg)</t>
  </si>
  <si>
    <t xml:space="preserve">OK (BRI/BoG mensuel)</t>
  </si>
  <si>
    <t xml:space="preserve">OK (ICCO, même période)</t>
  </si>
  <si>
    <t xml:space="preserve">Partiel (presse relayant CCC/COCOBOD)</t>
  </si>
  <si>
    <t xml:space="preserve">Ghana : 70 % FOB légal ; CI : ventes anticipées, rachat de stocks 2026</t>
  </si>
  <si>
    <t xml:space="preserve">CI : DUS 14,6 % + ≈7 % ; Ghana : non documenté</t>
  </si>
  <si>
    <t xml:space="preserve">Comparaison directe</t>
  </si>
  <si>
    <t xml:space="preserve">Cacao CI vs Cameroun / Nigeria / Équateur</t>
  </si>
  <si>
    <t xml:space="preserve">Partiel (points de marché)</t>
  </si>
  <si>
    <t xml:space="preserve">Différente (Équateur)</t>
  </si>
  <si>
    <t xml:space="preserve">OK (quintal → kg)</t>
  </si>
  <si>
    <t xml:space="preserve">Non (presse/secondaire)</t>
  </si>
  <si>
    <t xml:space="preserve">Marchés libéralisés</t>
  </si>
  <si>
    <t xml:space="preserve">Non documentée</t>
  </si>
  <si>
    <t xml:space="preserve">Café CI vs Vietnam / Ouganda</t>
  </si>
  <si>
    <t xml:space="preserve">Proche (juil.-sept. 2026)</t>
  </si>
  <si>
    <t xml:space="preserve">OK (café vert)</t>
  </si>
  <si>
    <t xml:space="preserve">OK (FAQ)</t>
  </si>
  <si>
    <t xml:space="preserve">Partiel (UGX source C)</t>
  </si>
  <si>
    <t xml:space="preserve">OK (OIC)</t>
  </si>
  <si>
    <t xml:space="preserve">Ouganda : UCDA (A)</t>
  </si>
  <si>
    <t xml:space="preserve">CI : prix administré (subvention 2019/20)</t>
  </si>
  <si>
    <t xml:space="preserve">Directe (Vietnam) / directe-prudente (Ouganda)</t>
  </si>
  <si>
    <t xml:space="preserve">Anacarde CI vs UEMOA / Ghana</t>
  </si>
  <si>
    <t xml:space="preserve">OK (campagne 2026)</t>
  </si>
  <si>
    <t xml:space="preserve">OK (noix brute)</t>
  </si>
  <si>
    <t xml:space="preserve">Partiel (KOR Ghana spécifié)</t>
  </si>
  <si>
    <t xml:space="preserve">Partiel (cotation de négoce)</t>
  </si>
  <si>
    <t xml:space="preserve">Ghana TCDA (A)</t>
  </si>
  <si>
    <t xml:space="preserve">Prix planchers non toujours respectés</t>
  </si>
  <si>
    <t xml:space="preserve">CI : DUS 5 %</t>
  </si>
  <si>
    <t xml:space="preserve">Anacarde CI vs Tanzanie</t>
  </si>
  <si>
    <t xml:space="preserve">Décalée (oct.-janv.)</t>
  </si>
  <si>
    <t xml:space="preserve">Différente (KOR élevé)</t>
  </si>
  <si>
    <t xml:space="preserve">Différent (magasin primaire)</t>
  </si>
  <si>
    <t xml:space="preserve">Approx. (C)</t>
  </si>
  <si>
    <t xml:space="preserve">Partiel</t>
  </si>
  <si>
    <t xml:space="preserve">Non</t>
  </si>
  <si>
    <t xml:space="preserve">Système d'enchères</t>
  </si>
  <si>
    <t xml:space="preserve">Coton CI vs UEMOA</t>
  </si>
  <si>
    <t xml:space="preserve">OK (2025/26)</t>
  </si>
  <si>
    <t xml:space="preserve">OK (coton graine 1er choix)</t>
  </si>
  <si>
    <t xml:space="preserve">OK (même devise)</t>
  </si>
  <si>
    <t xml:space="preserve">OK (indice A, éq. fibre)</t>
  </si>
  <si>
    <t xml:space="preserve">Partiel (Sofitex A ; autres B/C)</t>
  </si>
  <si>
    <t xml:space="preserve">CI : subvention 25,3 Mds FCFA</t>
  </si>
  <si>
    <t xml:space="preserve">Caoutchouc CI vs Thaïlande / Indonésie</t>
  </si>
  <si>
    <t xml:space="preserve">Décalée (mai 2025 / août 2026)</t>
  </si>
  <si>
    <t xml:space="preserve">Converti en base sèche (DRC 60 %)</t>
  </si>
  <si>
    <t xml:space="preserve">Proche</t>
  </si>
  <si>
    <t xml:space="preserve">OK (kg sec)</t>
  </si>
  <si>
    <t xml:space="preserve">OK (BCE)</t>
  </si>
  <si>
    <t xml:space="preserve">Partiel (TSR20 2026 incomplet)</t>
  </si>
  <si>
    <t xml:space="preserve">Non (presse)</t>
  </si>
  <si>
    <t xml:space="preserve">Thaïlande : soutiens ponctuels</t>
  </si>
  <si>
    <t xml:space="preserve">Palmier CI vs Indonésie / Malaisie</t>
  </si>
  <si>
    <t xml:space="preserve">Proche (janv. 2026 / 2025)</t>
  </si>
  <si>
    <t xml:space="preserve">OK (régimes)</t>
  </si>
  <si>
    <t xml:space="preserve">Partiel (OER différents)</t>
  </si>
  <si>
    <t xml:space="preserve">Différent (bord champ / usine)</t>
  </si>
  <si>
    <t xml:space="preserve">OK (CIF Rotterdam)</t>
  </si>
  <si>
    <t xml:space="preserve">Malaisie MPOB (A)</t>
  </si>
  <si>
    <t xml:space="preserve">Prix administré CI ; prélèvements export Indonésie</t>
  </si>
  <si>
    <t xml:space="preserve">Taxes export Indonésie non retraitées</t>
  </si>
  <si>
    <t xml:space="preserve">Riz CI vs Sénégal / Vietnam / parité FOB (riz thaï)</t>
  </si>
  <si>
    <t xml:space="preserve">OK (2025)</t>
  </si>
  <si>
    <t xml:space="preserve">OK (paddy)</t>
  </si>
  <si>
    <t xml:space="preserve">Partiel (paddy frais VN)</t>
  </si>
  <si>
    <t xml:space="preserve">Partiel (FOB Bangkok, hors fret)</t>
  </si>
  <si>
    <t xml:space="preserve">USDA (A)</t>
  </si>
  <si>
    <t xml:space="preserve">Sénégal : subvention 30 FCFA/kg</t>
  </si>
  <si>
    <t xml:space="preserve">Droits à l'importation non retraités</t>
  </si>
  <si>
    <t xml:space="preserve">Directe (Sénégal) / indicative (Vietnam)</t>
  </si>
  <si>
    <t xml:space="preserve">Banane, mangue, ananas, vivriers</t>
  </si>
  <si>
    <t xml:space="preserve">Données insuffisantes</t>
  </si>
  <si>
    <t xml:space="preserve">Clé</t>
  </si>
  <si>
    <t xml:space="preserve">Institution</t>
  </si>
  <si>
    <t xml:space="preserve">Titre / contenu utilisé</t>
  </si>
  <si>
    <t xml:space="preserve">Type</t>
  </si>
  <si>
    <t xml:space="preserve">BCE_FX</t>
  </si>
  <si>
    <t xml:space="preserve">Banque centrale européenne</t>
  </si>
  <si>
    <t xml:space="preserve">Taux de référence quotidiens (eurofxref-hist), parité fixe 655,957 FCFA/EUR</t>
  </si>
  <si>
    <t xml:space="preserve">https://www.ecb.europa.eu/stats/policy_and_exchange_rates/euro_reference_exchange_rates/html/index.en.html</t>
  </si>
  <si>
    <t xml:space="preserve">Banque centrale</t>
  </si>
  <si>
    <t xml:space="preserve">BF_ANA_2026</t>
  </si>
  <si>
    <t xml:space="preserve">Gouvernement du Burkina Faso (via Sika Finance)</t>
  </si>
  <si>
    <t xml:space="preserve">Prix bord champ de la noix de cajou maintenu à 385 FCFA/kg (2026)</t>
  </si>
  <si>
    <t xml:space="preserve">Presse (annonce officielle)</t>
  </si>
  <si>
    <t xml:space="preserve">BF_COT_2526</t>
  </si>
  <si>
    <t xml:space="preserve">SOFITEX (Burkina Faso)</t>
  </si>
  <si>
    <t xml:space="preserve">Campagne 2025-2026 : engrais 17 500 FCFA, kg de coton 325 FCFA</t>
  </si>
  <si>
    <t xml:space="preserve">Officielle (société cotonnière)</t>
  </si>
  <si>
    <t xml:space="preserve">BF_COT_PROD</t>
  </si>
  <si>
    <t xml:space="preserve">Agence Ecofin</t>
  </si>
  <si>
    <t xml:space="preserve">Burkina Faso : production 2024/2025 (300 000 t ; 865 kg/ha)</t>
  </si>
  <si>
    <t xml:space="preserve">Presse</t>
  </si>
  <si>
    <t xml:space="preserve">BF_MAN_2026</t>
  </si>
  <si>
    <t xml:space="preserve">Gouvernement du Burkina Faso (via leFaso.net)</t>
  </si>
  <si>
    <t xml:space="preserve">Campagne fruitière 2026 : anacarde 385 FCFA, mangue 95 FCFA le kg</t>
  </si>
  <si>
    <t xml:space="preserve">BJ_COT_2526</t>
  </si>
  <si>
    <t xml:space="preserve">Gouvernement du Bénin (via La Nation)</t>
  </si>
  <si>
    <t xml:space="preserve">Campagne cotonnière 2025-2026 : prix des insecticides et du coton graine homologués (300 FCFA)</t>
  </si>
  <si>
    <t xml:space="preserve">Presse publique (annonce officielle)</t>
  </si>
  <si>
    <t xml:space="preserve">BJ_COT_2627</t>
  </si>
  <si>
    <t xml:space="preserve">Gouvernement du Bénin (via Le Matinal)</t>
  </si>
  <si>
    <t xml:space="preserve">Campagne 2026-2027 : coton conventionnel 300 FCFA (1er choix), biologique 360 FCFA (CM du 13/05/2026)</t>
  </si>
  <si>
    <t xml:space="preserve">BM_CACAO_2019</t>
  </si>
  <si>
    <t xml:space="preserve">Banque mondiale</t>
  </si>
  <si>
    <t xml:space="preserve">Situation économique en Côte d'Ivoire : au pays du cacao (2019) – part producteur ≥60 % CAF, prélèvements ≈22 % CAF</t>
  </si>
  <si>
    <t xml:space="preserve">https://documents1.worldbank.org/curated/en/277191561741906355/pdf/Cote-dIvoire-Economic-Update.pdf</t>
  </si>
  <si>
    <t xml:space="preserve">Institution internationale</t>
  </si>
  <si>
    <t xml:space="preserve">BM_PINK</t>
  </si>
  <si>
    <t xml:space="preserve">Commodity Price Data (Pink Sheet), CMO-Historical-Data-Monthly.xlsx, mise à jour 3 février 2026</t>
  </si>
  <si>
    <t xml:space="preserve">BOG_FX</t>
  </si>
  <si>
    <t xml:space="preserve">Banque du Ghana</t>
  </si>
  <si>
    <t xml:space="preserve">Taux interbancaires moyens mensuels 2026</t>
  </si>
  <si>
    <t xml:space="preserve">https://www.bog.gov.gh/economic-data/exchange-rate/</t>
  </si>
  <si>
    <t xml:space="preserve">BRI_FX</t>
  </si>
  <si>
    <t xml:space="preserve">Banque des règlements internationaux</t>
  </si>
  <si>
    <t xml:space="preserve">US dollar exchange rates (WS_XRU), moyennes mensuelles</t>
  </si>
  <si>
    <t xml:space="preserve">https://data.bis.org/topics/XRU</t>
  </si>
  <si>
    <t xml:space="preserve">CI_ANA_2016</t>
  </si>
  <si>
    <t xml:space="preserve">Gouvernement (via Abidjan.net)</t>
  </si>
  <si>
    <t xml:space="preserve">Anacarde : le prix du kilogramme fixé à 350 FCFA (2016)</t>
  </si>
  <si>
    <t xml:space="preserve">CI_ANA_2017</t>
  </si>
  <si>
    <t xml:space="preserve">CCA (via allAfrica)</t>
  </si>
  <si>
    <t xml:space="preserve">Campagne cajou 2017 : mesures arrêtées par le Conseil du coton et de l'anacarde (440 FCFA)</t>
  </si>
  <si>
    <t xml:space="preserve">CI_ANA_2018</t>
  </si>
  <si>
    <t xml:space="preserve">CCA (via Financial Afrik)</t>
  </si>
  <si>
    <t xml:space="preserve">La campagne de commercialisation des noix de cajou s'annonce sous de bons auspices en 2018 (500 FCFA)</t>
  </si>
  <si>
    <t xml:space="preserve">CI_ANA_2019</t>
  </si>
  <si>
    <t xml:space="preserve">Gouvernement (via Fraternité Matin)</t>
  </si>
  <si>
    <t xml:space="preserve">Noix de cajou : le prix fixé à 375 FCFA/kg pour la campagne 2019</t>
  </si>
  <si>
    <t xml:space="preserve">CI_ANA_2020</t>
  </si>
  <si>
    <t xml:space="preserve">Anacarde : le prix bord champ fixé à 400 FCFA le kg (2020)</t>
  </si>
  <si>
    <t xml:space="preserve">CI_ANA_2023</t>
  </si>
  <si>
    <t xml:space="preserve">Le prix de la noix de cajou fixé à 315 FCFA/kg (2023)</t>
  </si>
  <si>
    <t xml:space="preserve">CI_ANA_2024</t>
  </si>
  <si>
    <t xml:space="preserve">MINADERPV (via AIP)</t>
  </si>
  <si>
    <t xml:space="preserve">Le prix bord champ du kg de l'anacarde fixé à 275 FCFA (campagne 2024)</t>
  </si>
  <si>
    <t xml:space="preserve">Agence de presse publique</t>
  </si>
  <si>
    <t xml:space="preserve">CI_ANA_2025</t>
  </si>
  <si>
    <t xml:space="preserve">MINADERPV (via KOACI)</t>
  </si>
  <si>
    <t xml:space="preserve">Anacarde : prix bord-champ fixé à 425 FCFA (+54 %), campagne 2025</t>
  </si>
  <si>
    <t xml:space="preserve">CI_ANA_2026</t>
  </si>
  <si>
    <t xml:space="preserve">MINADERPV (via Agence Ecofin)</t>
  </si>
  <si>
    <t xml:space="preserve">Baisse de 6 % du prix minimum bord champ de la noix de cajou en 2026 (400 FCFA)</t>
  </si>
  <si>
    <t xml:space="preserve">CI_ANA_2122</t>
  </si>
  <si>
    <t xml:space="preserve">CCA (via Abidjan.net)</t>
  </si>
  <si>
    <t xml:space="preserve">Démarrage de la campagne 2022 de commercialisation de la noix de cajou (prix plancher 305 FCFA, inchangé depuis 2021)</t>
  </si>
  <si>
    <t xml:space="preserve">CI_ANA_BAREME</t>
  </si>
  <si>
    <t xml:space="preserve">Gouvernement / CCAK (via Abidjan.net)</t>
  </si>
  <si>
    <t xml:space="preserve">Prix planchers 2026 : bord champ 400, magasin intérieur 425, magasin usine 454, magasin portuaire 484 FCFA/kg</t>
  </si>
  <si>
    <t xml:space="preserve">CI_ANA_DUS</t>
  </si>
  <si>
    <t xml:space="preserve">AIP</t>
  </si>
  <si>
    <t xml:space="preserve">Le droit unique de sortie de la noix de cajou brute désormais fixé à 5 % (20/11/2024)</t>
  </si>
  <si>
    <t xml:space="preserve">https://www.aip.ci/127213/cote-divoire-aip-le-droit-unique-de-sortie-de-la-noix-de-cajou-brute-desormais-fixe-a-5/</t>
  </si>
  <si>
    <t xml:space="preserve">CI_ANA_EXP</t>
  </si>
  <si>
    <t xml:space="preserve">Fraternité Matin (via allAfrica)</t>
  </si>
  <si>
    <t xml:space="preserve">Filière cajou : &gt;860 000 t de noix brutes exportées en 2025 ; exportations d'amandes ≈350 Mds FCFA</t>
  </si>
  <si>
    <t xml:space="preserve">https://fr.allafrica.com/stories/202601200594.html</t>
  </si>
  <si>
    <t xml:space="preserve">CI_ANA_PROD</t>
  </si>
  <si>
    <t xml:space="preserve">Production historique de 1 549 221 t de noix de cajou en 2025</t>
  </si>
  <si>
    <t xml:space="preserve">CI_ANA_PROD26</t>
  </si>
  <si>
    <t xml:space="preserve">Cardassilaris (négociant)</t>
  </si>
  <si>
    <t xml:space="preserve">Récolte RCN Côte d'Ivoire 2026 ≈1,46 Mt</t>
  </si>
  <si>
    <t xml:space="preserve">Secondaire (commerce)</t>
  </si>
  <si>
    <t xml:space="preserve">CI_ANA_REAL</t>
  </si>
  <si>
    <t xml:space="preserve">Campagne anacarde 2026 : près de 15 Mds FCFA de revenus à Niakara (prix moyen 416 FCFA/kg)</t>
  </si>
  <si>
    <t xml:space="preserve">CI_ANA_TRANSFO</t>
  </si>
  <si>
    <t xml:space="preserve">Côte d'Ivoire : achat de noix réservé aux transformateurs locaux du 9 février au 16 mars 2026 (Le Patriote)</t>
  </si>
  <si>
    <t xml:space="preserve">https://lepatriote.ci/filiere-anacarde-lachat-des-noix-de-cajou-exclusivement-reserve-aux-transformateurs-locaux-du-9-fevrier-au-16-mars-2026-au-titre-de-la-campagne-2026</t>
  </si>
  <si>
    <t xml:space="preserve">CI_ANN_EXP</t>
  </si>
  <si>
    <t xml:space="preserve">Xinhua</t>
  </si>
  <si>
    <t xml:space="preserve">Exportations d'ananas : 23 557 t en 2023 (-27 %)</t>
  </si>
  <si>
    <t xml:space="preserve">https://english.news.cn/africa/20240128/f58bff004ef74e1da7107042c6132b2c/c.html</t>
  </si>
  <si>
    <t xml:space="preserve">CI_BAN_EXP</t>
  </si>
  <si>
    <t xml:space="preserve">Exportations ivoiriennes de bananes : 271 000 t en 2025 (+7 %)</t>
  </si>
  <si>
    <t xml:space="preserve">https://www.ecofinagency.com/news-agriculture/0402-52550-african-banana-exports-rise-5-as-ghana-takes-lead</t>
  </si>
  <si>
    <t xml:space="preserve">CI_CAC_1617I</t>
  </si>
  <si>
    <t xml:space="preserve">CCC (via Connectionivoirienne)</t>
  </si>
  <si>
    <t xml:space="preserve">Prix bord champ du cacao pour la campagne intermédiaire fixé à 700 FCFA</t>
  </si>
  <si>
    <t xml:space="preserve">CI_CAC_1617P</t>
  </si>
  <si>
    <t xml:space="preserve">CCC / Gouvernement (via Connectionivoirienne)</t>
  </si>
  <si>
    <t xml:space="preserve">Le kilo de cacao à 1 100 FCFA pour la campagne 2016-2017</t>
  </si>
  <si>
    <t xml:space="preserve">CI_CAC_1718</t>
  </si>
  <si>
    <t xml:space="preserve">Le prix d'achat au producteur de cacao maintenu à 700 FCFA (campagne intermédiaire 2017-2018)</t>
  </si>
  <si>
    <t xml:space="preserve">CI_CAC_1819I</t>
  </si>
  <si>
    <t xml:space="preserve">Gouvernement (via Afrique-sur7)</t>
  </si>
  <si>
    <t xml:space="preserve">Le gouvernement maintient le prix du cacao à 750 FCFA pour la campagne intermédiaire</t>
  </si>
  <si>
    <t xml:space="preserve">CI_CAC_1819P</t>
  </si>
  <si>
    <t xml:space="preserve">CCC (via Agence Ecofin)</t>
  </si>
  <si>
    <t xml:space="preserve">Cocoa farm-gate price set to CFA750 per kilo for 2018/2019 season</t>
  </si>
  <si>
    <t xml:space="preserve">CI_CAC_1920I</t>
  </si>
  <si>
    <t xml:space="preserve">Le prix bord champ du cacao maintenu à 825 FCFA/kg pour la petite traite (le prix de marché aurait été de 625 FCFA)</t>
  </si>
  <si>
    <t xml:space="preserve">CI_CAC_1920P</t>
  </si>
  <si>
    <t xml:space="preserve">Le prix du kg de cacao fixé à 825 FCFA pour la campagne 2019-2020</t>
  </si>
  <si>
    <t xml:space="preserve">CI_CAC_2021I</t>
  </si>
  <si>
    <t xml:space="preserve">CCC (via KOACI)</t>
  </si>
  <si>
    <t xml:space="preserve">Cacao : le Conseil fixe le kg de la fève à 750 FCFA pour la campagne intermédiaire</t>
  </si>
  <si>
    <t xml:space="preserve">CI_CAC_2021P</t>
  </si>
  <si>
    <t xml:space="preserve">CCC (via BusinessWorld/Reuters)</t>
  </si>
  <si>
    <t xml:space="preserve">Ivory Coast raises 2020/21 cocoa farmgate price by 21% (1 000 FCFA/kg)</t>
  </si>
  <si>
    <t xml:space="preserve">CI_CAC_2122I</t>
  </si>
  <si>
    <t xml:space="preserve">CCC (via Abidjan.net)</t>
  </si>
  <si>
    <t xml:space="preserve">Le prix du kg de cacao pour la campagne intermédiaire maintenu à 825 FCFA</t>
  </si>
  <si>
    <t xml:space="preserve">CI_CAC_2122P</t>
  </si>
  <si>
    <t xml:space="preserve">Le prix bord-champ du café fixé à 700 FCFA/kg, le cacao à 825 FCFA</t>
  </si>
  <si>
    <t xml:space="preserve">CI_CAC_2223I</t>
  </si>
  <si>
    <t xml:space="preserve">CCC (via ConfectioneryNews)</t>
  </si>
  <si>
    <t xml:space="preserve">Mid-crop 2022/23 farmgate price unchanged at 900 XOF/kg</t>
  </si>
  <si>
    <t xml:space="preserve">CI_CAC_2223P</t>
  </si>
  <si>
    <t xml:space="preserve">CCC (via Further Africa/Reuters)</t>
  </si>
  <si>
    <t xml:space="preserve">Ivory Coast raises cocoa farmgate price by 9% for 2022/2023 (900 FCFA/kg)</t>
  </si>
  <si>
    <t xml:space="preserve">CI_CAC_2324I</t>
  </si>
  <si>
    <t xml:space="preserve">CCC (via FoodBev/Reuters)</t>
  </si>
  <si>
    <t xml:space="preserve">Ivory Coast raises cocoa farmgate price by 50% (1 500 FCFA/kg, avril 2024)</t>
  </si>
  <si>
    <t xml:space="preserve">CI_CAC_2324P</t>
  </si>
  <si>
    <t xml:space="preserve">CCC (via Sika Finance)</t>
  </si>
  <si>
    <t xml:space="preserve">Des prix d'achat de 1 000 FCFA/kg pour le cacao et 900 FCFA/kg pour le café</t>
  </si>
  <si>
    <t xml:space="preserve">CI_CAC_2425I</t>
  </si>
  <si>
    <t xml:space="preserve">CCC (via allAfrica/Fraternité Matin)</t>
  </si>
  <si>
    <t xml:space="preserve">Le prix d'achat aux planteurs fixé à 2 200 FCFA, un nouveau record</t>
  </si>
  <si>
    <t xml:space="preserve">CI_CAC_2425P</t>
  </si>
  <si>
    <t xml:space="preserve">Côte d'Ivoire : 1 800 FCFA le kg de cacao pour la campagne principale 2024/2025</t>
  </si>
  <si>
    <t xml:space="preserve">CI_CAC_2526I</t>
  </si>
  <si>
    <t xml:space="preserve">MINADERPV / CCC (via KOACI)</t>
  </si>
  <si>
    <t xml:space="preserve">Cacao : prix bord champ fixé à 1 200 FCFA/kg pour la campagne intermédiaire 2025-2026</t>
  </si>
  <si>
    <t xml:space="preserve">CI_CAC_2526P</t>
  </si>
  <si>
    <t xml:space="preserve">Présidence / CCC (via AIP)</t>
  </si>
  <si>
    <t xml:space="preserve">Campagne 2025-2026 : prix bord champ du cacao 2 800 FCFA/kg et café 1 700 FCFA/kg</t>
  </si>
  <si>
    <t xml:space="preserve">CI_CAC_2627P</t>
  </si>
  <si>
    <t xml:space="preserve">Gouvernement de Côte d'Ivoire (portail officiel)</t>
  </si>
  <si>
    <t xml:space="preserve">Campagne principale 2026-2027 : cacao 1 200 FCFA/kg, café 1 300 FCFA/kg</t>
  </si>
  <si>
    <t xml:space="preserve">Officielle primaire</t>
  </si>
  <si>
    <t xml:space="preserve">CI_CAC_PROD</t>
  </si>
  <si>
    <t xml:space="preserve">CCC (via CNBC Africa/Reuters)</t>
  </si>
  <si>
    <t xml:space="preserve">La Côte d'Ivoire anticipe 2,0-2,1 Mt de cacao en 2025/26 (+10,5 %)</t>
  </si>
  <si>
    <t xml:space="preserve">CI_CAC_STOCKS</t>
  </si>
  <si>
    <t xml:space="preserve">7info / allAfrica</t>
  </si>
  <si>
    <t xml:space="preserve">123 000 t invendues (janv. 2026), ~200 000 t fin février 2026 ; dispositif d'achat public</t>
  </si>
  <si>
    <t xml:space="preserve">https://www.7info.ci/123-000-tonnes-invendues-etat-ivoirien-dispositif-achat-cacao/</t>
  </si>
  <si>
    <t xml:space="preserve">CI_CAC_VENTES</t>
  </si>
  <si>
    <t xml:space="preserve">Reuters (via CNBC Africa) ; Agence Ecofin</t>
  </si>
  <si>
    <t xml:space="preserve">Prix 2026/27 fondé sur &gt;1,1 Mt de ventes anticipées mars-juin 2026 ; règle ≥60 % CAF (≥50 % en baisse)</t>
  </si>
  <si>
    <t xml:space="preserve">https://www.cnbcafrica.com/2026/ivory-coast-sets-cocoa-farmgate-price-at-1200-cfa-francs-per-kg-for-2026-27-main-crop-official-says</t>
  </si>
  <si>
    <t xml:space="preserve">CI_CAF_1718</t>
  </si>
  <si>
    <t xml:space="preserve">Le prix du kg de café reste inchangé à 750 FCFA pour la campagne 2017-2018</t>
  </si>
  <si>
    <t xml:space="preserve">CI_CAF_1819</t>
  </si>
  <si>
    <t xml:space="preserve">Prix du café 2018-2019 : 700 FCFA/kg (baisse de 50 FCFA)</t>
  </si>
  <si>
    <t xml:space="preserve">CI_CAF_1920</t>
  </si>
  <si>
    <t xml:space="preserve">Café 2019-2020 fixé à 700 FCFA ; maintien permis par une subvention de 32 Mds FCFA (prix de marché : 473 FCFA)</t>
  </si>
  <si>
    <t xml:space="preserve">CI_CAF_2021</t>
  </si>
  <si>
    <t xml:space="preserve">Café : prix bord champ fixé à 550 FCFA/kg (campagne 2020-2021, 28/12/2020)</t>
  </si>
  <si>
    <t xml:space="preserve">CI_CAF_2223</t>
  </si>
  <si>
    <t xml:space="preserve">Campagne 2022-2023 : cacao 900 FCFA, café 750 FCFA</t>
  </si>
  <si>
    <t xml:space="preserve">CI_CAF_2324</t>
  </si>
  <si>
    <t xml:space="preserve">Campagne 2023-2024 : cacao 1 000 FCFA, café 900 FCFA</t>
  </si>
  <si>
    <t xml:space="preserve">CI_CAF_2425</t>
  </si>
  <si>
    <t xml:space="preserve">Hausse de plus de 66 % du prix bord champ du café en 2024/2025 (1 500 FCFA)</t>
  </si>
  <si>
    <t xml:space="preserve">CI_CAF_PROD</t>
  </si>
  <si>
    <t xml:space="preserve">Filière café-cacao : production de café 24 832 t d'octobre 2024 à juin 2025 (-69,7 %)</t>
  </si>
  <si>
    <t xml:space="preserve">CI_CAO_0125</t>
  </si>
  <si>
    <t xml:space="preserve">APROMAC (via Yessouan)</t>
  </si>
  <si>
    <t xml:space="preserve">Prix caoutchouc Côte d'Ivoire : 442 FCFA/kg en janvier 2025</t>
  </si>
  <si>
    <t xml:space="preserve">Presse (prix officiel)</t>
  </si>
  <si>
    <t xml:space="preserve">CI_CAO_0425</t>
  </si>
  <si>
    <t xml:space="preserve">APROMAC (via 7info)</t>
  </si>
  <si>
    <t xml:space="preserve">Caoutchouc naturel : prix du kg pour le mois d'avril (438 FCFA)</t>
  </si>
  <si>
    <t xml:space="preserve">CI_CAO_0926</t>
  </si>
  <si>
    <t xml:space="preserve">APROMAC (via Business &amp; Actuality)</t>
  </si>
  <si>
    <t xml:space="preserve">Prix du caoutchouc : 484 FCFA/kg en septembre 2026</t>
  </si>
  <si>
    <t xml:space="preserve">CI_CAO_2026</t>
  </si>
  <si>
    <t xml:space="preserve">Caoutchouc : nouveaux prix du kg (janv. 352, fév. 368, avr. 401, mai 439, juil. 493 FCFA)</t>
  </si>
  <si>
    <t xml:space="preserve">CI_CAO_DRC</t>
  </si>
  <si>
    <t xml:space="preserve">Business &amp; Actuality</t>
  </si>
  <si>
    <t xml:space="preserve">Le prix du caoutchouc : bras de fer planteurs-usiniers ; DRC officiel 60 % contre 65-68 % mesuré</t>
  </si>
  <si>
    <t xml:space="preserve">https://businessactuality.com/le-prix-du-caoutchouc-en-cote-divoire-un-bras-de-fer-entre-planteurs-usiniers-et-regulateurs/</t>
  </si>
  <si>
    <t xml:space="preserve">CI_CAO_MECA</t>
  </si>
  <si>
    <t xml:space="preserve">Ce qui change pour les producteurs de caoutchouc naturel en 2026 : 66 % du prix de référence (63 % auparavant)</t>
  </si>
  <si>
    <t xml:space="preserve">https://www.agenceecofin.com/actualites-agro/2606-139636-cote-d-ivoire-ce-qui-change-pour-les-producteurs-de-caoutchouc-naturel-en-2026</t>
  </si>
  <si>
    <t xml:space="preserve">CI_CAO_PROD</t>
  </si>
  <si>
    <t xml:space="preserve">Financial Afrik</t>
  </si>
  <si>
    <t xml:space="preserve">Numéro trois mondial du caoutchouc (≈1,6 Mt en 2023)</t>
  </si>
  <si>
    <t xml:space="preserve">CI_COT_1718</t>
  </si>
  <si>
    <t xml:space="preserve">Gouvernement (via KOACI)</t>
  </si>
  <si>
    <t xml:space="preserve">Coton graine : 300 FCFA/kg (+35 FCFA par rapport à 265 FCFA en 2017-2018)</t>
  </si>
  <si>
    <t xml:space="preserve">CI_COT_1819</t>
  </si>
  <si>
    <t xml:space="preserve">Le prix du coton graine de premier choix maintenu à 265 FCFA/kg (2018-2019)</t>
  </si>
  <si>
    <t xml:space="preserve">CI_COT_1920</t>
  </si>
  <si>
    <t xml:space="preserve">Le prix du coton graine reste inchangé pour la campagne 2019-2020 : 300 FCFA/kg</t>
  </si>
  <si>
    <t xml:space="preserve">CI_COT_2122</t>
  </si>
  <si>
    <t xml:space="preserve">Gouvernement (via allAfrica)</t>
  </si>
  <si>
    <t xml:space="preserve">Campagne 2021-2022 du coton : le prix du kilo demeure à 300 F (inchangé depuis 2020-2021)</t>
  </si>
  <si>
    <t xml:space="preserve">CI_COT_2223</t>
  </si>
  <si>
    <t xml:space="preserve">Gouvernement (via Connectionivoirienne)</t>
  </si>
  <si>
    <t xml:space="preserve">Coton campagne 2022/2023 : le prix du kilogramme fixé à 310 FCFA</t>
  </si>
  <si>
    <t xml:space="preserve">CI_COT_2324</t>
  </si>
  <si>
    <t xml:space="preserve">Coton graine 1er choix 310 FCFA, 2e choix 285 FCFA (2023-2024)</t>
  </si>
  <si>
    <t xml:space="preserve">CI_COT_2526</t>
  </si>
  <si>
    <t xml:space="preserve">Campagne 2025-2026 : coton 1er choix 310 FCFA/kg, 2e choix 285 FCFA/kg (31/07/2025)</t>
  </si>
  <si>
    <t xml:space="preserve">CI_COT_PROD</t>
  </si>
  <si>
    <t xml:space="preserve">Croissance modeste de la production cotonnière 2024/2025 : 351 764 t, 984 kg/ha, 357 267 ha</t>
  </si>
  <si>
    <t xml:space="preserve">Presse (données officielles)</t>
  </si>
  <si>
    <t xml:space="preserve">CI_COT_SUB</t>
  </si>
  <si>
    <t xml:space="preserve">La subvention à la filière coton a plus que doublé en 2025/2026 (25,3 Mds FCFA contre 11,9 Mds)</t>
  </si>
  <si>
    <t xml:space="preserve">CI_MAN_2026</t>
  </si>
  <si>
    <t xml:space="preserve">Inter-Mangue (via AIP)</t>
  </si>
  <si>
    <t xml:space="preserve">Mangue 2026 : prix bord champ maintenu à 2 450 FCFA la caisse ; 220 FCFA/kg en station</t>
  </si>
  <si>
    <t xml:space="preserve">CI_PAL_0126</t>
  </si>
  <si>
    <t xml:space="preserve">Conseil Hévéa-Palmier à huile-Coco (via Afrik Soir)</t>
  </si>
  <si>
    <t xml:space="preserve">Prix de janvier 2026 : huile de palme brute 620 000 FCFA/t ; régimes bord champ 80 000 FCFA/t</t>
  </si>
  <si>
    <t xml:space="preserve">CI_PAL_Q424</t>
  </si>
  <si>
    <t xml:space="preserve">CHP-HC (via Abidjan Économie)</t>
  </si>
  <si>
    <t xml:space="preserve">Huile de palme brute 600 000 FCFA/t ; régimes bord champ 75 000 FCFA/t (oct.-déc. 2024)</t>
  </si>
  <si>
    <t xml:space="preserve">CM_CAC_0426</t>
  </si>
  <si>
    <t xml:space="preserve">ONCC-SIF (via Invest-Time)</t>
  </si>
  <si>
    <t xml:space="preserve">Cacao au Cameroun : 1 200-1 450 FCFA/kg dans les bassins (mars-avril 2026)</t>
  </si>
  <si>
    <t xml:space="preserve">Presse (données ONCC)</t>
  </si>
  <si>
    <t xml:space="preserve">CM_CAC_0526</t>
  </si>
  <si>
    <t xml:space="preserve">ONCC-SIF (via Investir au Cameroun)</t>
  </si>
  <si>
    <t xml:space="preserve">Le prix du kilogramme repasse au-dessus de 1 500 FCFA (1 550-1 650)</t>
  </si>
  <si>
    <t xml:space="preserve">CM_CAC_0626</t>
  </si>
  <si>
    <t xml:space="preserve">Le prix aux producteurs atteint 2 250 FCFA (2 100-2 250 au 30/06/2026)</t>
  </si>
  <si>
    <t xml:space="preserve">ECOFIN_GAP</t>
  </si>
  <si>
    <t xml:space="preserve">Ghana-Côte d'Ivoire cocoa price gap widens sharply for 2026/27 (3,65 vs 2,07 USD/kg)</t>
  </si>
  <si>
    <t xml:space="preserve">https://www.ecofinagency.com/news-agriculture/2809-59281-ghana-cote-d-ivoire-cocoa-price-gap-widens-sharply-for-2026/27-season</t>
  </si>
  <si>
    <t xml:space="preserve">EC_BAN_2026</t>
  </si>
  <si>
    <t xml:space="preserve">MAGP Équateur, Acuerdo Ministerial 107 (via Agraria.pe)</t>
  </si>
  <si>
    <t xml:space="preserve">Prix minimum de soutien 2026 : 7,50 USD la caisse 22XU de 43 lb</t>
  </si>
  <si>
    <t xml:space="preserve">Presse (acte officiel)</t>
  </si>
  <si>
    <t xml:space="preserve">EC_CAC_0126</t>
  </si>
  <si>
    <t xml:space="preserve">El Universo</t>
  </si>
  <si>
    <t xml:space="preserve">Les producteurs reçoivent 180-190 USD/quintal (janv. 2026)</t>
  </si>
  <si>
    <t xml:space="preserve">EC_CAC_0226</t>
  </si>
  <si>
    <t xml:space="preserve">Al Día (Équateur)</t>
  </si>
  <si>
    <t xml:space="preserve">Le cacao revient à 100 USD le quintal (80-85 USD dans les petits cantons), fév. 2026</t>
  </si>
  <si>
    <t xml:space="preserve">FMI_PCPS</t>
  </si>
  <si>
    <t xml:space="preserve">FMI</t>
  </si>
  <si>
    <t xml:space="preserve">Primary Commodity Prices (via FRED : PCOCOUSDM, PCOFFROBUSDM)</t>
  </si>
  <si>
    <t xml:space="preserve">GH_ANA_2026</t>
  </si>
  <si>
    <t xml:space="preserve">Tree Crops Development Authority (TCDA, Ghana)</t>
  </si>
  <si>
    <t xml:space="preserve">Government sets GHS 12.00/kg as minimum producer price for RCN (2025/2026) – benchmark FOB 1 400 USD/t, 11,0241 GH¢/USD</t>
  </si>
  <si>
    <t xml:space="preserve">GH_CAC_1620</t>
  </si>
  <si>
    <t xml:space="preserve">COCOBOD (via The Cocoa Post)</t>
  </si>
  <si>
    <t xml:space="preserve">Producer price of cocoa up 8.42% (GH¢475 → GH¢515/bag ; 7 600 → 8 240 GH¢/t)</t>
  </si>
  <si>
    <t xml:space="preserve">GH_CAC_2021</t>
  </si>
  <si>
    <t xml:space="preserve">COCOBOD</t>
  </si>
  <si>
    <t xml:space="preserve">Cocoa producer price goes up 28% from GH¢515 to GH¢660 per bag (10 560 GH¢/t)</t>
  </si>
  <si>
    <t xml:space="preserve">GH_CAC_2122</t>
  </si>
  <si>
    <t xml:space="preserve">Gouvernement du Ghana (via B&amp;FT)</t>
  </si>
  <si>
    <t xml:space="preserve">Gov't maintains cocoa price at GH¢660 per bag (87,15 % du FOB)</t>
  </si>
  <si>
    <t xml:space="preserve">GH_CAC_2223</t>
  </si>
  <si>
    <t xml:space="preserve">Press release – opening of 2022/23 main crop season (GH¢800/bag ; 12 800 GH¢/t)</t>
  </si>
  <si>
    <t xml:space="preserve">GH_CAC_2324I</t>
  </si>
  <si>
    <t xml:space="preserve">COCOBOD (compte officiel X)</t>
  </si>
  <si>
    <t xml:space="preserve">Producer price increased by 58.26% from GH¢20 928 to GH¢33 120 per tonne from 5 April 2024</t>
  </si>
  <si>
    <t xml:space="preserve">GH_CAC_2324P</t>
  </si>
  <si>
    <t xml:space="preserve">Gouvernement du Ghana (via Graphic Online)</t>
  </si>
  <si>
    <t xml:space="preserve">Cocoa price up: bag from GH¢800 to GH¢1 308 (20 928 GH¢/t)</t>
  </si>
  <si>
    <t xml:space="preserve">GH_CAC_2425I</t>
  </si>
  <si>
    <t xml:space="preserve">Cocoa price shoots to GH¢49 600 a tonne</t>
  </si>
  <si>
    <t xml:space="preserve">GH_CAC_2425P</t>
  </si>
  <si>
    <t xml:space="preserve">Review of the producer price of cocoa for the 2024/2025 season (48 000 GH¢/t, 11 sept. 2024)</t>
  </si>
  <si>
    <t xml:space="preserve">GH_CAC_2526</t>
  </si>
  <si>
    <t xml:space="preserve">COCOBOD / Citi Newsroom</t>
  </si>
  <si>
    <t xml:space="preserve">51 660 GH¢/t (70 % FOB 7 200 USD à 10,25) → 58 000 GH¢/t (11,5 GH¢/USD) → 41 392 GH¢/t au 12/02/2026 (90 % FOB 4 200 USD)</t>
  </si>
  <si>
    <t xml:space="preserve">GH_CAC_2627</t>
  </si>
  <si>
    <t xml:space="preserve">COCOBOD (via MyJoyOnline)</t>
  </si>
  <si>
    <t xml:space="preserve">Producer price GH¢42 400/t for 2026/27 (71,18 % du FOB brut réalisé ; Act 1182 : minimum 70 %)</t>
  </si>
  <si>
    <t xml:space="preserve">GH_CAC_GAP</t>
  </si>
  <si>
    <t xml:space="preserve">CNBC Africa</t>
  </si>
  <si>
    <t xml:space="preserve">Will Ghana's domestic market plug COCOBOD's $1.4bn funding gap? (2026)</t>
  </si>
  <si>
    <t xml:space="preserve">https://www.cnbcafrica.com/media/7790596098459/will-ghanas-domestic-market-plug-cocobods-14bn-funding-gap</t>
  </si>
  <si>
    <t xml:space="preserve">GH_CAC_REFORM</t>
  </si>
  <si>
    <t xml:space="preserve">Press release on cocoa sector reforms for financial viability and long-term sustainability</t>
  </si>
  <si>
    <t xml:space="preserve">https://cocobod.gh/news/press-release-on-cocoa-sector-reforms-for-financial-viability-and-long-term-sustainability</t>
  </si>
  <si>
    <t xml:space="preserve">GW_ANA_2026</t>
  </si>
  <si>
    <t xml:space="preserve">Gouvernement de transition de Guinée-Bissau (via Xinhua)</t>
  </si>
  <si>
    <t xml:space="preserve">Campagne 2026 : 410 FCFA/kg au producteur, 478 FCFA/kg à Bissau</t>
  </si>
  <si>
    <t xml:space="preserve">ID_CAO</t>
  </si>
  <si>
    <t xml:space="preserve">Disperindag/Gapkindo Sumatra-Sud (via IDN Times)</t>
  </si>
  <si>
    <t xml:space="preserve">Prix de référence KKK 100 % : 38 835 à 42 238 Rp/kg (août 2026)</t>
  </si>
  <si>
    <t xml:space="preserve">Presse (prix officiel provincial)</t>
  </si>
  <si>
    <t xml:space="preserve">ID_PAL_0126</t>
  </si>
  <si>
    <t xml:space="preserve">Disbun Riau (via HaiSawit / Media Center Riau)</t>
  </si>
  <si>
    <t xml:space="preserve">Prix TBS (régimes) Riau, palmiers 10-20 ans : 3 496,91 / 3 430,63 / 3 449,84 Rp/kg (janv. 2026)</t>
  </si>
  <si>
    <t xml:space="preserve">Officielle provinciale (via presse)</t>
  </si>
  <si>
    <t xml:space="preserve">INT_ANA_CI</t>
  </si>
  <si>
    <t xml:space="preserve">Cashew market report May 2026 : RCN Côte d'Ivoire 1 560 USD/t (avr.-mai 2026)</t>
  </si>
  <si>
    <t xml:space="preserve">INT_ANA_VN</t>
  </si>
  <si>
    <t xml:space="preserve">Douanes vietnamiennes (via Viet Nam News)</t>
  </si>
  <si>
    <t xml:space="preserve">Raw cashew nut imports Jan-Apr 2026 : ~1,3 Mt pour ~2,2 Mds USD (≈1 704 USD/t)</t>
  </si>
  <si>
    <t xml:space="preserve">Presse (données douanières)</t>
  </si>
  <si>
    <t xml:space="preserve">ML_ANA_2025</t>
  </si>
  <si>
    <t xml:space="preserve">Gouvernement du Mali (via Agence Ecofin)</t>
  </si>
  <si>
    <t xml:space="preserve">Mali : la filière anacarde face au défi du respect du prix plancher (390 FCFA ; achats à 350-375)</t>
  </si>
  <si>
    <t xml:space="preserve">ML_COT_2526</t>
  </si>
  <si>
    <t xml:space="preserve">Gouvernement du Mali (via Mali 24)</t>
  </si>
  <si>
    <t xml:space="preserve">Prix du kilo du coton graine maintenu à 300 FCFA</t>
  </si>
  <si>
    <t xml:space="preserve">MY_PAL_2025</t>
  </si>
  <si>
    <t xml:space="preserve">Malaysian Palm Oil Board (MPOB)</t>
  </si>
  <si>
    <t xml:space="preserve">Overview of the Malaysian Oil Palm Industry 2025 : prix des régimes à 1 % OER 47,39 RM ; OER 19,74 %</t>
  </si>
  <si>
    <t xml:space="preserve">NG_CAC_0926</t>
  </si>
  <si>
    <t xml:space="preserve">Mansa Markets</t>
  </si>
  <si>
    <t xml:space="preserve">Nigeria farmgate 5 728,5 NGN/kg (≈4 311 USD/t), 25/09/2026</t>
  </si>
  <si>
    <t xml:space="preserve">Secondaire</t>
  </si>
  <si>
    <t xml:space="preserve">OCPV</t>
  </si>
  <si>
    <t xml:space="preserve">OCPV (Ministère du Commerce)</t>
  </si>
  <si>
    <t xml:space="preserve">Prix à la consommation des produits vivriers (bulletins hebdomadaires 2025-2026)</t>
  </si>
  <si>
    <t xml:space="preserve">https://www.ocpv-ci.com/</t>
  </si>
  <si>
    <t xml:space="preserve">Officielle primaire (prix consommateur)</t>
  </si>
  <si>
    <t xml:space="preserve">OIC_CMR</t>
  </si>
  <si>
    <t xml:space="preserve">Organisation internationale du café</t>
  </si>
  <si>
    <t xml:space="preserve">Coffee Market Report (février et août 2026)</t>
  </si>
  <si>
    <t xml:space="preserve">OMC_TPR_2017</t>
  </si>
  <si>
    <t xml:space="preserve">OMC</t>
  </si>
  <si>
    <t xml:space="preserve">Examen des politiques commerciales UEMOA – Annexe Côte d'Ivoire (WT/TPR/S/362) : DUS 14,6 % CAF ; prélèvements totaux 23,2 % (2016/17)</t>
  </si>
  <si>
    <t xml:space="preserve">https://www.wto.org/french/tratop_f/tpr_f/s362-03_f.pdf</t>
  </si>
  <si>
    <t xml:space="preserve">RDT_CACAO</t>
  </si>
  <si>
    <t xml:space="preserve">Wessel &amp; Quist-Wessel (2015), NJAS – Cocoa production in West Africa, a review ; KIT (2018)</t>
  </si>
  <si>
    <t xml:space="preserve">Rendements moyens : Côte d'Ivoire ≈500-600 kg/ha ; Ghana ≈400 kg/ha</t>
  </si>
  <si>
    <t xml:space="preserve">Littérature scientifique</t>
  </si>
  <si>
    <t xml:space="preserve">REG_COT_2526</t>
  </si>
  <si>
    <t xml:space="preserve">Africa Radio</t>
  </si>
  <si>
    <t xml:space="preserve">Coton africain : ~300 FCFA au Bénin et au Mali, 310 en Côte d'Ivoire, 325 au Burkina, jusqu'à 350 au Sénégal</t>
  </si>
  <si>
    <t xml:space="preserve">REG_COT_RDT</t>
  </si>
  <si>
    <t xml:space="preserve">La Marina (Bénin)</t>
  </si>
  <si>
    <t xml:space="preserve">Campagne 2024-2025 : rendements Bénin 1 248 kg/ha, Mali 914 kg/ha</t>
  </si>
  <si>
    <t xml:space="preserve">SGX_0326</t>
  </si>
  <si>
    <t xml:space="preserve">SGX</t>
  </si>
  <si>
    <t xml:space="preserve">SICOM Rubber Monthly Report – mars 2026</t>
  </si>
  <si>
    <t xml:space="preserve">Bourse</t>
  </si>
  <si>
    <t xml:space="preserve">TH_CAO</t>
  </si>
  <si>
    <t xml:space="preserve">Thai Rubber Association</t>
  </si>
  <si>
    <t xml:space="preserve">Prix intérieurs (cup lump 100 %) : 58 THB/kg (2 mai 2025)</t>
  </si>
  <si>
    <t xml:space="preserve">Association professionnelle</t>
  </si>
  <si>
    <t xml:space="preserve">TZ_ANA_2526</t>
  </si>
  <si>
    <t xml:space="preserve">The Citizen (données TMX/CBT)</t>
  </si>
  <si>
    <t xml:space="preserve">Cashew farmers earn Sh1.3tr : 430 961 t vendues pour 1 279 Mds TZS (2025/26)</t>
  </si>
  <si>
    <t xml:space="preserve">Presse (données officielles d'enchères)</t>
  </si>
  <si>
    <t xml:space="preserve">UG_CAF_0726</t>
  </si>
  <si>
    <t xml:space="preserve">Uganda Coffee Development Authority (UCDA)</t>
  </si>
  <si>
    <t xml:space="preserve">Monthly report July 2026 : prix bord champ Robusta FAQ moyen 11 500 UGX/kg</t>
  </si>
  <si>
    <t xml:space="preserve">USDA_COT</t>
  </si>
  <si>
    <t xml:space="preserve">USDA FAS</t>
  </si>
  <si>
    <t xml:space="preserve">Côte d'Ivoire Cotton and Products Annual 2026 : fibre MY2024/25 730 000 balles (480 lb)</t>
  </si>
  <si>
    <t xml:space="preserve">https://www.fas.usda.gov/data/cote-divoire-cotton-and-products-annual-5</t>
  </si>
  <si>
    <t xml:space="preserve">Institution publique étrangère</t>
  </si>
  <si>
    <t xml:space="preserve">USDA_PAL</t>
  </si>
  <si>
    <t xml:space="preserve">Côte d'Ivoire Oilseeds and Products Annual 2025 (huile de palme 575 000 t MY2024/25)</t>
  </si>
  <si>
    <t xml:space="preserve">https://www.fas.usda.gov/data/gain/2026/01/cote-divoire-oilseeds-and-products-report-annual-2025</t>
  </si>
  <si>
    <t xml:space="preserve">USDA_RIZ_CI</t>
  </si>
  <si>
    <t xml:space="preserve">Côte d'Ivoire Grain and Feed Annual 2026 : paddy bord champ 233 FCFA/kg en moyenne 2025 (+8,5 %)</t>
  </si>
  <si>
    <t xml:space="preserve">USDA_RIZ_IMP</t>
  </si>
  <si>
    <t xml:space="preserve">Côte d'Ivoire Grain and Feed Annual 2026 : production 2026/27 1,75 Mt de riz blanchi ; importations ≈1,75 Mt</t>
  </si>
  <si>
    <t xml:space="preserve">https://www.fas.usda.gov/data/gain/2026/04/cote-divoire-grain-and-feed-annual</t>
  </si>
  <si>
    <t xml:space="preserve">USDA_RIZ_SN</t>
  </si>
  <si>
    <t xml:space="preserve">Senegal Grain and Feed Annual 2025 : paddy 130 FCFA/kg + subvention 30 FCFA (prix usinier 160)</t>
  </si>
  <si>
    <t xml:space="preserve">VN_CAF_0926</t>
  </si>
  <si>
    <t xml:space="preserve">Vietnam.vn (prix Dak Lak)</t>
  </si>
  <si>
    <t xml:space="preserve">Prix intérieur du café robusta, Dak Lak : 93 600 VND/kg (28/09/2026)</t>
  </si>
  <si>
    <t xml:space="preserve">VN_RIZ</t>
  </si>
  <si>
    <t xml:space="preserve">SGGP News</t>
  </si>
  <si>
    <t xml:space="preserve">Paddy frais du delta du Mékong : IR 50404 5 400-5 500 ; OM 5451 5 600-5 700 VND/kg (2025)</t>
  </si>
  <si>
    <t xml:space="preserve">Mois</t>
  </si>
  <si>
    <t xml:space="preserve">Cacao ICCO (USD/kg)</t>
  </si>
  <si>
    <t xml:space="preserve">Café robusta (USD/kg)</t>
  </si>
  <si>
    <t xml:space="preserve">Coton indice A (USD/kg)</t>
  </si>
  <si>
    <t xml:space="preserve">Caoutchouc TSR20 (USD/kg)</t>
  </si>
  <si>
    <t xml:space="preserve">Huile de palme (USD/t)</t>
  </si>
  <si>
    <t xml:space="preserve">Riz Thaï 5 % (USD/t)</t>
  </si>
  <si>
    <t xml:space="preserve">2014-01</t>
  </si>
  <si>
    <t xml:space="preserve">BM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</si>
  <si>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</si>
  <si>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</si>
  <si>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</si>
  <si>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</si>
  <si>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</si>
  <si>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</si>
  <si>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</si>
  <si>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</si>
  <si>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</si>
  <si>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</si>
  <si>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</si>
  <si>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</si>
  <si>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</si>
  <si>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</si>
  <si>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</si>
  <si>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</si>
  <si>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</si>
  <si>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</si>
  <si>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</si>
  <si>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</si>
  <si>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</si>
  <si>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</si>
  <si>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</si>
  <si>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</si>
  <si>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</si>
  <si>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</si>
  <si>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</si>
  <si>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</si>
  <si>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</si>
  <si>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</si>
  <si>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</si>
  <si>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</si>
  <si>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</si>
  <si>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</si>
  <si>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</si>
  <si>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</si>
  <si>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</si>
  <si>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</si>
  <si>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</si>
  <si>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</si>
  <si>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</si>
  <si>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</si>
  <si>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</si>
  <si>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</si>
  <si>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</si>
  <si>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</si>
  <si>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</si>
  <si>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</si>
  <si>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</si>
  <si>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</si>
  <si>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</si>
  <si>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</si>
  <si>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</si>
  <si>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</si>
  <si>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</si>
  <si>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</si>
  <si>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</si>
  <si>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</si>
  <si>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</si>
  <si>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</si>
  <si>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</si>
  <si>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</si>
  <si>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</si>
  <si>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</si>
  <si>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</si>
  <si>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</si>
  <si>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</si>
  <si>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</si>
  <si>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</si>
  <si>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</si>
  <si>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</si>
  <si>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</si>
  <si>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</si>
  <si>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</si>
  <si>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</si>
  <si>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</si>
  <si>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</si>
  <si>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</si>
  <si>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</si>
  <si>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</si>
  <si>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</si>
  <si>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</si>
  <si>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</si>
  <si>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</si>
  <si>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</si>
  <si>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</si>
  <si>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</si>
  <si>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</si>
  <si>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</si>
  <si>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</si>
  <si>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</si>
  <si>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</si>
  <si>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</si>
  <si>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</si>
  <si>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</si>
  <si>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</si>
  <si>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</si>
  <si>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</si>
  <si>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</si>
  <si>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</si>
  <si>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</si>
  <si>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</si>
  <si>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</si>
  <si>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</si>
  <si>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</si>
  <si>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</si>
  <si>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</si>
  <si>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</si>
  <si>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</si>
  <si>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</si>
  <si>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</si>
  <si>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</si>
  <si>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</si>
  <si>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</si>
  <si>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</si>
  <si>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</si>
  <si>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</si>
  <si>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</si>
  <si>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</si>
  <si>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</si>
  <si>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</si>
  <si>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</si>
  <si>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</si>
  <si>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</si>
  <si>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</si>
  <si>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</si>
  <si>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</si>
  <si>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</si>
  <si>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</si>
  <si>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</si>
  <si>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</si>
  <si>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</si>
  <si>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</si>
  <si>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</si>
  <si>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</si>
  <si>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</si>
  <si>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</si>
  <si>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</si>
  <si>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</si>
  <si>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</si>
  <si>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</si>
  <si>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</si>
  <si>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</si>
  <si>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</si>
  <si>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</si>
  <si>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FMI/OIC/SGX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</si>
  <si>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</si>
  <si>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</si>
  <si>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</si>
  <si>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</si>
  <si>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</si>
  <si>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</si>
  <si>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Autre (B)</t>
  </si>
  <si>
    <t xml:space="preserve">2026-09</t>
  </si>
  <si>
    <t xml:space="preserve">BM = Banque mondiale, CMO Historical Data Monthly (mise à jour 03/02/2026). Compléments 2026 : FMI PCPS, OIC (Coffee Market Report), SGX (rapport mensuel SICOM) – voir commentaires de cellule.</t>
  </si>
  <si>
    <t xml:space="preserve">Code</t>
  </si>
  <si>
    <t xml:space="preserve">Série</t>
  </si>
  <si>
    <t xml:space="preserve">Début</t>
  </si>
  <si>
    <t xml:space="preserve">Fin</t>
  </si>
  <si>
    <t xml:space="preserve">Moyenne (USD/kg ou USD/t)</t>
  </si>
  <si>
    <t xml:space="preserve">Nb mois disponibles</t>
  </si>
  <si>
    <t xml:space="preserve">Nb mois de la période</t>
  </si>
  <si>
    <t xml:space="preserve">cacao:2016-10:2017-03</t>
  </si>
  <si>
    <t xml:space="preserve">cacao</t>
  </si>
  <si>
    <t xml:space="preserve">cacao:2017-04:2017-09</t>
  </si>
  <si>
    <t xml:space="preserve">cacao:2017-10:2018-03</t>
  </si>
  <si>
    <t xml:space="preserve">cacao:2018-04:2018-09</t>
  </si>
  <si>
    <t xml:space="preserve">cacao:2018-10:2019-03</t>
  </si>
  <si>
    <t xml:space="preserve">cacao:2019-04:2019-09</t>
  </si>
  <si>
    <t xml:space="preserve">cacao:2019-10:2020-03</t>
  </si>
  <si>
    <t xml:space="preserve">cacao:2020-04:2020-09</t>
  </si>
  <si>
    <t xml:space="preserve">cacao:2020-10:2021-03</t>
  </si>
  <si>
    <t xml:space="preserve">cacao:2021-04:2021-09</t>
  </si>
  <si>
    <t xml:space="preserve">cacao:2021-10:2022-03</t>
  </si>
  <si>
    <t xml:space="preserve">cacao:2022-04:2022-09</t>
  </si>
  <si>
    <t xml:space="preserve">cacao:2022-10:2023-03</t>
  </si>
  <si>
    <t xml:space="preserve">cacao:2023-04:2023-09</t>
  </si>
  <si>
    <t xml:space="preserve">cacao:2023-10:2024-03</t>
  </si>
  <si>
    <t xml:space="preserve">cacao:2024-04:2024-09</t>
  </si>
  <si>
    <t xml:space="preserve">cacao:2024-10:2025-03</t>
  </si>
  <si>
    <t xml:space="preserve">cacao:2025-04:2025-09</t>
  </si>
  <si>
    <t xml:space="preserve">cacao:2025-10:2026-03</t>
  </si>
  <si>
    <t xml:space="preserve">cacao:2026-01:2026-01</t>
  </si>
  <si>
    <t xml:space="preserve">cacao:2026-02:2026-02</t>
  </si>
  <si>
    <t xml:space="preserve">cacao:2026-03:2026-04</t>
  </si>
  <si>
    <t xml:space="preserve">cacao:2026-04:2026-08</t>
  </si>
  <si>
    <t xml:space="preserve">cacao:2026-05:2026-05</t>
  </si>
  <si>
    <t xml:space="preserve">cacao:2026-06:2026-06</t>
  </si>
  <si>
    <t xml:space="preserve">cacao:2026-08:2026-08</t>
  </si>
  <si>
    <t xml:space="preserve">coton:2017-08:2018-07</t>
  </si>
  <si>
    <t xml:space="preserve">coton</t>
  </si>
  <si>
    <t xml:space="preserve">coton:2018-08:2019-07</t>
  </si>
  <si>
    <t xml:space="preserve">coton:2019-08:2020-07</t>
  </si>
  <si>
    <t xml:space="preserve">coton:2020-08:2021-07</t>
  </si>
  <si>
    <t xml:space="preserve">coton:2021-08:2022-07</t>
  </si>
  <si>
    <t xml:space="preserve">coton:2022-08:2023-07</t>
  </si>
  <si>
    <t xml:space="preserve">coton:2023-08:2024-07</t>
  </si>
  <si>
    <t xml:space="preserve">coton:2024-08:2025-07</t>
  </si>
  <si>
    <t xml:space="preserve">coton:2025-08:2026-01</t>
  </si>
  <si>
    <t xml:space="preserve">palme:2024-10:2024-12</t>
  </si>
  <si>
    <t xml:space="preserve">palme</t>
  </si>
  <si>
    <t xml:space="preserve">palme:2025-01:2025-12</t>
  </si>
  <si>
    <t xml:space="preserve">palme:2026-01:2026-01</t>
  </si>
  <si>
    <t xml:space="preserve">riz:2025-01:2025-12</t>
  </si>
  <si>
    <t xml:space="preserve">riz</t>
  </si>
  <si>
    <t xml:space="preserve">robusta:2016-10:2017-09</t>
  </si>
  <si>
    <t xml:space="preserve">robusta</t>
  </si>
  <si>
    <t xml:space="preserve">robusta:2017-10:2018-09</t>
  </si>
  <si>
    <t xml:space="preserve">robusta:2018-10:2019-09</t>
  </si>
  <si>
    <t xml:space="preserve">robusta:2019-10:2020-09</t>
  </si>
  <si>
    <t xml:space="preserve">robusta:2020-10:2021-09</t>
  </si>
  <si>
    <t xml:space="preserve">robusta:2021-10:2022-09</t>
  </si>
  <si>
    <t xml:space="preserve">robusta:2022-10:2023-09</t>
  </si>
  <si>
    <t xml:space="preserve">robusta:2023-10:2024-09</t>
  </si>
  <si>
    <t xml:space="preserve">robusta:2024-10:2025-09</t>
  </si>
  <si>
    <t xml:space="preserve">robusta:2025-10:2026-08</t>
  </si>
  <si>
    <t xml:space="preserve">robusta:2026-07:2026-07</t>
  </si>
  <si>
    <t xml:space="preserve">robusta:2026-08:2026-08</t>
  </si>
  <si>
    <t xml:space="preserve">tsr20:2024-12:2024-12</t>
  </si>
  <si>
    <t xml:space="preserve">tsr20</t>
  </si>
  <si>
    <t xml:space="preserve">tsr20:2025-03:2025-03</t>
  </si>
  <si>
    <t xml:space="preserve">tsr20:2025-04:2025-04</t>
  </si>
  <si>
    <t xml:space="preserve">tsr20:2025-12:2025-12</t>
  </si>
  <si>
    <t xml:space="preserve">tsr20:2026-01:2026-01</t>
  </si>
  <si>
    <t xml:space="preserve">tsr20:2026-03:2026-03</t>
  </si>
  <si>
    <t xml:space="preserve">USD par EUR (BCE, moy. mens.)</t>
  </si>
  <si>
    <t xml:space="preserve">XOF par USD</t>
  </si>
  <si>
    <t xml:space="preserve">GHS par USD</t>
  </si>
  <si>
    <t xml:space="preserve">UGX par USD</t>
  </si>
  <si>
    <t xml:space="preserve">VND par USD</t>
  </si>
  <si>
    <t xml:space="preserve">TZS par USD</t>
  </si>
  <si>
    <t xml:space="preserve">NGN par USD</t>
  </si>
  <si>
    <t xml:space="preserve">IDR par EUR (BCE)</t>
  </si>
  <si>
    <t xml:space="preserve">IDR par USD</t>
  </si>
  <si>
    <t xml:space="preserve">THB par EUR (BCE)</t>
  </si>
  <si>
    <t xml:space="preserve">THB par USD</t>
  </si>
  <si>
    <t xml:space="preserve">MYR par EUR (BCE)</t>
  </si>
  <si>
    <t xml:space="preserve">MYR par USD</t>
  </si>
  <si>
    <t xml:space="preserve">USD par USD</t>
  </si>
  <si>
    <t xml:space="preserve">XAF par USD</t>
  </si>
  <si>
    <t xml:space="preserve">Notes (compléments hors BCE/BRI)</t>
  </si>
  <si>
    <t xml:space="preserve">GHS : FMI (fin oct. 10,90 ; fin nov. 11,27) : moyenne des fins de mois (approximation) [C] | TZS : UBA Tanzania, cours d'ouverture 5, 18 et 20 nov. 2025 (milieu de fourchette) [C]</t>
  </si>
  <si>
    <t xml:space="preserve">GHS : FMI (fin nov. 11,27 ; fin déc. 10,45) : moyenne des fins de mois (approximation) [C]</t>
  </si>
  <si>
    <t xml:space="preserve">GHS : Banque du Ghana, taux interbancaire moyen mensuel [A]</t>
  </si>
  <si>
    <t xml:space="preserve">GHS : Banque du Ghana, taux interbancaire moyen mensuel [A] | UGX : Moyenne USD/UGX juillet 2026 (poundsterlinglive.com) [C]</t>
  </si>
  <si>
    <t xml:space="preserve">BCE : moyenne partielle du 1er au 14/09/2026 (dernier taux du fichier) [A] | GHS : Banque du Ghana, interbancaire 18/09 (11,55) et 28/09/2026 (11,43) [B] | VND : Vietcombank, achat/vente 9 sept. 2026 (daibieunhandan.vn) [B] | NGN : Taux implicite de la source (5 728,5 NGN/kg = 4 311 USD/t), mansamarkets.com [C]</t>
  </si>
  <si>
    <t xml:space="preserve">Sources : BCE (taux de référence quotidiens, moyenne mensuelle calculée) ; BRI WS_XRU (moyennes mensuelles) ; compléments documentés en colonne Q.</t>
  </si>
  <si>
    <t xml:space="preserve">Code période</t>
  </si>
  <si>
    <t xml:space="preserve">Nb mois GHS</t>
  </si>
  <si>
    <t xml:space="preserve">Paramètres techniques (modifiables)</t>
  </si>
  <si>
    <t xml:space="preserve">Paramètre</t>
  </si>
  <si>
    <t xml:space="preserve">Source / justification</t>
  </si>
  <si>
    <t xml:space="preserve">Parité fixe FCFA/EUR</t>
  </si>
  <si>
    <t xml:space="preserve">BCEAO / Traité (parité fixe depuis 1999)</t>
  </si>
  <si>
    <t xml:space="preserve">https://www.bceao.int/</t>
  </si>
  <si>
    <t xml:space="preserve">Taux d'usinage riz (paddy → blanchi)</t>
  </si>
  <si>
    <t xml:space="preserve">Hypothèse technique usuelle (à ajuster selon ADERIZ)</t>
  </si>
  <si>
    <t xml:space="preserve">Rendement à l'égrenage coton (Côte d'Ivoire)</t>
  </si>
  <si>
    <t xml:space="preserve">Calculé : fibre USDA MY2024/25 (730 000 balles de 480 lb) ÷ coton graine 2024/25 (351 764 t, Ecofin)</t>
  </si>
  <si>
    <t xml:space="preserve">DRC de référence caoutchouc (Côte d'Ivoire)</t>
  </si>
  <si>
    <t xml:space="preserve">Convention officielle ; DRC mesuré 65-68 % selon des analyses indépendantes</t>
  </si>
  <si>
    <t xml:space="preserve">Conversion c/lb → USD/kg</t>
  </si>
  <si>
    <t xml:space="preserve">1 lb = 0,453592 kg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</si>
</sst>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;\(#,##0\);\-"/>
    <numFmt numFmtId="166" formatCode="0.0%"/>
    <numFmt numFmtId="167" formatCode="0"/>
    <numFmt numFmtId="168" formatCode="#,##0.00"/>
    <numFmt numFmtId="169" formatCode="#,##0.0000"/>
    <numFmt numFmtId="170" formatCode="#,##0.000"/>
    <numFmt numFmtId="171" formatCode="0.0000"/>
    <numFmt numFmtId="172" formatCode="0.000"/>
    <numFmt numFmtId="173" formatCode="0.0"/>
    <numFmt numFmtId="174" formatCode="0.00"/>
    <numFmt numFmtId="175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2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23.8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2" t="s">
        <v>15</v>
      </c>
      <c r="B10" s="3" t="s">
        <v>16</v>
      </c>
    </row>
    <row r="11" customFormat="false" ht="15" hidden="false" customHeight="false" outlineLevel="0" collapsed="false">
      <c r="A11" s="2" t="s">
        <v>17</v>
      </c>
      <c r="B11" s="3" t="s">
        <v>18</v>
      </c>
    </row>
    <row r="12" customFormat="false" ht="15" hidden="false" customHeight="false" outlineLevel="0" collapsed="false">
      <c r="A12" s="2" t="s">
        <v>19</v>
      </c>
      <c r="B12" s="3" t="s">
        <v>20</v>
      </c>
    </row>
    <row r="13" customFormat="false" ht="15" hidden="false" customHeight="false" outlineLevel="0" collapsed="false">
      <c r="A13" s="2" t="s">
        <v>21</v>
      </c>
      <c r="B13" s="3" t="s">
        <v>22</v>
      </c>
    </row>
    <row r="14" customFormat="false" ht="15" hidden="false" customHeight="false" outlineLevel="0" collapsed="false">
      <c r="A14" s="2" t="s">
        <v>23</v>
      </c>
      <c r="B14" s="3" t="s">
        <v>24</v>
      </c>
    </row>
    <row r="15" customFormat="false" ht="15" hidden="false" customHeight="false" outlineLevel="0" collapsed="false">
      <c r="A15" s="2" t="s">
        <v>25</v>
      </c>
      <c r="B15" s="3" t="s">
        <v>26</v>
      </c>
    </row>
    <row r="16" customFormat="false" ht="15" hidden="false" customHeight="false" outlineLevel="0" collapsed="false">
      <c r="A16" s="2" t="s">
        <v>27</v>
      </c>
      <c r="B16" s="3" t="s">
        <v>28</v>
      </c>
    </row>
    <row r="17" customFormat="false" ht="15" hidden="false" customHeight="false" outlineLevel="0" collapsed="false">
      <c r="A17" s="2" t="s">
        <v>29</v>
      </c>
      <c r="B17" s="3" t="s">
        <v>30</v>
      </c>
    </row>
    <row r="18" customFormat="false" ht="15" hidden="false" customHeight="false" outlineLevel="0" collapsed="false">
      <c r="A18" s="2" t="s">
        <v>31</v>
      </c>
      <c r="B18" s="3" t="s">
        <v>32</v>
      </c>
    </row>
    <row r="19" customFormat="false" ht="23.85" hidden="false" customHeight="false" outlineLevel="0" collapsed="false">
      <c r="A19" s="2" t="s">
        <v>33</v>
      </c>
      <c r="B19" s="3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50"/>
    <col collapsed="false" customWidth="true" hidden="false" outlineLevel="0" max="9" min="9" style="0" width="34"/>
    <col collapsed="false" customWidth="true" hidden="false" outlineLevel="0" max="10" min="10" style="0" width="9"/>
  </cols>
  <sheetData>
    <row r="1" customFormat="false" ht="17.35" hidden="false" customHeight="false" outlineLevel="0" collapsed="false">
      <c r="A1" s="1" t="s">
        <v>35</v>
      </c>
    </row>
    <row r="3" customFormat="false" ht="42" hidden="false" customHeight="true" outlineLevel="0" collapsed="false">
      <c r="A3" s="4" t="s">
        <v>36</v>
      </c>
      <c r="B3" s="4" t="s">
        <v>37</v>
      </c>
      <c r="C3" s="4" t="s">
        <v>38</v>
      </c>
      <c r="D3" s="4" t="s">
        <v>39</v>
      </c>
      <c r="E3" s="4" t="s">
        <v>40</v>
      </c>
      <c r="F3" s="4" t="s">
        <v>41</v>
      </c>
      <c r="G3" s="4" t="s">
        <v>42</v>
      </c>
      <c r="H3" s="4" t="s">
        <v>43</v>
      </c>
      <c r="I3" s="4" t="s">
        <v>44</v>
      </c>
      <c r="J3" s="4" t="s">
        <v>9</v>
      </c>
    </row>
    <row r="4" customFormat="false" ht="48" hidden="false" customHeight="true" outlineLevel="0" collapsed="false">
      <c r="A4" s="2" t="s">
        <v>45</v>
      </c>
      <c r="B4" s="5" t="n">
        <f aca="false">Indicateurs!E32</f>
        <v>1200</v>
      </c>
      <c r="C4" s="3" t="s">
        <v>46</v>
      </c>
      <c r="D4" s="5" t="n">
        <f aca="false">Indicateurs!F32</f>
        <v>2085.78033969767</v>
      </c>
      <c r="E4" s="6" t="n">
        <f aca="false">Indicateurs!H32</f>
        <v>-0.42467575460322</v>
      </c>
      <c r="F4" s="6" t="n">
        <f aca="false">Indicateurs!J32</f>
        <v>0.354238857872395</v>
      </c>
      <c r="G4" s="6" t="n">
        <f aca="false">Series_CI!E17</f>
        <v>1.54545454545455</v>
      </c>
      <c r="H4" s="3" t="s">
        <v>47</v>
      </c>
      <c r="I4" s="3" t="s">
        <v>48</v>
      </c>
      <c r="J4" s="7" t="s">
        <v>49</v>
      </c>
    </row>
    <row r="5" customFormat="false" ht="48" hidden="false" customHeight="true" outlineLevel="0" collapsed="false">
      <c r="A5" s="2" t="s">
        <v>50</v>
      </c>
      <c r="B5" s="5" t="n">
        <f aca="false">Indicateurs!E33</f>
        <v>1300</v>
      </c>
      <c r="C5" s="3" t="s">
        <v>51</v>
      </c>
      <c r="D5" s="5" t="n">
        <f aca="false">Indicateurs!F33</f>
        <v>1916.63821112919</v>
      </c>
      <c r="E5" s="6" t="n">
        <f aca="false">Indicateurs!H33</f>
        <v>-0.321729060575232</v>
      </c>
      <c r="F5" s="6" t="n">
        <f aca="false">Indicateurs!J33</f>
        <v>0.576957653133884</v>
      </c>
      <c r="G5" s="6" t="n">
        <f aca="false">Series_CI!G17</f>
        <v>1.26666666666667</v>
      </c>
      <c r="H5" s="3" t="s">
        <v>52</v>
      </c>
      <c r="I5" s="3" t="s">
        <v>53</v>
      </c>
      <c r="J5" s="7" t="s">
        <v>54</v>
      </c>
    </row>
    <row r="6" customFormat="false" ht="48" hidden="false" customHeight="true" outlineLevel="0" collapsed="false">
      <c r="A6" s="2" t="s">
        <v>55</v>
      </c>
      <c r="B6" s="5" t="n">
        <f aca="false">Indicateurs!E34</f>
        <v>400</v>
      </c>
      <c r="C6" s="3" t="s">
        <v>56</v>
      </c>
      <c r="D6" s="5" t="n">
        <f aca="false">Indicateurs!F34</f>
        <v>410</v>
      </c>
      <c r="E6" s="6" t="n">
        <f aca="false">Indicateurs!H34</f>
        <v>-0.024390243902439</v>
      </c>
      <c r="F6" s="6" t="n">
        <f aca="false">Indicateurs!J34</f>
        <v>0.456947417453556</v>
      </c>
      <c r="G6" s="6" t="n">
        <f aca="false">Series_CI!H17</f>
        <v>0.214285714285714</v>
      </c>
      <c r="H6" s="3" t="s">
        <v>57</v>
      </c>
      <c r="I6" s="3" t="s">
        <v>58</v>
      </c>
      <c r="J6" s="7" t="s">
        <v>59</v>
      </c>
    </row>
    <row r="7" customFormat="false" ht="48" hidden="false" customHeight="true" outlineLevel="0" collapsed="false">
      <c r="A7" s="2" t="s">
        <v>60</v>
      </c>
      <c r="B7" s="5" t="n">
        <f aca="false">Indicateurs!E35</f>
        <v>310</v>
      </c>
      <c r="C7" s="3" t="s">
        <v>61</v>
      </c>
      <c r="D7" s="5" t="n">
        <f aca="false">Indicateurs!F35</f>
        <v>300</v>
      </c>
      <c r="E7" s="6" t="n">
        <f aca="false">Indicateurs!H35</f>
        <v>0.0333333333333334</v>
      </c>
      <c r="F7" s="6" t="n">
        <f aca="false">Indicateurs!J35</f>
        <v>0.727950319452892</v>
      </c>
      <c r="G7" s="6" t="n">
        <f aca="false">Series_CI!I17</f>
        <v>0.169811320754717</v>
      </c>
      <c r="H7" s="3" t="s">
        <v>62</v>
      </c>
      <c r="I7" s="3" t="s">
        <v>63</v>
      </c>
      <c r="J7" s="7" t="s">
        <v>49</v>
      </c>
    </row>
    <row r="8" customFormat="false" ht="48" hidden="false" customHeight="true" outlineLevel="0" collapsed="false">
      <c r="A8" s="2" t="s">
        <v>64</v>
      </c>
      <c r="B8" s="5" t="n">
        <f aca="false">Indicateurs!E36</f>
        <v>806.666666666667</v>
      </c>
      <c r="C8" s="3" t="s">
        <v>65</v>
      </c>
      <c r="D8" s="5" t="n">
        <f aca="false">Indicateurs!F36</f>
        <v>1144.06637815727</v>
      </c>
      <c r="E8" s="6" t="n">
        <f aca="false">Indicateurs!H36</f>
        <v>-0.294912706056485</v>
      </c>
      <c r="F8" s="6" t="n">
        <f aca="false">Decomposition!B22</f>
        <v>0.598755269673713</v>
      </c>
      <c r="G8" s="8" t="s">
        <v>66</v>
      </c>
      <c r="H8" s="3" t="s">
        <v>67</v>
      </c>
      <c r="I8" s="3" t="s">
        <v>68</v>
      </c>
      <c r="J8" s="7" t="s">
        <v>59</v>
      </c>
    </row>
    <row r="9" customFormat="false" ht="48" hidden="false" customHeight="true" outlineLevel="0" collapsed="false">
      <c r="A9" s="2" t="s">
        <v>69</v>
      </c>
      <c r="B9" s="5" t="n">
        <f aca="false">Indicateurs!E37</f>
        <v>80</v>
      </c>
      <c r="C9" s="3" t="s">
        <v>70</v>
      </c>
      <c r="D9" s="5" t="n">
        <f aca="false">Indicateurs!F37</f>
        <v>120.969049655414</v>
      </c>
      <c r="E9" s="6" t="n">
        <f aca="false">Indicateurs!H37</f>
        <v>-0.338673815923297</v>
      </c>
      <c r="F9" s="6" t="n">
        <f aca="false">Decomposition!B28</f>
        <v>0.14347141986305</v>
      </c>
      <c r="G9" s="8" t="s">
        <v>66</v>
      </c>
      <c r="H9" s="3" t="s">
        <v>71</v>
      </c>
      <c r="I9" s="3" t="s">
        <v>72</v>
      </c>
      <c r="J9" s="7" t="s">
        <v>49</v>
      </c>
    </row>
    <row r="10" customFormat="false" ht="48" hidden="false" customHeight="true" outlineLevel="0" collapsed="false">
      <c r="A10" s="2" t="s">
        <v>73</v>
      </c>
      <c r="B10" s="5" t="n">
        <f aca="false">Indicateurs!E38</f>
        <v>233</v>
      </c>
      <c r="C10" s="3" t="s">
        <v>74</v>
      </c>
      <c r="D10" s="5" t="n">
        <f aca="false">Indicateurs!F38</f>
        <v>130</v>
      </c>
      <c r="E10" s="6" t="n">
        <f aca="false">Indicateurs!H38</f>
        <v>0.792307692307692</v>
      </c>
      <c r="F10" s="6" t="n">
        <f aca="false">Observations!$Y$116</f>
        <v>1.51039392053486</v>
      </c>
      <c r="G10" s="8" t="s">
        <v>66</v>
      </c>
      <c r="H10" s="3" t="s">
        <v>75</v>
      </c>
      <c r="I10" s="3" t="s">
        <v>76</v>
      </c>
      <c r="J10" s="7" t="s">
        <v>49</v>
      </c>
    </row>
    <row r="11" customFormat="false" ht="48" hidden="false" customHeight="true" outlineLevel="0" collapsed="false">
      <c r="A11" s="2" t="s">
        <v>77</v>
      </c>
      <c r="B11" s="9" t="s">
        <v>66</v>
      </c>
      <c r="C11" s="3" t="s">
        <v>78</v>
      </c>
      <c r="D11" s="5" t="n">
        <f aca="false">Observations!$S$119</f>
        <v>216.932006725785</v>
      </c>
      <c r="E11" s="8" t="s">
        <v>66</v>
      </c>
      <c r="F11" s="8" t="s">
        <v>66</v>
      </c>
      <c r="G11" s="8" t="s">
        <v>66</v>
      </c>
      <c r="H11" s="3" t="s">
        <v>79</v>
      </c>
      <c r="I11" s="3" t="s">
        <v>80</v>
      </c>
      <c r="J11" s="7" t="s">
        <v>81</v>
      </c>
    </row>
    <row r="12" customFormat="false" ht="48" hidden="false" customHeight="true" outlineLevel="0" collapsed="false">
      <c r="A12" s="2" t="s">
        <v>82</v>
      </c>
      <c r="B12" s="5" t="n">
        <f aca="false">Observations!$S$120</f>
        <v>220</v>
      </c>
      <c r="C12" s="3" t="s">
        <v>83</v>
      </c>
      <c r="D12" s="5" t="n">
        <f aca="false">Observations!$S$121</f>
        <v>95</v>
      </c>
      <c r="E12" s="8" t="s">
        <v>84</v>
      </c>
      <c r="F12" s="8" t="s">
        <v>66</v>
      </c>
      <c r="G12" s="8" t="s">
        <v>66</v>
      </c>
      <c r="H12" s="3" t="s">
        <v>85</v>
      </c>
      <c r="I12" s="3" t="s">
        <v>80</v>
      </c>
      <c r="J12" s="7" t="s">
        <v>81</v>
      </c>
    </row>
    <row r="13" customFormat="false" ht="48" hidden="false" customHeight="true" outlineLevel="0" collapsed="false">
      <c r="A13" s="2" t="s">
        <v>86</v>
      </c>
      <c r="B13" s="9" t="s">
        <v>66</v>
      </c>
      <c r="C13" s="3" t="s">
        <v>87</v>
      </c>
      <c r="D13" s="9" t="s">
        <v>66</v>
      </c>
      <c r="E13" s="8" t="s">
        <v>66</v>
      </c>
      <c r="F13" s="8" t="s">
        <v>66</v>
      </c>
      <c r="G13" s="8" t="s">
        <v>66</v>
      </c>
      <c r="H13" s="3" t="s">
        <v>88</v>
      </c>
      <c r="I13" s="3" t="s">
        <v>80</v>
      </c>
      <c r="J13" s="7" t="s">
        <v>87</v>
      </c>
    </row>
    <row r="15" customFormat="false" ht="39.75" hidden="false" customHeight="true" outlineLevel="0" collapsed="false">
      <c r="A15" s="3" t="s">
        <v>89</v>
      </c>
      <c r="B15" s="3"/>
      <c r="C15" s="3"/>
      <c r="D15" s="3"/>
      <c r="E15" s="3"/>
      <c r="F15" s="3"/>
      <c r="G15" s="3"/>
      <c r="H15" s="3"/>
      <c r="I15" s="3"/>
      <c r="J15" s="3"/>
    </row>
  </sheetData>
  <mergeCells count="1">
    <mergeCell ref="A15:J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2" min="11" style="0" width="12"/>
    <col collapsed="false" customWidth="true" hidden="false" outlineLevel="0" max="13" min="13" style="0" width="60"/>
  </cols>
  <sheetData>
    <row r="1" customFormat="false" ht="17.35" hidden="false" customHeight="false" outlineLevel="0" collapsed="false">
      <c r="A1" s="1" t="s">
        <v>90</v>
      </c>
    </row>
    <row r="3" customFormat="false" ht="42" hidden="false" customHeight="true" outlineLevel="0" collapsed="false">
      <c r="A3" s="4" t="s">
        <v>36</v>
      </c>
      <c r="B3" s="4" t="s">
        <v>91</v>
      </c>
      <c r="C3" s="4" t="s">
        <v>92</v>
      </c>
      <c r="D3" s="4" t="s">
        <v>93</v>
      </c>
      <c r="E3" s="4" t="s">
        <v>37</v>
      </c>
      <c r="F3" s="4" t="s">
        <v>94</v>
      </c>
      <c r="G3" s="4" t="s">
        <v>95</v>
      </c>
      <c r="H3" s="4" t="s">
        <v>96</v>
      </c>
      <c r="I3" s="4" t="s">
        <v>97</v>
      </c>
      <c r="J3" s="4" t="s">
        <v>98</v>
      </c>
      <c r="K3" s="4" t="s">
        <v>99</v>
      </c>
      <c r="L3" s="4" t="s">
        <v>100</v>
      </c>
      <c r="M3" s="4" t="s">
        <v>101</v>
      </c>
    </row>
    <row r="4" customFormat="false" ht="15" hidden="false" customHeight="false" outlineLevel="0" collapsed="false">
      <c r="A4" s="10" t="s">
        <v>45</v>
      </c>
      <c r="B4" s="3" t="s">
        <v>102</v>
      </c>
      <c r="C4" s="10" t="s">
        <v>103</v>
      </c>
      <c r="D4" s="10" t="s">
        <v>104</v>
      </c>
      <c r="E4" s="5" t="n">
        <f aca="false">Observations!$S$42</f>
        <v>1200</v>
      </c>
      <c r="F4" s="5" t="n">
        <f aca="false">Observations!$S$43</f>
        <v>2085.78033969767</v>
      </c>
      <c r="G4" s="9" t="n">
        <f aca="false">E4-F4</f>
        <v>-885.780339697666</v>
      </c>
      <c r="H4" s="8" t="n">
        <f aca="false">E4/F4-1</f>
        <v>-0.42467575460322</v>
      </c>
      <c r="I4" s="11" t="n">
        <f aca="false">E4/F4*100</f>
        <v>57.532424539678</v>
      </c>
      <c r="J4" s="6" t="n">
        <f aca="false">Observations!$Y$42</f>
        <v>0.354238857872395</v>
      </c>
      <c r="K4" s="6" t="n">
        <f aca="false">Observations!$Y$43</f>
        <v>0.615720371089331</v>
      </c>
      <c r="L4" s="10" t="s">
        <v>105</v>
      </c>
      <c r="M4" s="3" t="s">
        <v>106</v>
      </c>
    </row>
    <row r="5" customFormat="false" ht="15" hidden="false" customHeight="false" outlineLevel="0" collapsed="false">
      <c r="A5" s="10" t="s">
        <v>45</v>
      </c>
      <c r="B5" s="3" t="s">
        <v>107</v>
      </c>
      <c r="C5" s="10" t="s">
        <v>108</v>
      </c>
      <c r="D5" s="10" t="s">
        <v>109</v>
      </c>
      <c r="E5" s="5" t="n">
        <f aca="false">Observations!$S$20</f>
        <v>2800</v>
      </c>
      <c r="F5" s="5" t="n">
        <f aca="false">Observations!$S$40</f>
        <v>2964.4545671251</v>
      </c>
      <c r="G5" s="9" t="n">
        <f aca="false">E5-F5</f>
        <v>-164.454567125104</v>
      </c>
      <c r="H5" s="8" t="n">
        <f aca="false">E5/F5-1</f>
        <v>-0.0554754891334327</v>
      </c>
      <c r="I5" s="11" t="n">
        <f aca="false">E5/F5*100</f>
        <v>94.4524510866567</v>
      </c>
      <c r="J5" s="6" t="n">
        <f aca="false">Observations!$Y$20</f>
        <v>1.02522645178755</v>
      </c>
      <c r="K5" s="6" t="n">
        <f aca="false">Observations!$Y$40</f>
        <v>1.08544187047824</v>
      </c>
      <c r="L5" s="10" t="s">
        <v>105</v>
      </c>
      <c r="M5" s="3" t="s">
        <v>110</v>
      </c>
    </row>
    <row r="6" customFormat="false" ht="15" hidden="false" customHeight="false" outlineLevel="0" collapsed="false">
      <c r="A6" s="10" t="s">
        <v>45</v>
      </c>
      <c r="B6" s="3" t="s">
        <v>111</v>
      </c>
      <c r="C6" s="10" t="s">
        <v>112</v>
      </c>
      <c r="D6" s="10" t="s">
        <v>113</v>
      </c>
      <c r="E6" s="5" t="n">
        <f aca="false">Observations!$S$21</f>
        <v>1200</v>
      </c>
      <c r="F6" s="5" t="n">
        <f aca="false">Observations!$S$41</f>
        <v>2059.19544268274</v>
      </c>
      <c r="G6" s="9" t="n">
        <f aca="false">E6-F6</f>
        <v>-859.195442682744</v>
      </c>
      <c r="H6" s="8" t="n">
        <f aca="false">E6/F6-1</f>
        <v>-0.417248127532457</v>
      </c>
      <c r="I6" s="11" t="n">
        <f aca="false">E6/F6*100</f>
        <v>58.2751872467543</v>
      </c>
      <c r="J6" s="6" t="n">
        <f aca="false">Observations!$Y$21</f>
        <v>0.450052659103987</v>
      </c>
      <c r="K6" s="6" t="n">
        <f aca="false">Observations!$Y$41</f>
        <v>0.772288653828484</v>
      </c>
      <c r="L6" s="10" t="s">
        <v>105</v>
      </c>
      <c r="M6" s="3"/>
    </row>
    <row r="7" customFormat="false" ht="15" hidden="false" customHeight="false" outlineLevel="0" collapsed="false">
      <c r="A7" s="10" t="s">
        <v>45</v>
      </c>
      <c r="B7" s="3" t="s">
        <v>114</v>
      </c>
      <c r="C7" s="10" t="s">
        <v>112</v>
      </c>
      <c r="D7" s="10" t="s">
        <v>115</v>
      </c>
      <c r="E7" s="5" t="n">
        <f aca="false">Observations!$S$21</f>
        <v>1200</v>
      </c>
      <c r="F7" s="5" t="n">
        <f aca="false">Observations!$S$45</f>
        <v>1325</v>
      </c>
      <c r="G7" s="9" t="n">
        <f aca="false">E7-F7</f>
        <v>-125</v>
      </c>
      <c r="H7" s="8" t="n">
        <f aca="false">E7/F7-1</f>
        <v>-0.0943396226415094</v>
      </c>
      <c r="I7" s="11" t="n">
        <f aca="false">E7/F7*100</f>
        <v>90.5660377358491</v>
      </c>
      <c r="J7" s="6" t="n">
        <f aca="false">Observations!$Y$21</f>
        <v>0.450052659103987</v>
      </c>
      <c r="K7" s="6" t="n">
        <f aca="false">Observations!$Y$45</f>
        <v>0.708385230513616</v>
      </c>
      <c r="L7" s="12" t="s">
        <v>116</v>
      </c>
      <c r="M7" s="3" t="s">
        <v>117</v>
      </c>
    </row>
    <row r="8" customFormat="false" ht="15" hidden="false" customHeight="false" outlineLevel="0" collapsed="false">
      <c r="A8" s="10" t="s">
        <v>45</v>
      </c>
      <c r="B8" s="3" t="s">
        <v>118</v>
      </c>
      <c r="C8" s="10" t="s">
        <v>112</v>
      </c>
      <c r="D8" s="10" t="s">
        <v>119</v>
      </c>
      <c r="E8" s="5" t="n">
        <f aca="false">Observations!$S$21</f>
        <v>1200</v>
      </c>
      <c r="F8" s="5" t="n">
        <f aca="false">Observations!$S$47</f>
        <v>2175</v>
      </c>
      <c r="G8" s="9" t="n">
        <f aca="false">E8-F8</f>
        <v>-975</v>
      </c>
      <c r="H8" s="8" t="n">
        <f aca="false">E8/F8-1</f>
        <v>-0.448275862068966</v>
      </c>
      <c r="I8" s="11" t="n">
        <f aca="false">E8/F8*100</f>
        <v>55.1724137931034</v>
      </c>
      <c r="J8" s="6" t="n">
        <f aca="false">Observations!$Y$21</f>
        <v>0.450052659103987</v>
      </c>
      <c r="K8" s="6" t="n">
        <f aca="false">Observations!$Y$47</f>
        <v>0.868873661158462</v>
      </c>
      <c r="L8" s="12" t="s">
        <v>116</v>
      </c>
      <c r="M8" s="3" t="s">
        <v>120</v>
      </c>
    </row>
    <row r="9" customFormat="false" ht="15" hidden="false" customHeight="false" outlineLevel="0" collapsed="false">
      <c r="A9" s="10" t="s">
        <v>45</v>
      </c>
      <c r="B9" s="3" t="s">
        <v>121</v>
      </c>
      <c r="C9" s="10" t="s">
        <v>103</v>
      </c>
      <c r="D9" s="10" t="s">
        <v>122</v>
      </c>
      <c r="E9" s="5" t="n">
        <f aca="false">Observations!$S$42</f>
        <v>1200</v>
      </c>
      <c r="F9" s="5" t="n">
        <f aca="false">Observations!$S$48</f>
        <v>2436.69271274946</v>
      </c>
      <c r="G9" s="9" t="n">
        <f aca="false">E9-F9</f>
        <v>-1236.69271274946</v>
      </c>
      <c r="H9" s="8" t="n">
        <f aca="false">E9/F9-1</f>
        <v>-0.507529203940544</v>
      </c>
      <c r="I9" s="11" t="n">
        <f aca="false">E9/F9*100</f>
        <v>49.2470796059456</v>
      </c>
      <c r="J9" s="6" t="n">
        <f aca="false">Observations!$Y$42</f>
        <v>0.354238857872395</v>
      </c>
      <c r="K9" s="6" t="n">
        <f aca="false">Observations!$Y$48</f>
        <v>0.719309369625296</v>
      </c>
      <c r="L9" s="12" t="s">
        <v>116</v>
      </c>
      <c r="M9" s="3" t="s">
        <v>123</v>
      </c>
    </row>
    <row r="10" customFormat="false" ht="15" hidden="false" customHeight="false" outlineLevel="0" collapsed="false">
      <c r="A10" s="10" t="s">
        <v>45</v>
      </c>
      <c r="B10" s="3" t="s">
        <v>124</v>
      </c>
      <c r="C10" s="10" t="s">
        <v>108</v>
      </c>
      <c r="D10" s="10" t="s">
        <v>125</v>
      </c>
      <c r="E10" s="5" t="n">
        <f aca="false">Observations!$S$20</f>
        <v>2800</v>
      </c>
      <c r="F10" s="5" t="n">
        <f aca="false">Observations!$S$50</f>
        <v>1223.05897842133</v>
      </c>
      <c r="G10" s="9" t="n">
        <f aca="false">E10-F10</f>
        <v>1576.94102157867</v>
      </c>
      <c r="H10" s="8" t="n">
        <f aca="false">E10/F10-1</f>
        <v>1.28934176470714</v>
      </c>
      <c r="I10" s="11" t="n">
        <f aca="false">E10/F10*100</f>
        <v>228.934176470714</v>
      </c>
      <c r="J10" s="6" t="n">
        <f aca="false">Observations!$Y$20</f>
        <v>1.02522645178755</v>
      </c>
      <c r="K10" s="6" t="n">
        <f aca="false">Observations!$Y$50</f>
        <v>0.614582561889328</v>
      </c>
      <c r="L10" s="12" t="s">
        <v>116</v>
      </c>
      <c r="M10" s="3" t="s">
        <v>126</v>
      </c>
    </row>
    <row r="11" customFormat="false" ht="15" hidden="false" customHeight="false" outlineLevel="0" collapsed="false">
      <c r="A11" s="10" t="s">
        <v>50</v>
      </c>
      <c r="B11" s="3" t="s">
        <v>127</v>
      </c>
      <c r="C11" s="10" t="s">
        <v>128</v>
      </c>
      <c r="D11" s="10" t="s">
        <v>129</v>
      </c>
      <c r="E11" s="5" t="n">
        <f aca="false">Observations!$S$61</f>
        <v>1300</v>
      </c>
      <c r="F11" s="5" t="n">
        <f aca="false">Observations!$S$63</f>
        <v>2037.16703893881</v>
      </c>
      <c r="G11" s="9" t="n">
        <f aca="false">E11-F11</f>
        <v>-737.167038938807</v>
      </c>
      <c r="H11" s="8" t="n">
        <f aca="false">E11/F11-1</f>
        <v>-0.36185890741822</v>
      </c>
      <c r="I11" s="11" t="n">
        <f aca="false">E11/F11*100</f>
        <v>63.814109258178</v>
      </c>
      <c r="J11" s="6" t="n">
        <f aca="false">Observations!$Y$61</f>
        <v>0.576957653133884</v>
      </c>
      <c r="K11" s="6" t="n">
        <f aca="false">Observations!$Y$63</f>
        <v>0.904122395252183</v>
      </c>
      <c r="L11" s="10" t="s">
        <v>105</v>
      </c>
      <c r="M11" s="3" t="s">
        <v>130</v>
      </c>
    </row>
    <row r="12" customFormat="false" ht="15" hidden="false" customHeight="false" outlineLevel="0" collapsed="false">
      <c r="A12" s="10" t="s">
        <v>50</v>
      </c>
      <c r="B12" s="3" t="s">
        <v>131</v>
      </c>
      <c r="C12" s="10" t="s">
        <v>132</v>
      </c>
      <c r="D12" s="10" t="s">
        <v>133</v>
      </c>
      <c r="E12" s="5" t="n">
        <f aca="false">Observations!$S$60</f>
        <v>1700</v>
      </c>
      <c r="F12" s="5" t="n">
        <f aca="false">Observations!$S$62</f>
        <v>1796.10938331957</v>
      </c>
      <c r="G12" s="9" t="n">
        <f aca="false">E12-F12</f>
        <v>-96.1093833195662</v>
      </c>
      <c r="H12" s="8" t="n">
        <f aca="false">E12/F12-1</f>
        <v>-0.0535097607150946</v>
      </c>
      <c r="I12" s="11" t="n">
        <f aca="false">E12/F12*100</f>
        <v>94.6490239284905</v>
      </c>
      <c r="J12" s="6" t="n">
        <f aca="false">Observations!$Y$60</f>
        <v>0.738580095759876</v>
      </c>
      <c r="K12" s="6" t="n">
        <f aca="false">Observations!$Y$62</f>
        <v>0.765565934987822</v>
      </c>
      <c r="L12" s="10" t="s">
        <v>105</v>
      </c>
      <c r="M12" s="3" t="s">
        <v>134</v>
      </c>
    </row>
    <row r="13" customFormat="false" ht="15" hidden="false" customHeight="false" outlineLevel="0" collapsed="false">
      <c r="A13" s="10" t="s">
        <v>55</v>
      </c>
      <c r="B13" s="3" t="s">
        <v>135</v>
      </c>
      <c r="C13" s="10" t="s">
        <v>136</v>
      </c>
      <c r="D13" s="10" t="s">
        <v>137</v>
      </c>
      <c r="E13" s="5" t="n">
        <f aca="false">Observations!$S$74</f>
        <v>400</v>
      </c>
      <c r="F13" s="5" t="n">
        <f aca="false">Observations!$S$77</f>
        <v>385</v>
      </c>
      <c r="G13" s="9" t="n">
        <f aca="false">E13-F13</f>
        <v>15</v>
      </c>
      <c r="H13" s="8" t="n">
        <f aca="false">E13/F13-1</f>
        <v>0.0389610389610389</v>
      </c>
      <c r="I13" s="11" t="n">
        <f aca="false">E13/F13*100</f>
        <v>103.896103896104</v>
      </c>
      <c r="J13" s="6" t="n">
        <f aca="false">Observations!$Y$74</f>
        <v>0.456947417453556</v>
      </c>
      <c r="K13" s="6" t="n">
        <f aca="false">Observations!$Y$77</f>
        <v>0.439811889299047</v>
      </c>
      <c r="L13" s="10" t="s">
        <v>105</v>
      </c>
      <c r="M13" s="3" t="s">
        <v>138</v>
      </c>
    </row>
    <row r="14" customFormat="false" ht="15" hidden="false" customHeight="false" outlineLevel="0" collapsed="false">
      <c r="A14" s="10" t="s">
        <v>55</v>
      </c>
      <c r="B14" s="3" t="s">
        <v>139</v>
      </c>
      <c r="C14" s="10" t="s">
        <v>136</v>
      </c>
      <c r="D14" s="10" t="s">
        <v>140</v>
      </c>
      <c r="E14" s="5" t="n">
        <f aca="false">Observations!$S$74</f>
        <v>400</v>
      </c>
      <c r="F14" s="5" t="n">
        <f aca="false">Observations!$S$78</f>
        <v>410</v>
      </c>
      <c r="G14" s="9" t="n">
        <f aca="false">E14-F14</f>
        <v>-10</v>
      </c>
      <c r="H14" s="8" t="n">
        <f aca="false">E14/F14-1</f>
        <v>-0.024390243902439</v>
      </c>
      <c r="I14" s="11" t="n">
        <f aca="false">E14/F14*100</f>
        <v>97.5609756097561</v>
      </c>
      <c r="J14" s="6" t="n">
        <f aca="false">Observations!$Y$74</f>
        <v>0.456947417453556</v>
      </c>
      <c r="K14" s="6" t="n">
        <f aca="false">Observations!$Y$78</f>
        <v>0.468371102889895</v>
      </c>
      <c r="L14" s="10" t="s">
        <v>105</v>
      </c>
      <c r="M14" s="3" t="s">
        <v>141</v>
      </c>
    </row>
    <row r="15" customFormat="false" ht="15" hidden="false" customHeight="false" outlineLevel="0" collapsed="false">
      <c r="A15" s="10" t="s">
        <v>55</v>
      </c>
      <c r="B15" s="3" t="s">
        <v>142</v>
      </c>
      <c r="C15" s="10" t="s">
        <v>136</v>
      </c>
      <c r="D15" s="10" t="s">
        <v>143</v>
      </c>
      <c r="E15" s="5" t="n">
        <f aca="false">Observations!$S$74</f>
        <v>400</v>
      </c>
      <c r="F15" s="5" t="n">
        <f aca="false">Observations!$S$80</f>
        <v>607.91081367625</v>
      </c>
      <c r="G15" s="9" t="n">
        <f aca="false">E15-F15</f>
        <v>-207.91081367625</v>
      </c>
      <c r="H15" s="8" t="n">
        <f aca="false">E15/F15-1</f>
        <v>-0.342008743715118</v>
      </c>
      <c r="I15" s="11" t="n">
        <f aca="false">E15/F15*100</f>
        <v>65.7991256284882</v>
      </c>
      <c r="J15" s="6" t="n">
        <f aca="false">Observations!$Y$74</f>
        <v>0.456947417453556</v>
      </c>
      <c r="K15" s="6" t="n">
        <f aca="false">Observations!$Y$80</f>
        <v>0.69445819087863</v>
      </c>
      <c r="L15" s="10" t="s">
        <v>105</v>
      </c>
      <c r="M15" s="3" t="s">
        <v>144</v>
      </c>
    </row>
    <row r="16" customFormat="false" ht="15" hidden="false" customHeight="false" outlineLevel="0" collapsed="false">
      <c r="A16" s="10" t="s">
        <v>55</v>
      </c>
      <c r="B16" s="3" t="s">
        <v>145</v>
      </c>
      <c r="C16" s="10" t="s">
        <v>136</v>
      </c>
      <c r="D16" s="10" t="s">
        <v>146</v>
      </c>
      <c r="E16" s="5" t="n">
        <f aca="false">Observations!$S$74</f>
        <v>400</v>
      </c>
      <c r="F16" s="5" t="n">
        <f aca="false">Observations!$S$82</f>
        <v>691.818009175122</v>
      </c>
      <c r="G16" s="9" t="n">
        <f aca="false">E16-F16</f>
        <v>-291.818009175122</v>
      </c>
      <c r="H16" s="8" t="n">
        <f aca="false">E16/F16-1</f>
        <v>-0.421813259130196</v>
      </c>
      <c r="I16" s="11" t="n">
        <f aca="false">E16/F16*100</f>
        <v>57.8186740869804</v>
      </c>
      <c r="J16" s="6" t="n">
        <f aca="false">Observations!$Y$74</f>
        <v>0.456947417453556</v>
      </c>
      <c r="K16" s="6" t="n">
        <f aca="false">Observations!$Y$82</f>
        <v>0.790311131601081</v>
      </c>
      <c r="L16" s="12" t="s">
        <v>116</v>
      </c>
      <c r="M16" s="3" t="s">
        <v>147</v>
      </c>
    </row>
    <row r="17" customFormat="false" ht="15" hidden="false" customHeight="false" outlineLevel="0" collapsed="false">
      <c r="A17" s="10" t="s">
        <v>55</v>
      </c>
      <c r="B17" s="3" t="s">
        <v>148</v>
      </c>
      <c r="C17" s="10" t="s">
        <v>149</v>
      </c>
      <c r="D17" s="10" t="s">
        <v>150</v>
      </c>
      <c r="E17" s="5" t="n">
        <f aca="false">Observations!$S$73</f>
        <v>425</v>
      </c>
      <c r="F17" s="5" t="n">
        <f aca="false">Observations!$S$79</f>
        <v>390</v>
      </c>
      <c r="G17" s="9" t="n">
        <f aca="false">E17-F17</f>
        <v>35.0000000000001</v>
      </c>
      <c r="H17" s="8" t="n">
        <f aca="false">E17/F17-1</f>
        <v>0.0897435897435899</v>
      </c>
      <c r="I17" s="11" t="n">
        <f aca="false">E17/F17*100</f>
        <v>108.974358974359</v>
      </c>
      <c r="J17" s="6" t="str">
        <f aca="false">Observations!$Y$73</f>
        <v/>
      </c>
      <c r="K17" s="6" t="str">
        <f aca="false">Observations!$Y$79</f>
        <v/>
      </c>
      <c r="L17" s="10" t="s">
        <v>105</v>
      </c>
      <c r="M17" s="3" t="s">
        <v>151</v>
      </c>
    </row>
    <row r="18" customFormat="false" ht="15" hidden="false" customHeight="false" outlineLevel="0" collapsed="false">
      <c r="A18" s="10" t="s">
        <v>60</v>
      </c>
      <c r="B18" s="3" t="s">
        <v>152</v>
      </c>
      <c r="C18" s="10" t="s">
        <v>153</v>
      </c>
      <c r="D18" s="10" t="s">
        <v>154</v>
      </c>
      <c r="E18" s="5" t="n">
        <f aca="false">Observations!$S$93</f>
        <v>310</v>
      </c>
      <c r="F18" s="5" t="n">
        <f aca="false">Observations!$S$94</f>
        <v>325</v>
      </c>
      <c r="G18" s="9" t="n">
        <f aca="false">E18-F18</f>
        <v>-15</v>
      </c>
      <c r="H18" s="8" t="n">
        <f aca="false">E18/F18-1</f>
        <v>-0.0461538461538461</v>
      </c>
      <c r="I18" s="11" t="n">
        <f aca="false">E18/F18*100</f>
        <v>95.3846153846154</v>
      </c>
      <c r="J18" s="6" t="n">
        <f aca="false">Observations!$Y$93</f>
        <v>0.727950319452892</v>
      </c>
      <c r="K18" s="6" t="str">
        <f aca="false">Observations!$Y$94</f>
        <v/>
      </c>
      <c r="L18" s="10" t="s">
        <v>105</v>
      </c>
      <c r="M18" s="3" t="s">
        <v>155</v>
      </c>
    </row>
    <row r="19" customFormat="false" ht="15" hidden="false" customHeight="false" outlineLevel="0" collapsed="false">
      <c r="A19" s="10" t="s">
        <v>60</v>
      </c>
      <c r="B19" s="3" t="s">
        <v>156</v>
      </c>
      <c r="C19" s="10" t="s">
        <v>153</v>
      </c>
      <c r="D19" s="10" t="s">
        <v>157</v>
      </c>
      <c r="E19" s="5" t="n">
        <f aca="false">Observations!$S$93</f>
        <v>310</v>
      </c>
      <c r="F19" s="5" t="n">
        <f aca="false">Observations!$S$95</f>
        <v>300</v>
      </c>
      <c r="G19" s="9" t="n">
        <f aca="false">E19-F19</f>
        <v>10</v>
      </c>
      <c r="H19" s="8" t="n">
        <f aca="false">E19/F19-1</f>
        <v>0.0333333333333334</v>
      </c>
      <c r="I19" s="11" t="n">
        <f aca="false">E19/F19*100</f>
        <v>103.333333333333</v>
      </c>
      <c r="J19" s="6" t="n">
        <f aca="false">Observations!$Y$93</f>
        <v>0.727950319452892</v>
      </c>
      <c r="K19" s="6" t="str">
        <f aca="false">Observations!$Y$95</f>
        <v/>
      </c>
      <c r="L19" s="10" t="s">
        <v>105</v>
      </c>
      <c r="M19" s="3"/>
    </row>
    <row r="20" customFormat="false" ht="15" hidden="false" customHeight="false" outlineLevel="0" collapsed="false">
      <c r="A20" s="10" t="s">
        <v>60</v>
      </c>
      <c r="B20" s="3" t="s">
        <v>158</v>
      </c>
      <c r="C20" s="10" t="s">
        <v>153</v>
      </c>
      <c r="D20" s="10" t="s">
        <v>159</v>
      </c>
      <c r="E20" s="5" t="n">
        <f aca="false">Observations!$S$93</f>
        <v>310</v>
      </c>
      <c r="F20" s="5" t="n">
        <f aca="false">Observations!$S$96</f>
        <v>300</v>
      </c>
      <c r="G20" s="9" t="n">
        <f aca="false">E20-F20</f>
        <v>10</v>
      </c>
      <c r="H20" s="8" t="n">
        <f aca="false">E20/F20-1</f>
        <v>0.0333333333333334</v>
      </c>
      <c r="I20" s="11" t="n">
        <f aca="false">E20/F20*100</f>
        <v>103.333333333333</v>
      </c>
      <c r="J20" s="6" t="n">
        <f aca="false">Observations!$Y$93</f>
        <v>0.727950319452892</v>
      </c>
      <c r="K20" s="6" t="str">
        <f aca="false">Observations!$Y$96</f>
        <v/>
      </c>
      <c r="L20" s="10" t="s">
        <v>105</v>
      </c>
      <c r="M20" s="3" t="s">
        <v>160</v>
      </c>
    </row>
    <row r="21" customFormat="false" ht="15" hidden="false" customHeight="false" outlineLevel="0" collapsed="false">
      <c r="A21" s="10" t="s">
        <v>60</v>
      </c>
      <c r="B21" s="3" t="s">
        <v>161</v>
      </c>
      <c r="C21" s="10" t="s">
        <v>153</v>
      </c>
      <c r="D21" s="10" t="s">
        <v>162</v>
      </c>
      <c r="E21" s="5" t="n">
        <f aca="false">Observations!$S$93</f>
        <v>310</v>
      </c>
      <c r="F21" s="5" t="n">
        <f aca="false">Observations!$S$97</f>
        <v>300</v>
      </c>
      <c r="G21" s="9" t="n">
        <f aca="false">E21-F21</f>
        <v>10</v>
      </c>
      <c r="H21" s="8" t="n">
        <f aca="false">E21/F21-1</f>
        <v>0.0333333333333334</v>
      </c>
      <c r="I21" s="11" t="n">
        <f aca="false">E21/F21*100</f>
        <v>103.333333333333</v>
      </c>
      <c r="J21" s="6" t="n">
        <f aca="false">Observations!$Y$93</f>
        <v>0.727950319452892</v>
      </c>
      <c r="K21" s="6" t="str">
        <f aca="false">Observations!$Y$97</f>
        <v/>
      </c>
      <c r="L21" s="10" t="s">
        <v>105</v>
      </c>
      <c r="M21" s="3" t="s">
        <v>163</v>
      </c>
    </row>
    <row r="22" customFormat="false" ht="15" hidden="false" customHeight="false" outlineLevel="0" collapsed="false">
      <c r="A22" s="10" t="s">
        <v>60</v>
      </c>
      <c r="B22" s="3" t="s">
        <v>164</v>
      </c>
      <c r="C22" s="10" t="s">
        <v>153</v>
      </c>
      <c r="D22" s="10" t="s">
        <v>165</v>
      </c>
      <c r="E22" s="5" t="n">
        <f aca="false">Observations!$S$93</f>
        <v>310</v>
      </c>
      <c r="F22" s="5" t="n">
        <f aca="false">Observations!$S$98</f>
        <v>350</v>
      </c>
      <c r="G22" s="9" t="n">
        <f aca="false">E22-F22</f>
        <v>-40</v>
      </c>
      <c r="H22" s="8" t="n">
        <f aca="false">E22/F22-1</f>
        <v>-0.114285714285714</v>
      </c>
      <c r="I22" s="11" t="n">
        <f aca="false">E22/F22*100</f>
        <v>88.5714285714286</v>
      </c>
      <c r="J22" s="6" t="n">
        <f aca="false">Observations!$Y$93</f>
        <v>0.727950319452892</v>
      </c>
      <c r="K22" s="6" t="str">
        <f aca="false">Observations!$Y$98</f>
        <v/>
      </c>
      <c r="L22" s="12" t="s">
        <v>116</v>
      </c>
      <c r="M22" s="3" t="s">
        <v>166</v>
      </c>
    </row>
    <row r="23" customFormat="false" ht="15" hidden="false" customHeight="false" outlineLevel="0" collapsed="false">
      <c r="A23" s="10" t="s">
        <v>64</v>
      </c>
      <c r="B23" s="3" t="s">
        <v>167</v>
      </c>
      <c r="C23" s="10" t="s">
        <v>168</v>
      </c>
      <c r="D23" s="10" t="s">
        <v>169</v>
      </c>
      <c r="E23" s="5" t="n">
        <f aca="false">Observations!$V$102</f>
        <v>730</v>
      </c>
      <c r="F23" s="5" t="n">
        <f aca="false">Observations!$V$109</f>
        <v>1004.29498347535</v>
      </c>
      <c r="G23" s="9" t="n">
        <f aca="false">E23-F23</f>
        <v>-274.29498347535</v>
      </c>
      <c r="H23" s="8" t="n">
        <f aca="false">E23/F23-1</f>
        <v>-0.273121929302241</v>
      </c>
      <c r="I23" s="11" t="n">
        <f aca="false">E23/F23*100</f>
        <v>72.6878070697759</v>
      </c>
      <c r="J23" s="6" t="n">
        <f aca="false">Observations!$Y$102</f>
        <v>0.606916593509859</v>
      </c>
      <c r="K23" s="6" t="n">
        <f aca="false">Observations!$Y$109</f>
        <v>1.00609327286599</v>
      </c>
      <c r="L23" s="12" t="s">
        <v>116</v>
      </c>
      <c r="M23" s="3" t="s">
        <v>170</v>
      </c>
    </row>
    <row r="24" customFormat="false" ht="15" hidden="false" customHeight="false" outlineLevel="0" collapsed="false">
      <c r="A24" s="10" t="s">
        <v>64</v>
      </c>
      <c r="B24" s="3" t="s">
        <v>171</v>
      </c>
      <c r="C24" s="10" t="s">
        <v>172</v>
      </c>
      <c r="D24" s="10" t="s">
        <v>173</v>
      </c>
      <c r="E24" s="5" t="n">
        <f aca="false">Observations!$V$108</f>
        <v>806.666666666667</v>
      </c>
      <c r="F24" s="5" t="n">
        <f aca="false">Observations!$V$110</f>
        <v>1283.83777283919</v>
      </c>
      <c r="G24" s="9" t="n">
        <f aca="false">E24-F24</f>
        <v>-477.171106172521</v>
      </c>
      <c r="H24" s="8" t="n">
        <f aca="false">E24/F24-1</f>
        <v>-0.371675546761071</v>
      </c>
      <c r="I24" s="11" t="n">
        <f aca="false">E24/F24*100</f>
        <v>62.8324453238929</v>
      </c>
      <c r="J24" s="6" t="str">
        <f aca="false">Observations!$Y$108</f>
        <v/>
      </c>
      <c r="K24" s="6" t="str">
        <f aca="false">Observations!$Y$110</f>
        <v/>
      </c>
      <c r="L24" s="12" t="s">
        <v>116</v>
      </c>
      <c r="M24" s="3" t="s">
        <v>174</v>
      </c>
    </row>
    <row r="25" customFormat="false" ht="15" hidden="false" customHeight="false" outlineLevel="0" collapsed="false">
      <c r="A25" s="10" t="s">
        <v>69</v>
      </c>
      <c r="B25" s="3" t="s">
        <v>175</v>
      </c>
      <c r="C25" s="10" t="s">
        <v>176</v>
      </c>
      <c r="D25" s="10" t="s">
        <v>177</v>
      </c>
      <c r="E25" s="5" t="n">
        <f aca="false">Observations!$S$111</f>
        <v>80</v>
      </c>
      <c r="F25" s="5" t="n">
        <f aca="false">Observations!$S$114</f>
        <v>114.8472019431</v>
      </c>
      <c r="G25" s="9" t="n">
        <f aca="false">E25-F25</f>
        <v>-34.8472019431002</v>
      </c>
      <c r="H25" s="8" t="n">
        <f aca="false">E25/F25-1</f>
        <v>-0.303422298092772</v>
      </c>
      <c r="I25" s="11" t="n">
        <f aca="false">E25/F25*100</f>
        <v>69.6577701907228</v>
      </c>
      <c r="J25" s="6" t="n">
        <f aca="false">Observations!$Y$111</f>
        <v>0.14347141986305</v>
      </c>
      <c r="K25" s="6" t="n">
        <f aca="false">Observations!$Y$114</f>
        <v>0.205966139125938</v>
      </c>
      <c r="L25" s="12" t="s">
        <v>116</v>
      </c>
      <c r="M25" s="3" t="s">
        <v>178</v>
      </c>
    </row>
    <row r="26" customFormat="false" ht="15" hidden="false" customHeight="false" outlineLevel="0" collapsed="false">
      <c r="A26" s="10" t="s">
        <v>69</v>
      </c>
      <c r="B26" s="3" t="s">
        <v>179</v>
      </c>
      <c r="C26" s="10" t="s">
        <v>176</v>
      </c>
      <c r="D26" s="10" t="s">
        <v>180</v>
      </c>
      <c r="E26" s="5" t="n">
        <f aca="false">Observations!$S$111</f>
        <v>80</v>
      </c>
      <c r="F26" s="5" t="n">
        <f aca="false">Observations!$S$115</f>
        <v>127.090897367727</v>
      </c>
      <c r="G26" s="9" t="n">
        <f aca="false">E26-F26</f>
        <v>-47.0908973677273</v>
      </c>
      <c r="H26" s="8" t="n">
        <f aca="false">E26/F26-1</f>
        <v>-0.370529269546926</v>
      </c>
      <c r="I26" s="11" t="n">
        <f aca="false">E26/F26*100</f>
        <v>62.9470730453074</v>
      </c>
      <c r="J26" s="6" t="n">
        <f aca="false">Observations!$Y$111</f>
        <v>0.14347141986305</v>
      </c>
      <c r="K26" s="6" t="n">
        <f aca="false">Observations!$Y$115</f>
        <v>0.216889150377712</v>
      </c>
      <c r="L26" s="12" t="s">
        <v>116</v>
      </c>
      <c r="M26" s="3" t="s">
        <v>181</v>
      </c>
    </row>
    <row r="27" customFormat="false" ht="15" hidden="false" customHeight="false" outlineLevel="0" collapsed="false">
      <c r="A27" s="10" t="s">
        <v>73</v>
      </c>
      <c r="B27" s="3" t="s">
        <v>182</v>
      </c>
      <c r="C27" s="10" t="s">
        <v>183</v>
      </c>
      <c r="D27" s="10" t="s">
        <v>184</v>
      </c>
      <c r="E27" s="5" t="n">
        <f aca="false">Observations!$S$116</f>
        <v>233</v>
      </c>
      <c r="F27" s="5" t="n">
        <f aca="false">Observations!$S$117</f>
        <v>130</v>
      </c>
      <c r="G27" s="9" t="n">
        <f aca="false">E27-F27</f>
        <v>103</v>
      </c>
      <c r="H27" s="8" t="n">
        <f aca="false">E27/F27-1</f>
        <v>0.792307692307692</v>
      </c>
      <c r="I27" s="11" t="n">
        <f aca="false">E27/F27*100</f>
        <v>179.230769230769</v>
      </c>
      <c r="J27" s="6" t="n">
        <f aca="false">Observations!$Y$116</f>
        <v>1.51039392053486</v>
      </c>
      <c r="K27" s="6" t="n">
        <f aca="false">Observations!$Y$117</f>
        <v>0.842709054375671</v>
      </c>
      <c r="L27" s="10" t="s">
        <v>105</v>
      </c>
      <c r="M27" s="3" t="s">
        <v>185</v>
      </c>
    </row>
    <row r="28" customFormat="false" ht="15" hidden="false" customHeight="false" outlineLevel="0" collapsed="false">
      <c r="A28" s="10" t="s">
        <v>73</v>
      </c>
      <c r="B28" s="3" t="s">
        <v>186</v>
      </c>
      <c r="C28" s="10" t="s">
        <v>183</v>
      </c>
      <c r="D28" s="10" t="s">
        <v>187</v>
      </c>
      <c r="E28" s="5" t="n">
        <f aca="false">Observations!$S$116</f>
        <v>233</v>
      </c>
      <c r="F28" s="5" t="n">
        <f aca="false">Observations!$S$118</f>
        <v>123.69115921635</v>
      </c>
      <c r="G28" s="9" t="n">
        <f aca="false">E28-F28</f>
        <v>109.30884078365</v>
      </c>
      <c r="H28" s="8" t="n">
        <f aca="false">E28/F28-1</f>
        <v>0.883723957930223</v>
      </c>
      <c r="I28" s="11" t="n">
        <f aca="false">E28/F28*100</f>
        <v>188.372395793022</v>
      </c>
      <c r="J28" s="6" t="n">
        <f aca="false">Observations!$Y$116</f>
        <v>1.51039392053486</v>
      </c>
      <c r="K28" s="6" t="n">
        <f aca="false">Observations!$Y$118</f>
        <v>0.801812767829545</v>
      </c>
      <c r="L28" s="12" t="s">
        <v>116</v>
      </c>
      <c r="M28" s="3" t="s">
        <v>188</v>
      </c>
    </row>
    <row r="30" customFormat="false" ht="15" hidden="false" customHeight="false" outlineLevel="0" collapsed="false">
      <c r="A30" s="13" t="s">
        <v>189</v>
      </c>
    </row>
    <row r="31" customFormat="false" ht="42" hidden="false" customHeight="true" outlineLevel="0" collapsed="false">
      <c r="A31" s="4" t="s">
        <v>36</v>
      </c>
      <c r="B31" s="4" t="s">
        <v>190</v>
      </c>
      <c r="C31" s="4" t="s">
        <v>191</v>
      </c>
      <c r="D31" s="4" t="s">
        <v>192</v>
      </c>
      <c r="E31" s="4" t="s">
        <v>37</v>
      </c>
      <c r="F31" s="4" t="s">
        <v>193</v>
      </c>
      <c r="G31" s="4" t="s">
        <v>194</v>
      </c>
      <c r="H31" s="4" t="s">
        <v>195</v>
      </c>
      <c r="I31" s="4" t="s">
        <v>196</v>
      </c>
      <c r="J31" s="4" t="s">
        <v>197</v>
      </c>
      <c r="K31" s="4" t="s">
        <v>198</v>
      </c>
      <c r="L31" s="4" t="s">
        <v>199</v>
      </c>
      <c r="M31" s="4" t="s">
        <v>200</v>
      </c>
    </row>
    <row r="32" customFormat="false" ht="23.85" hidden="false" customHeight="false" outlineLevel="0" collapsed="false">
      <c r="A32" s="13" t="s">
        <v>45</v>
      </c>
      <c r="B32" s="10" t="s">
        <v>201</v>
      </c>
      <c r="C32" s="10" t="s">
        <v>103</v>
      </c>
      <c r="D32" s="10" t="s">
        <v>202</v>
      </c>
      <c r="E32" s="5" t="n">
        <f aca="false">Observations!$S$42</f>
        <v>1200</v>
      </c>
      <c r="F32" s="5" t="n">
        <f aca="false">MEDIAN(Observations!$S$43)</f>
        <v>2085.78033969767</v>
      </c>
      <c r="G32" s="9" t="n">
        <f aca="false">E32-F32</f>
        <v>-885.780339697666</v>
      </c>
      <c r="H32" s="8" t="n">
        <f aca="false">E32/F32-1</f>
        <v>-0.42467575460322</v>
      </c>
      <c r="I32" s="11" t="n">
        <f aca="false">E32/F32*100</f>
        <v>57.532424539678</v>
      </c>
      <c r="J32" s="6" t="n">
        <f aca="false">Observations!$Y$42</f>
        <v>0.354238857872395</v>
      </c>
      <c r="K32" s="6" t="n">
        <f aca="false">IFERROR(MEDIAN(Observations!$Y$43),"")</f>
        <v>0.615720371089331</v>
      </c>
      <c r="L32" s="11" t="n">
        <v>1</v>
      </c>
      <c r="M32" s="3" t="s">
        <v>203</v>
      </c>
    </row>
    <row r="33" customFormat="false" ht="15" hidden="false" customHeight="false" outlineLevel="0" collapsed="false">
      <c r="A33" s="13" t="s">
        <v>50</v>
      </c>
      <c r="B33" s="10" t="s">
        <v>204</v>
      </c>
      <c r="C33" s="10" t="s">
        <v>128</v>
      </c>
      <c r="D33" s="10" t="s">
        <v>202</v>
      </c>
      <c r="E33" s="5" t="n">
        <f aca="false">Observations!$S$61</f>
        <v>1300</v>
      </c>
      <c r="F33" s="5" t="n">
        <f aca="false">MEDIAN(Observations!$S$63,Observations!$S$62)</f>
        <v>1916.63821112919</v>
      </c>
      <c r="G33" s="9" t="n">
        <f aca="false">E33-F33</f>
        <v>-616.638211129187</v>
      </c>
      <c r="H33" s="8" t="n">
        <f aca="false">E33/F33-1</f>
        <v>-0.321729060575232</v>
      </c>
      <c r="I33" s="11" t="n">
        <f aca="false">E33/F33*100</f>
        <v>67.8270939424768</v>
      </c>
      <c r="J33" s="6" t="n">
        <f aca="false">Observations!$Y$61</f>
        <v>0.576957653133884</v>
      </c>
      <c r="K33" s="6" t="n">
        <f aca="false">IFERROR(MEDIAN(Observations!$Y$63,Observations!$Y$62),"")</f>
        <v>0.834844165120003</v>
      </c>
      <c r="L33" s="11" t="n">
        <v>2</v>
      </c>
      <c r="M33" s="3" t="s">
        <v>205</v>
      </c>
    </row>
    <row r="34" customFormat="false" ht="23.85" hidden="false" customHeight="false" outlineLevel="0" collapsed="false">
      <c r="A34" s="13" t="s">
        <v>55</v>
      </c>
      <c r="B34" s="10" t="s">
        <v>206</v>
      </c>
      <c r="C34" s="10" t="s">
        <v>136</v>
      </c>
      <c r="D34" s="10" t="s">
        <v>202</v>
      </c>
      <c r="E34" s="5" t="n">
        <f aca="false">Observations!$S$74</f>
        <v>400</v>
      </c>
      <c r="F34" s="5" t="n">
        <f aca="false">MEDIAN(Observations!$S$77,Observations!$S$78,Observations!$S$80)</f>
        <v>410</v>
      </c>
      <c r="G34" s="9" t="n">
        <f aca="false">E34-F34</f>
        <v>-10</v>
      </c>
      <c r="H34" s="8" t="n">
        <f aca="false">E34/F34-1</f>
        <v>-0.024390243902439</v>
      </c>
      <c r="I34" s="11" t="n">
        <f aca="false">E34/F34*100</f>
        <v>97.5609756097561</v>
      </c>
      <c r="J34" s="6" t="n">
        <f aca="false">Observations!$Y$74</f>
        <v>0.456947417453556</v>
      </c>
      <c r="K34" s="6" t="n">
        <f aca="false">IFERROR(MEDIAN(Observations!$Y$77,Observations!$Y$78,Observations!$Y$80),"")</f>
        <v>0.468371102889895</v>
      </c>
      <c r="L34" s="11" t="n">
        <v>3</v>
      </c>
      <c r="M34" s="3" t="s">
        <v>207</v>
      </c>
    </row>
    <row r="35" customFormat="false" ht="15" hidden="false" customHeight="false" outlineLevel="0" collapsed="false">
      <c r="A35" s="13" t="s">
        <v>60</v>
      </c>
      <c r="B35" s="10" t="s">
        <v>208</v>
      </c>
      <c r="C35" s="10" t="s">
        <v>153</v>
      </c>
      <c r="D35" s="10" t="s">
        <v>202</v>
      </c>
      <c r="E35" s="5" t="n">
        <f aca="false">Observations!$S$93</f>
        <v>310</v>
      </c>
      <c r="F35" s="5" t="n">
        <f aca="false">MEDIAN(Observations!$S$94,Observations!$S$95,Observations!$S$96,Observations!$S$97)</f>
        <v>300</v>
      </c>
      <c r="G35" s="9" t="n">
        <f aca="false">E35-F35</f>
        <v>10</v>
      </c>
      <c r="H35" s="8" t="n">
        <f aca="false">E35/F35-1</f>
        <v>0.0333333333333334</v>
      </c>
      <c r="I35" s="11" t="n">
        <f aca="false">E35/F35*100</f>
        <v>103.333333333333</v>
      </c>
      <c r="J35" s="6" t="n">
        <f aca="false">Observations!$Y$93</f>
        <v>0.727950319452892</v>
      </c>
      <c r="K35" s="6" t="str">
        <f aca="false">IFERROR(MEDIAN(Observations!$Y$94,Observations!$Y$95,Observations!$Y$96,Observations!$Y$97),"")</f>
        <v/>
      </c>
      <c r="L35" s="11" t="n">
        <v>4</v>
      </c>
      <c r="M35" s="3" t="s">
        <v>209</v>
      </c>
    </row>
    <row r="36" customFormat="false" ht="15" hidden="false" customHeight="false" outlineLevel="0" collapsed="false">
      <c r="A36" s="13" t="s">
        <v>64</v>
      </c>
      <c r="B36" s="10" t="s">
        <v>210</v>
      </c>
      <c r="C36" s="10" t="s">
        <v>172</v>
      </c>
      <c r="D36" s="12" t="s">
        <v>211</v>
      </c>
      <c r="E36" s="5" t="n">
        <f aca="false">Observations!$V$108</f>
        <v>806.666666666667</v>
      </c>
      <c r="F36" s="5" t="n">
        <f aca="false">MEDIAN(Observations!$V$109,Observations!$V$110)</f>
        <v>1144.06637815727</v>
      </c>
      <c r="G36" s="9" t="n">
        <f aca="false">E36-F36</f>
        <v>-337.399711490602</v>
      </c>
      <c r="H36" s="8" t="n">
        <f aca="false">E36/F36-1</f>
        <v>-0.294912706056485</v>
      </c>
      <c r="I36" s="11" t="n">
        <f aca="false">E36/F36*100</f>
        <v>70.5087293943515</v>
      </c>
      <c r="J36" s="6" t="str">
        <f aca="false">Observations!$Y$108</f>
        <v/>
      </c>
      <c r="K36" s="6" t="n">
        <f aca="false">IFERROR(MEDIAN(Observations!$Y$109,Observations!$Y$110),"")</f>
        <v>1.00609327286599</v>
      </c>
      <c r="L36" s="11" t="n">
        <v>2</v>
      </c>
      <c r="M36" s="3" t="s">
        <v>212</v>
      </c>
    </row>
    <row r="37" customFormat="false" ht="15" hidden="false" customHeight="false" outlineLevel="0" collapsed="false">
      <c r="A37" s="13" t="s">
        <v>69</v>
      </c>
      <c r="B37" s="10" t="s">
        <v>213</v>
      </c>
      <c r="C37" s="10" t="s">
        <v>176</v>
      </c>
      <c r="D37" s="12" t="s">
        <v>211</v>
      </c>
      <c r="E37" s="5" t="n">
        <f aca="false">Observations!$S$111</f>
        <v>80</v>
      </c>
      <c r="F37" s="5" t="n">
        <f aca="false">MEDIAN(Observations!$S$114,Observations!$S$115)</f>
        <v>120.969049655414</v>
      </c>
      <c r="G37" s="9" t="n">
        <f aca="false">E37-F37</f>
        <v>-40.9690496554138</v>
      </c>
      <c r="H37" s="8" t="n">
        <f aca="false">E37/F37-1</f>
        <v>-0.338673815923297</v>
      </c>
      <c r="I37" s="11" t="n">
        <f aca="false">E37/F37*100</f>
        <v>66.1326184076703</v>
      </c>
      <c r="J37" s="6" t="n">
        <f aca="false">Observations!$Y$111</f>
        <v>0.14347141986305</v>
      </c>
      <c r="K37" s="6" t="n">
        <f aca="false">IFERROR(MEDIAN(Observations!$Y$114,Observations!$Y$115),"")</f>
        <v>0.211427644751825</v>
      </c>
      <c r="L37" s="11" t="n">
        <v>2</v>
      </c>
      <c r="M37" s="3" t="s">
        <v>214</v>
      </c>
    </row>
    <row r="38" customFormat="false" ht="15" hidden="false" customHeight="false" outlineLevel="0" collapsed="false">
      <c r="A38" s="13" t="s">
        <v>73</v>
      </c>
      <c r="B38" s="10" t="s">
        <v>215</v>
      </c>
      <c r="C38" s="10" t="s">
        <v>183</v>
      </c>
      <c r="D38" s="10" t="s">
        <v>202</v>
      </c>
      <c r="E38" s="5" t="n">
        <f aca="false">Observations!$S$116</f>
        <v>233</v>
      </c>
      <c r="F38" s="5" t="n">
        <f aca="false">MEDIAN(Observations!$S$117)</f>
        <v>130</v>
      </c>
      <c r="G38" s="9" t="n">
        <f aca="false">E38-F38</f>
        <v>103</v>
      </c>
      <c r="H38" s="8" t="n">
        <f aca="false">E38/F38-1</f>
        <v>0.792307692307692</v>
      </c>
      <c r="I38" s="11" t="n">
        <f aca="false">E38/F38*100</f>
        <v>179.230769230769</v>
      </c>
      <c r="J38" s="6" t="n">
        <f aca="false">Observations!$Y$116</f>
        <v>1.51039392053486</v>
      </c>
      <c r="K38" s="6" t="n">
        <f aca="false">IFERROR(MEDIAN(Observations!$Y$117),"")</f>
        <v>0.842709054375671</v>
      </c>
      <c r="L38" s="11" t="n">
        <v>1</v>
      </c>
      <c r="M38" s="3" t="s">
        <v>216</v>
      </c>
    </row>
    <row r="40" customFormat="false" ht="15" hidden="false" customHeight="false" outlineLevel="0" collapsed="false">
      <c r="A40" s="13" t="s">
        <v>217</v>
      </c>
    </row>
    <row r="41" customFormat="false" ht="42" hidden="false" customHeight="true" outlineLevel="0" collapsed="false">
      <c r="A41" s="4" t="s">
        <v>36</v>
      </c>
      <c r="B41" s="4" t="s">
        <v>218</v>
      </c>
      <c r="C41" s="4"/>
      <c r="D41" s="4"/>
      <c r="E41" s="4" t="s">
        <v>219</v>
      </c>
      <c r="F41" s="4" t="s">
        <v>220</v>
      </c>
      <c r="G41" s="4"/>
      <c r="H41" s="4"/>
      <c r="I41" s="4"/>
      <c r="J41" s="4"/>
      <c r="K41" s="4"/>
      <c r="L41" s="4"/>
      <c r="M41" s="4" t="s">
        <v>221</v>
      </c>
    </row>
    <row r="42" customFormat="false" ht="15" hidden="false" customHeight="false" outlineLevel="0" collapsed="false">
      <c r="A42" s="13" t="s">
        <v>50</v>
      </c>
      <c r="B42" s="10" t="s">
        <v>222</v>
      </c>
      <c r="E42" s="6" t="n">
        <f aca="false">AVERAGE(Observations!$Y$51,Observations!$Y$52,Observations!$Y$53,Observations!$Y$54,Observations!$Y$55,Observations!$Y$56,Observations!$Y$57,Observations!$Y$58,Observations!$Y$59,Observations!$Y$60)</f>
        <v>0.59434814942868</v>
      </c>
      <c r="F42" s="6" t="n">
        <f aca="false">AVERAGE(Observations!$Y$58,Observations!$Y$59,Observations!$Y$60)</f>
        <v>0.543925163598092</v>
      </c>
      <c r="M42" s="3" t="s">
        <v>223</v>
      </c>
    </row>
    <row r="43" customFormat="false" ht="15" hidden="false" customHeight="false" outlineLevel="0" collapsed="false">
      <c r="A43" s="13" t="s">
        <v>60</v>
      </c>
      <c r="B43" s="10" t="s">
        <v>224</v>
      </c>
      <c r="E43" s="6" t="n">
        <f aca="false">AVERAGE(Observations!$Y$85,Observations!$Y$86,Observations!$Y$87,Observations!$Y$88,Observations!$Y$89,Observations!$Y$90,Observations!$Y$91,Observations!$Y$92,Observations!$Y$93)</f>
        <v>0.58600087043592</v>
      </c>
      <c r="F43" s="6" t="n">
        <f aca="false">AVERAGE(Observations!$Y$91,Observations!$Y$92,Observations!$Y$93)</f>
        <v>0.645721946821035</v>
      </c>
      <c r="M43" s="3" t="s">
        <v>225</v>
      </c>
    </row>
    <row r="44" customFormat="false" ht="15" hidden="false" customHeight="false" outlineLevel="0" collapsed="false">
      <c r="A44" s="13" t="s">
        <v>45</v>
      </c>
      <c r="B44" s="10" t="s">
        <v>226</v>
      </c>
      <c r="E44" s="6" t="n">
        <f aca="false">Cacao_transmission!F26</f>
        <v>0.563939042121057</v>
      </c>
      <c r="F44" s="6" t="n">
        <f aca="false">Cacao_transmission!F27</f>
        <v>0.492319808644166</v>
      </c>
      <c r="M44" s="3" t="s">
        <v>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7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"/>
    <col collapsed="false" customWidth="true" hidden="false" outlineLevel="0" max="3" min="3" style="0" width="24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20"/>
    <col collapsed="false" customWidth="true" hidden="false" outlineLevel="0" max="7" min="7" style="0" width="22"/>
    <col collapsed="false" customWidth="true" hidden="false" outlineLevel="0" max="9" min="8" style="0" width="20"/>
    <col collapsed="false" customWidth="true" hidden="false" outlineLevel="0" max="10" min="10" style="0" width="12"/>
    <col collapsed="false" customWidth="true" hidden="false" outlineLevel="0" max="11" min="11" style="0" width="8"/>
    <col collapsed="false" customWidth="true" hidden="false" outlineLevel="0" max="12" min="12" style="0" width="11"/>
    <col collapsed="false" customWidth="true" hidden="false" outlineLevel="0" max="13" min="13" style="0" width="8"/>
    <col collapsed="false" customWidth="true" hidden="false" outlineLevel="0" max="14" min="14" style="0" width="15"/>
    <col collapsed="false" customWidth="true" hidden="false" outlineLevel="0" max="15" min="15" style="0" width="12"/>
    <col collapsed="false" customWidth="true" hidden="false" outlineLevel="0" max="16" min="16" style="0" width="24"/>
    <col collapsed="false" customWidth="true" hidden="false" outlineLevel="0" max="17" min="17" style="0" width="11"/>
    <col collapsed="false" customWidth="true" hidden="false" outlineLevel="0" max="18" min="18" style="0" width="10"/>
    <col collapsed="false" customWidth="true" hidden="false" outlineLevel="0" max="19" min="19" style="0" width="11"/>
    <col collapsed="false" customWidth="true" hidden="false" outlineLevel="0" max="20" min="20" style="0" width="9"/>
    <col collapsed="false" customWidth="true" hidden="false" outlineLevel="0" max="21" min="21" style="0" width="18"/>
    <col collapsed="false" customWidth="true" hidden="false" outlineLevel="0" max="22" min="22" style="0" width="12"/>
    <col collapsed="false" customWidth="true" hidden="false" outlineLevel="0" max="23" min="23" style="0" width="18"/>
    <col collapsed="false" customWidth="true" hidden="false" outlineLevel="0" max="24" min="24" style="0" width="12"/>
    <col collapsed="false" customWidth="true" hidden="false" outlineLevel="0" max="25" min="25" style="0" width="10"/>
    <col collapsed="false" customWidth="true" hidden="false" outlineLevel="0" max="26" min="26" style="0" width="16"/>
    <col collapsed="false" customWidth="true" hidden="false" outlineLevel="0" max="27" min="27" style="0" width="11"/>
    <col collapsed="false" customWidth="true" hidden="false" outlineLevel="0" max="28" min="28" style="0" width="10"/>
    <col collapsed="false" customWidth="true" hidden="false" outlineLevel="0" max="29" min="29" style="0" width="34"/>
    <col collapsed="false" customWidth="true" hidden="false" outlineLevel="0" max="30" min="30" style="0" width="40"/>
    <col collapsed="false" customWidth="true" hidden="false" outlineLevel="0" max="31" min="31" style="0" width="11"/>
    <col collapsed="false" customWidth="true" hidden="false" outlineLevel="0" max="32" min="32" style="0" width="8"/>
    <col collapsed="false" customWidth="true" hidden="false" outlineLevel="0" max="33" min="33" style="0" width="50"/>
  </cols>
  <sheetData>
    <row r="1" customFormat="false" ht="42" hidden="false" customHeight="true" outlineLevel="0" collapsed="false">
      <c r="A1" s="4" t="s">
        <v>228</v>
      </c>
      <c r="B1" s="4" t="s">
        <v>36</v>
      </c>
      <c r="C1" s="4" t="s">
        <v>229</v>
      </c>
      <c r="D1" s="4" t="s">
        <v>230</v>
      </c>
      <c r="E1" s="4" t="s">
        <v>231</v>
      </c>
      <c r="F1" s="4" t="s">
        <v>232</v>
      </c>
      <c r="G1" s="4" t="s">
        <v>233</v>
      </c>
      <c r="H1" s="4" t="s">
        <v>234</v>
      </c>
      <c r="I1" s="4" t="s">
        <v>235</v>
      </c>
      <c r="J1" s="4" t="s">
        <v>236</v>
      </c>
      <c r="K1" s="4" t="s">
        <v>237</v>
      </c>
      <c r="L1" s="4" t="s">
        <v>238</v>
      </c>
      <c r="M1" s="4" t="s">
        <v>239</v>
      </c>
      <c r="N1" s="4" t="s">
        <v>240</v>
      </c>
      <c r="O1" s="4" t="s">
        <v>241</v>
      </c>
      <c r="P1" s="4" t="s">
        <v>242</v>
      </c>
      <c r="Q1" s="4" t="s">
        <v>243</v>
      </c>
      <c r="R1" s="4" t="s">
        <v>244</v>
      </c>
      <c r="S1" s="4" t="s">
        <v>245</v>
      </c>
      <c r="T1" s="4" t="s">
        <v>246</v>
      </c>
      <c r="U1" s="4" t="s">
        <v>247</v>
      </c>
      <c r="V1" s="4" t="s">
        <v>248</v>
      </c>
      <c r="W1" s="4" t="s">
        <v>249</v>
      </c>
      <c r="X1" s="4" t="s">
        <v>250</v>
      </c>
      <c r="Y1" s="4" t="s">
        <v>251</v>
      </c>
      <c r="Z1" s="4" t="s">
        <v>252</v>
      </c>
      <c r="AA1" s="4" t="s">
        <v>253</v>
      </c>
      <c r="AB1" s="4" t="s">
        <v>254</v>
      </c>
      <c r="AC1" s="4" t="s">
        <v>255</v>
      </c>
      <c r="AD1" s="4" t="s">
        <v>256</v>
      </c>
      <c r="AE1" s="4" t="s">
        <v>257</v>
      </c>
      <c r="AF1" s="4" t="s">
        <v>9</v>
      </c>
      <c r="AG1" s="4" t="s">
        <v>258</v>
      </c>
    </row>
    <row r="2" customFormat="false" ht="35.05" hidden="false" customHeight="false" outlineLevel="0" collapsed="false">
      <c r="A2" s="13" t="s">
        <v>259</v>
      </c>
      <c r="B2" s="3" t="s">
        <v>45</v>
      </c>
      <c r="C2" s="3" t="s">
        <v>260</v>
      </c>
      <c r="D2" s="3" t="s">
        <v>261</v>
      </c>
      <c r="E2" s="3" t="s">
        <v>262</v>
      </c>
      <c r="F2" s="3" t="s">
        <v>263</v>
      </c>
      <c r="G2" s="3" t="s">
        <v>264</v>
      </c>
      <c r="H2" s="3" t="s">
        <v>265</v>
      </c>
      <c r="I2" s="3" t="s">
        <v>266</v>
      </c>
      <c r="J2" s="14" t="n">
        <v>1100</v>
      </c>
      <c r="K2" s="10" t="s">
        <v>267</v>
      </c>
      <c r="L2" s="10" t="s">
        <v>268</v>
      </c>
      <c r="M2" s="15" t="n">
        <v>1</v>
      </c>
      <c r="N2" s="10" t="s">
        <v>269</v>
      </c>
      <c r="O2" s="16" t="n">
        <f aca="false">IF(K2="USD",1,INDEX(Change_periodes!$D$1:$N$400,MATCH($N2,Change_periodes!$A$1:$A$400,0),MATCH($K2,Change_periodes!$D$1:$N$1,0)))</f>
        <v>612.129614326912</v>
      </c>
      <c r="P2" s="3" t="s">
        <v>270</v>
      </c>
      <c r="Q2" s="17" t="n">
        <f aca="false">INDEX(Change_periodes!$D$1:$D$400,MATCH($N2,Change_periodes!$A$1:$A$400,0))</f>
        <v>612.129614326912</v>
      </c>
      <c r="R2" s="18" t="n">
        <f aca="false">IFERROR(J2/M2/O2,"")</f>
        <v>1.79700503660412</v>
      </c>
      <c r="S2" s="9" t="n">
        <f aca="false">IFERROR(R2*Q2,"")</f>
        <v>1100</v>
      </c>
      <c r="T2" s="19" t="n">
        <v>1</v>
      </c>
      <c r="U2" s="3" t="s">
        <v>271</v>
      </c>
      <c r="V2" s="9" t="n">
        <f aca="false">IFERROR(S2/T2,"")</f>
        <v>1100</v>
      </c>
      <c r="W2" s="10" t="s">
        <v>272</v>
      </c>
      <c r="X2" s="9" t="n">
        <f aca="false">IF(W2="","",IFERROR(INDEX($V$1:$V$178,MATCH(W2,$A$1:$A$178,0)),""))</f>
        <v>1405.56997998541</v>
      </c>
      <c r="Y2" s="8" t="n">
        <f aca="false">IF(OR(X2="",V2=""),"",V2/X2)</f>
        <v>0.782600664259648</v>
      </c>
      <c r="Z2" s="10"/>
      <c r="AA2" s="9" t="str">
        <f aca="false">IF(Z2="","",IFERROR(INDEX($V$1:$V$178,MATCH(Z2,$A$1:$A$178,0)),""))</f>
        <v/>
      </c>
      <c r="AB2" s="8" t="str">
        <f aca="false">IF(OR(AA2="",V2=""),"",V2/AA2)</f>
        <v/>
      </c>
      <c r="AC2" s="3" t="s">
        <v>273</v>
      </c>
      <c r="AD2" s="3" t="s">
        <v>274</v>
      </c>
      <c r="AE2" s="10" t="s">
        <v>275</v>
      </c>
      <c r="AF2" s="7" t="s">
        <v>81</v>
      </c>
      <c r="AG2" s="3" t="s">
        <v>276</v>
      </c>
    </row>
    <row r="3" customFormat="false" ht="35.05" hidden="false" customHeight="false" outlineLevel="0" collapsed="false">
      <c r="A3" s="13" t="s">
        <v>277</v>
      </c>
      <c r="B3" s="3" t="s">
        <v>45</v>
      </c>
      <c r="C3" s="3" t="s">
        <v>260</v>
      </c>
      <c r="D3" s="3" t="s">
        <v>261</v>
      </c>
      <c r="E3" s="3" t="s">
        <v>262</v>
      </c>
      <c r="F3" s="3" t="s">
        <v>278</v>
      </c>
      <c r="G3" s="3" t="s">
        <v>264</v>
      </c>
      <c r="H3" s="3" t="s">
        <v>265</v>
      </c>
      <c r="I3" s="3" t="s">
        <v>266</v>
      </c>
      <c r="J3" s="14" t="n">
        <v>700</v>
      </c>
      <c r="K3" s="10" t="s">
        <v>267</v>
      </c>
      <c r="L3" s="10" t="s">
        <v>268</v>
      </c>
      <c r="M3" s="15" t="n">
        <v>1</v>
      </c>
      <c r="N3" s="10" t="s">
        <v>279</v>
      </c>
      <c r="O3" s="16" t="n">
        <f aca="false">IF(K3="USD",1,INDEX(Change_periodes!$D$1:$N$400,MATCH($N3,Change_periodes!$A$1:$A$400,0),MATCH($K3,Change_periodes!$D$1:$N$1,0)))</f>
        <v>577.514240499801</v>
      </c>
      <c r="P3" s="3" t="s">
        <v>270</v>
      </c>
      <c r="Q3" s="17" t="n">
        <f aca="false">INDEX(Change_periodes!$D$1:$D$400,MATCH($N3,Change_periodes!$A$1:$A$400,0))</f>
        <v>577.514240499801</v>
      </c>
      <c r="R3" s="18" t="n">
        <f aca="false">IFERROR(J3/M3/O3,"")</f>
        <v>1.21209132331385</v>
      </c>
      <c r="S3" s="9" t="n">
        <f aca="false">IFERROR(R3*Q3,"")</f>
        <v>700</v>
      </c>
      <c r="T3" s="19" t="n">
        <v>1</v>
      </c>
      <c r="U3" s="3" t="s">
        <v>271</v>
      </c>
      <c r="V3" s="9" t="n">
        <f aca="false">IFERROR(S3/T3,"")</f>
        <v>700</v>
      </c>
      <c r="W3" s="10" t="s">
        <v>280</v>
      </c>
      <c r="X3" s="9" t="n">
        <f aca="false">IF(W3="","",IFERROR(INDEX($V$1:$V$178,MATCH(W3,$A$1:$A$178,0)),""))</f>
        <v>1147.16754966267</v>
      </c>
      <c r="Y3" s="8" t="n">
        <f aca="false">IF(OR(X3="",V3=""),"",V3/X3)</f>
        <v>0.610198571434348</v>
      </c>
      <c r="Z3" s="10"/>
      <c r="AA3" s="9" t="str">
        <f aca="false">IF(Z3="","",IFERROR(INDEX($V$1:$V$178,MATCH(Z3,$A$1:$A$178,0)),""))</f>
        <v/>
      </c>
      <c r="AB3" s="8" t="str">
        <f aca="false">IF(OR(AA3="",V3=""),"",V3/AA3)</f>
        <v/>
      </c>
      <c r="AC3" s="3" t="s">
        <v>281</v>
      </c>
      <c r="AD3" s="3" t="s">
        <v>282</v>
      </c>
      <c r="AE3" s="10" t="s">
        <v>275</v>
      </c>
      <c r="AF3" s="7" t="s">
        <v>81</v>
      </c>
      <c r="AG3" s="3" t="s">
        <v>276</v>
      </c>
    </row>
    <row r="4" customFormat="false" ht="35.05" hidden="false" customHeight="false" outlineLevel="0" collapsed="false">
      <c r="A4" s="13" t="s">
        <v>283</v>
      </c>
      <c r="B4" s="3" t="s">
        <v>45</v>
      </c>
      <c r="C4" s="3" t="s">
        <v>260</v>
      </c>
      <c r="D4" s="3" t="s">
        <v>261</v>
      </c>
      <c r="E4" s="3" t="s">
        <v>284</v>
      </c>
      <c r="F4" s="3" t="s">
        <v>263</v>
      </c>
      <c r="G4" s="3" t="s">
        <v>264</v>
      </c>
      <c r="H4" s="3" t="s">
        <v>265</v>
      </c>
      <c r="I4" s="3" t="s">
        <v>266</v>
      </c>
      <c r="J4" s="14" t="n">
        <v>700</v>
      </c>
      <c r="K4" s="10" t="s">
        <v>267</v>
      </c>
      <c r="L4" s="10" t="s">
        <v>268</v>
      </c>
      <c r="M4" s="15" t="n">
        <v>1</v>
      </c>
      <c r="N4" s="10" t="s">
        <v>285</v>
      </c>
      <c r="O4" s="16" t="n">
        <f aca="false">IF(K4="USD",1,INDEX(Change_periodes!$D$1:$N$400,MATCH($N4,Change_periodes!$A$1:$A$400,0),MATCH($K4,Change_periodes!$D$1:$N$1,0)))</f>
        <v>545.278268301567</v>
      </c>
      <c r="P4" s="3" t="s">
        <v>270</v>
      </c>
      <c r="Q4" s="17" t="n">
        <f aca="false">INDEX(Change_periodes!$D$1:$D$400,MATCH($N4,Change_periodes!$A$1:$A$400,0))</f>
        <v>545.278268301567</v>
      </c>
      <c r="R4" s="18" t="n">
        <f aca="false">IFERROR(J4/M4/O4,"")</f>
        <v>1.28374820837874</v>
      </c>
      <c r="S4" s="9" t="n">
        <f aca="false">IFERROR(R4*Q4,"")</f>
        <v>700</v>
      </c>
      <c r="T4" s="19" t="n">
        <v>1</v>
      </c>
      <c r="U4" s="3" t="s">
        <v>271</v>
      </c>
      <c r="V4" s="9" t="n">
        <f aca="false">IFERROR(S4/T4,"")</f>
        <v>700</v>
      </c>
      <c r="W4" s="10" t="s">
        <v>286</v>
      </c>
      <c r="X4" s="9" t="n">
        <f aca="false">IF(W4="","",IFERROR(INDEX($V$1:$V$178,MATCH(W4,$A$1:$A$178,0)),""))</f>
        <v>1156.0998932501</v>
      </c>
      <c r="Y4" s="8" t="n">
        <f aca="false">IF(OR(X4="",V4=""),"",V4/X4)</f>
        <v>0.605484010583306</v>
      </c>
      <c r="Z4" s="10"/>
      <c r="AA4" s="9" t="str">
        <f aca="false">IF(Z4="","",IFERROR(INDEX($V$1:$V$178,MATCH(Z4,$A$1:$A$178,0)),""))</f>
        <v/>
      </c>
      <c r="AB4" s="8" t="str">
        <f aca="false">IF(OR(AA4="",V4=""),"",V4/AA4)</f>
        <v/>
      </c>
      <c r="AC4" s="3" t="s">
        <v>287</v>
      </c>
      <c r="AD4" s="3" t="s">
        <v>288</v>
      </c>
      <c r="AE4" s="10" t="s">
        <v>275</v>
      </c>
      <c r="AF4" s="7" t="s">
        <v>81</v>
      </c>
      <c r="AG4" s="3" t="s">
        <v>276</v>
      </c>
    </row>
    <row r="5" customFormat="false" ht="35.05" hidden="false" customHeight="false" outlineLevel="0" collapsed="false">
      <c r="A5" s="13" t="s">
        <v>289</v>
      </c>
      <c r="B5" s="3" t="s">
        <v>45</v>
      </c>
      <c r="C5" s="3" t="s">
        <v>260</v>
      </c>
      <c r="D5" s="3" t="s">
        <v>261</v>
      </c>
      <c r="E5" s="3" t="s">
        <v>284</v>
      </c>
      <c r="F5" s="3" t="s">
        <v>278</v>
      </c>
      <c r="G5" s="3" t="s">
        <v>264</v>
      </c>
      <c r="H5" s="3" t="s">
        <v>265</v>
      </c>
      <c r="I5" s="3" t="s">
        <v>266</v>
      </c>
      <c r="J5" s="14" t="n">
        <v>700</v>
      </c>
      <c r="K5" s="10" t="s">
        <v>267</v>
      </c>
      <c r="L5" s="10" t="s">
        <v>268</v>
      </c>
      <c r="M5" s="15" t="n">
        <v>1</v>
      </c>
      <c r="N5" s="10" t="s">
        <v>290</v>
      </c>
      <c r="O5" s="16" t="n">
        <f aca="false">IF(K5="USD",1,INDEX(Change_periodes!$D$1:$N$400,MATCH($N5,Change_periodes!$A$1:$A$400,0),MATCH($K5,Change_periodes!$D$1:$N$1,0)))</f>
        <v>557.213561790484</v>
      </c>
      <c r="P5" s="3" t="s">
        <v>270</v>
      </c>
      <c r="Q5" s="17" t="n">
        <f aca="false">INDEX(Change_periodes!$D$1:$D$400,MATCH($N5,Change_periodes!$A$1:$A$400,0))</f>
        <v>557.213561790484</v>
      </c>
      <c r="R5" s="18" t="n">
        <f aca="false">IFERROR(J5/M5/O5,"")</f>
        <v>1.25625083092146</v>
      </c>
      <c r="S5" s="9" t="n">
        <f aca="false">IFERROR(R5*Q5,"")</f>
        <v>700</v>
      </c>
      <c r="T5" s="19" t="n">
        <v>1</v>
      </c>
      <c r="U5" s="3" t="s">
        <v>271</v>
      </c>
      <c r="V5" s="9" t="n">
        <f aca="false">IFERROR(S5/T5,"")</f>
        <v>700</v>
      </c>
      <c r="W5" s="10" t="s">
        <v>291</v>
      </c>
      <c r="X5" s="9" t="n">
        <f aca="false">IF(W5="","",IFERROR(INDEX($V$1:$V$178,MATCH(W5,$A$1:$A$178,0)),""))</f>
        <v>1339.07612922023</v>
      </c>
      <c r="Y5" s="8" t="n">
        <f aca="false">IF(OR(X5="",V5=""),"",V5/X5)</f>
        <v>0.522748471670259</v>
      </c>
      <c r="Z5" s="10"/>
      <c r="AA5" s="9" t="str">
        <f aca="false">IF(Z5="","",IFERROR(INDEX($V$1:$V$178,MATCH(Z5,$A$1:$A$178,0)),""))</f>
        <v/>
      </c>
      <c r="AB5" s="8" t="str">
        <f aca="false">IF(OR(AA5="",V5=""),"",V5/AA5)</f>
        <v/>
      </c>
      <c r="AC5" s="3" t="s">
        <v>287</v>
      </c>
      <c r="AD5" s="3" t="s">
        <v>288</v>
      </c>
      <c r="AE5" s="10" t="s">
        <v>275</v>
      </c>
      <c r="AF5" s="7" t="s">
        <v>81</v>
      </c>
      <c r="AG5" s="3" t="s">
        <v>276</v>
      </c>
    </row>
    <row r="6" customFormat="false" ht="35.05" hidden="false" customHeight="false" outlineLevel="0" collapsed="false">
      <c r="A6" s="13" t="s">
        <v>292</v>
      </c>
      <c r="B6" s="3" t="s">
        <v>45</v>
      </c>
      <c r="C6" s="3" t="s">
        <v>260</v>
      </c>
      <c r="D6" s="3" t="s">
        <v>261</v>
      </c>
      <c r="E6" s="3" t="s">
        <v>293</v>
      </c>
      <c r="F6" s="3" t="s">
        <v>263</v>
      </c>
      <c r="G6" s="3" t="s">
        <v>264</v>
      </c>
      <c r="H6" s="3" t="s">
        <v>265</v>
      </c>
      <c r="I6" s="3" t="s">
        <v>266</v>
      </c>
      <c r="J6" s="14" t="n">
        <v>750</v>
      </c>
      <c r="K6" s="10" t="s">
        <v>267</v>
      </c>
      <c r="L6" s="10" t="s">
        <v>268</v>
      </c>
      <c r="M6" s="15" t="n">
        <v>1</v>
      </c>
      <c r="N6" s="10" t="s">
        <v>294</v>
      </c>
      <c r="O6" s="16" t="n">
        <f aca="false">IF(K6="USD",1,INDEX(Change_periodes!$D$1:$N$400,MATCH($N6,Change_periodes!$A$1:$A$400,0),MATCH($K6,Change_periodes!$D$1:$N$1,0)))</f>
        <v>576.213999056325</v>
      </c>
      <c r="P6" s="3" t="s">
        <v>270</v>
      </c>
      <c r="Q6" s="17" t="n">
        <f aca="false">INDEX(Change_periodes!$D$1:$D$400,MATCH($N6,Change_periodes!$A$1:$A$400,0))</f>
        <v>576.213999056325</v>
      </c>
      <c r="R6" s="18" t="n">
        <f aca="false">IFERROR(J6/M6/O6,"")</f>
        <v>1.30159975500125</v>
      </c>
      <c r="S6" s="9" t="n">
        <f aca="false">IFERROR(R6*Q6,"")</f>
        <v>750</v>
      </c>
      <c r="T6" s="19" t="n">
        <v>1</v>
      </c>
      <c r="U6" s="3" t="s">
        <v>271</v>
      </c>
      <c r="V6" s="9" t="n">
        <f aca="false">IFERROR(S6/T6,"")</f>
        <v>750</v>
      </c>
      <c r="W6" s="10" t="s">
        <v>295</v>
      </c>
      <c r="X6" s="9" t="n">
        <f aca="false">IF(W6="","",IFERROR(INDEX($V$1:$V$178,MATCH(W6,$A$1:$A$178,0)),""))</f>
        <v>1272.21136423648</v>
      </c>
      <c r="Y6" s="8" t="n">
        <f aca="false">IF(OR(X6="",V6=""),"",V6/X6)</f>
        <v>0.589524682048501</v>
      </c>
      <c r="Z6" s="10"/>
      <c r="AA6" s="9" t="str">
        <f aca="false">IF(Z6="","",IFERROR(INDEX($V$1:$V$178,MATCH(Z6,$A$1:$A$178,0)),""))</f>
        <v/>
      </c>
      <c r="AB6" s="8" t="str">
        <f aca="false">IF(OR(AA6="",V6=""),"",V6/AA6)</f>
        <v/>
      </c>
      <c r="AC6" s="3" t="s">
        <v>296</v>
      </c>
      <c r="AD6" s="3" t="s">
        <v>297</v>
      </c>
      <c r="AE6" s="10" t="s">
        <v>275</v>
      </c>
      <c r="AF6" s="7" t="s">
        <v>81</v>
      </c>
      <c r="AG6" s="3" t="s">
        <v>276</v>
      </c>
    </row>
    <row r="7" customFormat="false" ht="35.05" hidden="false" customHeight="false" outlineLevel="0" collapsed="false">
      <c r="A7" s="13" t="s">
        <v>298</v>
      </c>
      <c r="B7" s="3" t="s">
        <v>45</v>
      </c>
      <c r="C7" s="3" t="s">
        <v>260</v>
      </c>
      <c r="D7" s="3" t="s">
        <v>261</v>
      </c>
      <c r="E7" s="3" t="s">
        <v>293</v>
      </c>
      <c r="F7" s="3" t="s">
        <v>278</v>
      </c>
      <c r="G7" s="3" t="s">
        <v>264</v>
      </c>
      <c r="H7" s="3" t="s">
        <v>265</v>
      </c>
      <c r="I7" s="3" t="s">
        <v>266</v>
      </c>
      <c r="J7" s="14" t="n">
        <v>750</v>
      </c>
      <c r="K7" s="10" t="s">
        <v>267</v>
      </c>
      <c r="L7" s="10" t="s">
        <v>268</v>
      </c>
      <c r="M7" s="15" t="n">
        <v>1</v>
      </c>
      <c r="N7" s="10" t="s">
        <v>299</v>
      </c>
      <c r="O7" s="16" t="n">
        <f aca="false">IF(K7="USD",1,INDEX(Change_periodes!$D$1:$N$400,MATCH($N7,Change_periodes!$A$1:$A$400,0),MATCH($K7,Change_periodes!$D$1:$N$1,0)))</f>
        <v>586.897600710289</v>
      </c>
      <c r="P7" s="3" t="s">
        <v>270</v>
      </c>
      <c r="Q7" s="17" t="n">
        <f aca="false">INDEX(Change_periodes!$D$1:$D$400,MATCH($N7,Change_periodes!$A$1:$A$400,0))</f>
        <v>586.897600710289</v>
      </c>
      <c r="R7" s="18" t="n">
        <f aca="false">IFERROR(J7/M7/O7,"")</f>
        <v>1.27790605906775</v>
      </c>
      <c r="S7" s="9" t="n">
        <f aca="false">IFERROR(R7*Q7,"")</f>
        <v>750</v>
      </c>
      <c r="T7" s="19" t="n">
        <v>1</v>
      </c>
      <c r="U7" s="3" t="s">
        <v>271</v>
      </c>
      <c r="V7" s="9" t="n">
        <f aca="false">IFERROR(S7/T7,"")</f>
        <v>750</v>
      </c>
      <c r="W7" s="10" t="s">
        <v>300</v>
      </c>
      <c r="X7" s="9" t="n">
        <f aca="false">IF(W7="","",IFERROR(INDEX($V$1:$V$178,MATCH(W7,$A$1:$A$178,0)),""))</f>
        <v>1366.55095858453</v>
      </c>
      <c r="Y7" s="8" t="n">
        <f aca="false">IF(OR(X7="",V7=""),"",V7/X7)</f>
        <v>0.548826953937269</v>
      </c>
      <c r="Z7" s="10"/>
      <c r="AA7" s="9" t="str">
        <f aca="false">IF(Z7="","",IFERROR(INDEX($V$1:$V$178,MATCH(Z7,$A$1:$A$178,0)),""))</f>
        <v/>
      </c>
      <c r="AB7" s="8" t="str">
        <f aca="false">IF(OR(AA7="",V7=""),"",V7/AA7)</f>
        <v/>
      </c>
      <c r="AC7" s="3" t="s">
        <v>301</v>
      </c>
      <c r="AD7" s="3" t="s">
        <v>302</v>
      </c>
      <c r="AE7" s="10" t="s">
        <v>275</v>
      </c>
      <c r="AF7" s="7" t="s">
        <v>81</v>
      </c>
      <c r="AG7" s="3" t="s">
        <v>276</v>
      </c>
    </row>
    <row r="8" customFormat="false" ht="35.05" hidden="false" customHeight="false" outlineLevel="0" collapsed="false">
      <c r="A8" s="13" t="s">
        <v>303</v>
      </c>
      <c r="B8" s="3" t="s">
        <v>45</v>
      </c>
      <c r="C8" s="3" t="s">
        <v>260</v>
      </c>
      <c r="D8" s="3" t="s">
        <v>261</v>
      </c>
      <c r="E8" s="3" t="s">
        <v>304</v>
      </c>
      <c r="F8" s="3" t="s">
        <v>263</v>
      </c>
      <c r="G8" s="3" t="s">
        <v>264</v>
      </c>
      <c r="H8" s="3" t="s">
        <v>265</v>
      </c>
      <c r="I8" s="3" t="s">
        <v>266</v>
      </c>
      <c r="J8" s="14" t="n">
        <v>825</v>
      </c>
      <c r="K8" s="10" t="s">
        <v>267</v>
      </c>
      <c r="L8" s="10" t="s">
        <v>268</v>
      </c>
      <c r="M8" s="15" t="n">
        <v>1</v>
      </c>
      <c r="N8" s="10" t="s">
        <v>305</v>
      </c>
      <c r="O8" s="16" t="n">
        <f aca="false">IF(K8="USD",1,INDEX(Change_periodes!$D$1:$N$400,MATCH($N8,Change_periodes!$A$1:$A$400,0),MATCH($K8,Change_periodes!$D$1:$N$1,0)))</f>
        <v>593.776626757643</v>
      </c>
      <c r="P8" s="3" t="s">
        <v>270</v>
      </c>
      <c r="Q8" s="17" t="n">
        <f aca="false">INDEX(Change_periodes!$D$1:$D$400,MATCH($N8,Change_periodes!$A$1:$A$400,0))</f>
        <v>593.776626757643</v>
      </c>
      <c r="R8" s="18" t="n">
        <f aca="false">IFERROR(J8/M8/O8,"")</f>
        <v>1.38941137596636</v>
      </c>
      <c r="S8" s="9" t="n">
        <f aca="false">IFERROR(R8*Q8,"")</f>
        <v>825</v>
      </c>
      <c r="T8" s="19" t="n">
        <v>1</v>
      </c>
      <c r="U8" s="3" t="s">
        <v>271</v>
      </c>
      <c r="V8" s="9" t="n">
        <f aca="false">IFERROR(S8/T8,"")</f>
        <v>825</v>
      </c>
      <c r="W8" s="10" t="s">
        <v>306</v>
      </c>
      <c r="X8" s="9" t="n">
        <f aca="false">IF(W8="","",IFERROR(INDEX($V$1:$V$178,MATCH(W8,$A$1:$A$178,0)),""))</f>
        <v>1490.12104032904</v>
      </c>
      <c r="Y8" s="8" t="n">
        <f aca="false">IF(OR(X8="",V8=""),"",V8/X8)</f>
        <v>0.553646299644105</v>
      </c>
      <c r="Z8" s="10"/>
      <c r="AA8" s="9" t="str">
        <f aca="false">IF(Z8="","",IFERROR(INDEX($V$1:$V$178,MATCH(Z8,$A$1:$A$178,0)),""))</f>
        <v/>
      </c>
      <c r="AB8" s="8" t="str">
        <f aca="false">IF(OR(AA8="",V8=""),"",V8/AA8)</f>
        <v/>
      </c>
      <c r="AC8" s="3" t="s">
        <v>307</v>
      </c>
      <c r="AD8" s="3" t="s">
        <v>308</v>
      </c>
      <c r="AE8" s="10" t="s">
        <v>275</v>
      </c>
      <c r="AF8" s="7" t="s">
        <v>81</v>
      </c>
      <c r="AG8" s="3" t="s">
        <v>276</v>
      </c>
    </row>
    <row r="9" customFormat="false" ht="46.25" hidden="false" customHeight="false" outlineLevel="0" collapsed="false">
      <c r="A9" s="13" t="s">
        <v>309</v>
      </c>
      <c r="B9" s="3" t="s">
        <v>45</v>
      </c>
      <c r="C9" s="3" t="s">
        <v>260</v>
      </c>
      <c r="D9" s="3" t="s">
        <v>261</v>
      </c>
      <c r="E9" s="3" t="s">
        <v>304</v>
      </c>
      <c r="F9" s="3" t="s">
        <v>278</v>
      </c>
      <c r="G9" s="3" t="s">
        <v>264</v>
      </c>
      <c r="H9" s="3" t="s">
        <v>265</v>
      </c>
      <c r="I9" s="3" t="s">
        <v>266</v>
      </c>
      <c r="J9" s="14" t="n">
        <v>825</v>
      </c>
      <c r="K9" s="10" t="s">
        <v>267</v>
      </c>
      <c r="L9" s="10" t="s">
        <v>268</v>
      </c>
      <c r="M9" s="15" t="n">
        <v>1</v>
      </c>
      <c r="N9" s="10" t="s">
        <v>310</v>
      </c>
      <c r="O9" s="16" t="n">
        <f aca="false">IF(K9="USD",1,INDEX(Change_periodes!$D$1:$N$400,MATCH($N9,Change_periodes!$A$1:$A$400,0),MATCH($K9,Change_periodes!$D$1:$N$1,0)))</f>
        <v>578.580402322302</v>
      </c>
      <c r="P9" s="3" t="s">
        <v>270</v>
      </c>
      <c r="Q9" s="17" t="n">
        <f aca="false">INDEX(Change_periodes!$D$1:$D$400,MATCH($N9,Change_periodes!$A$1:$A$400,0))</f>
        <v>578.580402322302</v>
      </c>
      <c r="R9" s="18" t="n">
        <f aca="false">IFERROR(J9/M9/O9,"")</f>
        <v>1.42590380989162</v>
      </c>
      <c r="S9" s="9" t="n">
        <f aca="false">IFERROR(R9*Q9,"")</f>
        <v>825</v>
      </c>
      <c r="T9" s="19" t="n">
        <v>1</v>
      </c>
      <c r="U9" s="3" t="s">
        <v>271</v>
      </c>
      <c r="V9" s="9" t="n">
        <f aca="false">IFERROR(S9/T9,"")</f>
        <v>825</v>
      </c>
      <c r="W9" s="10" t="s">
        <v>311</v>
      </c>
      <c r="X9" s="9" t="n">
        <f aca="false">IF(W9="","",IFERROR(INDEX($V$1:$V$178,MATCH(W9,$A$1:$A$178,0)),""))</f>
        <v>1323.32716759023</v>
      </c>
      <c r="Y9" s="8" t="n">
        <f aca="false">IF(OR(X9="",V9=""),"",V9/X9)</f>
        <v>0.623428597405977</v>
      </c>
      <c r="Z9" s="10"/>
      <c r="AA9" s="9" t="str">
        <f aca="false">IF(Z9="","",IFERROR(INDEX($V$1:$V$178,MATCH(Z9,$A$1:$A$178,0)),""))</f>
        <v/>
      </c>
      <c r="AB9" s="8" t="str">
        <f aca="false">IF(OR(AA9="",V9=""),"",V9/AA9)</f>
        <v/>
      </c>
      <c r="AC9" s="3" t="s">
        <v>312</v>
      </c>
      <c r="AD9" s="3" t="s">
        <v>313</v>
      </c>
      <c r="AE9" s="10" t="s">
        <v>275</v>
      </c>
      <c r="AF9" s="7" t="s">
        <v>81</v>
      </c>
      <c r="AG9" s="3" t="s">
        <v>276</v>
      </c>
    </row>
    <row r="10" customFormat="false" ht="35.05" hidden="false" customHeight="false" outlineLevel="0" collapsed="false">
      <c r="A10" s="13" t="s">
        <v>314</v>
      </c>
      <c r="B10" s="3" t="s">
        <v>45</v>
      </c>
      <c r="C10" s="3" t="s">
        <v>260</v>
      </c>
      <c r="D10" s="3" t="s">
        <v>261</v>
      </c>
      <c r="E10" s="3" t="s">
        <v>315</v>
      </c>
      <c r="F10" s="3" t="s">
        <v>263</v>
      </c>
      <c r="G10" s="3" t="s">
        <v>264</v>
      </c>
      <c r="H10" s="3" t="s">
        <v>265</v>
      </c>
      <c r="I10" s="3" t="s">
        <v>266</v>
      </c>
      <c r="J10" s="14" t="n">
        <v>1000</v>
      </c>
      <c r="K10" s="10" t="s">
        <v>267</v>
      </c>
      <c r="L10" s="10" t="s">
        <v>268</v>
      </c>
      <c r="M10" s="15" t="n">
        <v>1</v>
      </c>
      <c r="N10" s="10" t="s">
        <v>316</v>
      </c>
      <c r="O10" s="16" t="n">
        <f aca="false">IF(K10="USD",1,INDEX(Change_periodes!$D$1:$N$400,MATCH($N10,Change_periodes!$A$1:$A$400,0),MATCH($K10,Change_periodes!$D$1:$N$1,0)))</f>
        <v>547.103635955358</v>
      </c>
      <c r="P10" s="3" t="s">
        <v>270</v>
      </c>
      <c r="Q10" s="17" t="n">
        <f aca="false">INDEX(Change_periodes!$D$1:$D$400,MATCH($N10,Change_periodes!$A$1:$A$400,0))</f>
        <v>547.103635955358</v>
      </c>
      <c r="R10" s="18" t="n">
        <f aca="false">IFERROR(J10/M10/O10,"")</f>
        <v>1.82780726407308</v>
      </c>
      <c r="S10" s="9" t="n">
        <f aca="false">IFERROR(R10*Q10,"")</f>
        <v>1000</v>
      </c>
      <c r="T10" s="19" t="n">
        <v>1</v>
      </c>
      <c r="U10" s="3" t="s">
        <v>271</v>
      </c>
      <c r="V10" s="9" t="n">
        <f aca="false">IFERROR(S10/T10,"")</f>
        <v>1000</v>
      </c>
      <c r="W10" s="10" t="s">
        <v>317</v>
      </c>
      <c r="X10" s="9" t="n">
        <f aca="false">IF(W10="","",IFERROR(INDEX($V$1:$V$178,MATCH(W10,$A$1:$A$178,0)),""))</f>
        <v>1305.35371365315</v>
      </c>
      <c r="Y10" s="8" t="n">
        <f aca="false">IF(OR(X10="",V10=""),"",V10/X10)</f>
        <v>0.76607588390844</v>
      </c>
      <c r="Z10" s="10"/>
      <c r="AA10" s="9" t="str">
        <f aca="false">IF(Z10="","",IFERROR(INDEX($V$1:$V$178,MATCH(Z10,$A$1:$A$178,0)),""))</f>
        <v/>
      </c>
      <c r="AB10" s="8" t="str">
        <f aca="false">IF(OR(AA10="",V10=""),"",V10/AA10)</f>
        <v/>
      </c>
      <c r="AC10" s="3" t="s">
        <v>318</v>
      </c>
      <c r="AD10" s="3" t="s">
        <v>319</v>
      </c>
      <c r="AE10" s="10" t="s">
        <v>275</v>
      </c>
      <c r="AF10" s="7" t="s">
        <v>81</v>
      </c>
      <c r="AG10" s="3" t="s">
        <v>276</v>
      </c>
    </row>
    <row r="11" customFormat="false" ht="35.05" hidden="false" customHeight="false" outlineLevel="0" collapsed="false">
      <c r="A11" s="13" t="s">
        <v>320</v>
      </c>
      <c r="B11" s="3" t="s">
        <v>45</v>
      </c>
      <c r="C11" s="3" t="s">
        <v>260</v>
      </c>
      <c r="D11" s="3" t="s">
        <v>261</v>
      </c>
      <c r="E11" s="3" t="s">
        <v>315</v>
      </c>
      <c r="F11" s="3" t="s">
        <v>278</v>
      </c>
      <c r="G11" s="3" t="s">
        <v>264</v>
      </c>
      <c r="H11" s="3" t="s">
        <v>265</v>
      </c>
      <c r="I11" s="3" t="s">
        <v>266</v>
      </c>
      <c r="J11" s="14" t="n">
        <v>750</v>
      </c>
      <c r="K11" s="10" t="s">
        <v>267</v>
      </c>
      <c r="L11" s="10" t="s">
        <v>268</v>
      </c>
      <c r="M11" s="15" t="n">
        <v>1</v>
      </c>
      <c r="N11" s="10" t="s">
        <v>321</v>
      </c>
      <c r="O11" s="16" t="n">
        <f aca="false">IF(K11="USD",1,INDEX(Change_periodes!$D$1:$N$400,MATCH($N11,Change_periodes!$A$1:$A$400,0),MATCH($K11,Change_periodes!$D$1:$N$1,0)))</f>
        <v>550.256160979698</v>
      </c>
      <c r="P11" s="3" t="s">
        <v>270</v>
      </c>
      <c r="Q11" s="17" t="n">
        <f aca="false">INDEX(Change_periodes!$D$1:$D$400,MATCH($N11,Change_periodes!$A$1:$A$400,0))</f>
        <v>550.256160979698</v>
      </c>
      <c r="R11" s="18" t="n">
        <f aca="false">IFERROR(J11/M11/O11,"")</f>
        <v>1.36300154943231</v>
      </c>
      <c r="S11" s="9" t="n">
        <f aca="false">IFERROR(R11*Q11,"")</f>
        <v>750</v>
      </c>
      <c r="T11" s="19" t="n">
        <v>1</v>
      </c>
      <c r="U11" s="3" t="s">
        <v>271</v>
      </c>
      <c r="V11" s="9" t="n">
        <f aca="false">IFERROR(S11/T11,"")</f>
        <v>750</v>
      </c>
      <c r="W11" s="10" t="s">
        <v>322</v>
      </c>
      <c r="X11" s="9" t="n">
        <f aca="false">IF(W11="","",IFERROR(INDEX($V$1:$V$178,MATCH(W11,$A$1:$A$178,0)),""))</f>
        <v>1331.33744474157</v>
      </c>
      <c r="Y11" s="8" t="n">
        <f aca="false">IF(OR(X11="",V11=""),"",V11/X11)</f>
        <v>0.563343277816082</v>
      </c>
      <c r="Z11" s="10"/>
      <c r="AA11" s="9" t="str">
        <f aca="false">IF(Z11="","",IFERROR(INDEX($V$1:$V$178,MATCH(Z11,$A$1:$A$178,0)),""))</f>
        <v/>
      </c>
      <c r="AB11" s="8" t="str">
        <f aca="false">IF(OR(AA11="",V11=""),"",V11/AA11)</f>
        <v/>
      </c>
      <c r="AC11" s="3" t="s">
        <v>323</v>
      </c>
      <c r="AD11" s="3" t="s">
        <v>324</v>
      </c>
      <c r="AE11" s="10" t="s">
        <v>275</v>
      </c>
      <c r="AF11" s="7" t="s">
        <v>81</v>
      </c>
      <c r="AG11" s="3" t="s">
        <v>276</v>
      </c>
    </row>
    <row r="12" customFormat="false" ht="35.05" hidden="false" customHeight="false" outlineLevel="0" collapsed="false">
      <c r="A12" s="13" t="s">
        <v>325</v>
      </c>
      <c r="B12" s="3" t="s">
        <v>45</v>
      </c>
      <c r="C12" s="3" t="s">
        <v>260</v>
      </c>
      <c r="D12" s="3" t="s">
        <v>261</v>
      </c>
      <c r="E12" s="3" t="s">
        <v>326</v>
      </c>
      <c r="F12" s="3" t="s">
        <v>263</v>
      </c>
      <c r="G12" s="3" t="s">
        <v>264</v>
      </c>
      <c r="H12" s="3" t="s">
        <v>265</v>
      </c>
      <c r="I12" s="3" t="s">
        <v>266</v>
      </c>
      <c r="J12" s="14" t="n">
        <v>825</v>
      </c>
      <c r="K12" s="10" t="s">
        <v>267</v>
      </c>
      <c r="L12" s="10" t="s">
        <v>268</v>
      </c>
      <c r="M12" s="15" t="n">
        <v>1</v>
      </c>
      <c r="N12" s="10" t="s">
        <v>327</v>
      </c>
      <c r="O12" s="16" t="n">
        <f aca="false">IF(K12="USD",1,INDEX(Change_periodes!$D$1:$N$400,MATCH($N12,Change_periodes!$A$1:$A$400,0),MATCH($K12,Change_periodes!$D$1:$N$1,0)))</f>
        <v>578.966057050983</v>
      </c>
      <c r="P12" s="3" t="s">
        <v>270</v>
      </c>
      <c r="Q12" s="17" t="n">
        <f aca="false">INDEX(Change_periodes!$D$1:$D$400,MATCH($N12,Change_periodes!$A$1:$A$400,0))</f>
        <v>578.966057050983</v>
      </c>
      <c r="R12" s="18" t="n">
        <f aca="false">IFERROR(J12/M12/O12,"")</f>
        <v>1.42495400197071</v>
      </c>
      <c r="S12" s="9" t="n">
        <f aca="false">IFERROR(R12*Q12,"")</f>
        <v>825</v>
      </c>
      <c r="T12" s="19" t="n">
        <v>1</v>
      </c>
      <c r="U12" s="3" t="s">
        <v>271</v>
      </c>
      <c r="V12" s="9" t="n">
        <f aca="false">IFERROR(S12/T12,"")</f>
        <v>825</v>
      </c>
      <c r="W12" s="10" t="s">
        <v>328</v>
      </c>
      <c r="X12" s="9" t="n">
        <f aca="false">IF(W12="","",IFERROR(INDEX($V$1:$V$178,MATCH(W12,$A$1:$A$178,0)),""))</f>
        <v>1430.10405752163</v>
      </c>
      <c r="Y12" s="8" t="n">
        <f aca="false">IF(OR(X12="",V12=""),"",V12/X12)</f>
        <v>0.576881098729083</v>
      </c>
      <c r="Z12" s="10"/>
      <c r="AA12" s="9" t="str">
        <f aca="false">IF(Z12="","",IFERROR(INDEX($V$1:$V$178,MATCH(Z12,$A$1:$A$178,0)),""))</f>
        <v/>
      </c>
      <c r="AB12" s="8" t="str">
        <f aca="false">IF(OR(AA12="",V12=""),"",V12/AA12)</f>
        <v/>
      </c>
      <c r="AC12" s="3" t="s">
        <v>329</v>
      </c>
      <c r="AD12" s="3" t="s">
        <v>330</v>
      </c>
      <c r="AE12" s="10" t="s">
        <v>275</v>
      </c>
      <c r="AF12" s="7" t="s">
        <v>81</v>
      </c>
      <c r="AG12" s="3" t="s">
        <v>276</v>
      </c>
    </row>
    <row r="13" customFormat="false" ht="35.05" hidden="false" customHeight="false" outlineLevel="0" collapsed="false">
      <c r="A13" s="13" t="s">
        <v>331</v>
      </c>
      <c r="B13" s="3" t="s">
        <v>45</v>
      </c>
      <c r="C13" s="3" t="s">
        <v>260</v>
      </c>
      <c r="D13" s="3" t="s">
        <v>261</v>
      </c>
      <c r="E13" s="3" t="s">
        <v>326</v>
      </c>
      <c r="F13" s="3" t="s">
        <v>278</v>
      </c>
      <c r="G13" s="3" t="s">
        <v>264</v>
      </c>
      <c r="H13" s="3" t="s">
        <v>265</v>
      </c>
      <c r="I13" s="3" t="s">
        <v>266</v>
      </c>
      <c r="J13" s="14" t="n">
        <v>825</v>
      </c>
      <c r="K13" s="10" t="s">
        <v>267</v>
      </c>
      <c r="L13" s="10" t="s">
        <v>268</v>
      </c>
      <c r="M13" s="15" t="n">
        <v>1</v>
      </c>
      <c r="N13" s="10" t="s">
        <v>332</v>
      </c>
      <c r="O13" s="16" t="n">
        <f aca="false">IF(K13="USD",1,INDEX(Change_periodes!$D$1:$N$400,MATCH($N13,Change_periodes!$A$1:$A$400,0),MATCH($K13,Change_periodes!$D$1:$N$1,0)))</f>
        <v>633.60466599156</v>
      </c>
      <c r="P13" s="3" t="s">
        <v>270</v>
      </c>
      <c r="Q13" s="17" t="n">
        <f aca="false">INDEX(Change_periodes!$D$1:$D$400,MATCH($N13,Change_periodes!$A$1:$A$400,0))</f>
        <v>633.60466599156</v>
      </c>
      <c r="R13" s="18" t="n">
        <f aca="false">IFERROR(J13/M13/O13,"")</f>
        <v>1.30207374453109</v>
      </c>
      <c r="S13" s="9" t="n">
        <f aca="false">IFERROR(R13*Q13,"")</f>
        <v>825</v>
      </c>
      <c r="T13" s="19" t="n">
        <v>1</v>
      </c>
      <c r="U13" s="3" t="s">
        <v>271</v>
      </c>
      <c r="V13" s="9" t="n">
        <f aca="false">IFERROR(S13/T13,"")</f>
        <v>825</v>
      </c>
      <c r="W13" s="10" t="s">
        <v>333</v>
      </c>
      <c r="X13" s="9" t="n">
        <f aca="false">IF(W13="","",IFERROR(INDEX($V$1:$V$178,MATCH(W13,$A$1:$A$178,0)),""))</f>
        <v>1478.9462832564</v>
      </c>
      <c r="Y13" s="8" t="n">
        <f aca="false">IF(OR(X13="",V13=""),"",V13/X13)</f>
        <v>0.557829590797228</v>
      </c>
      <c r="Z13" s="10"/>
      <c r="AA13" s="9" t="str">
        <f aca="false">IF(Z13="","",IFERROR(INDEX($V$1:$V$178,MATCH(Z13,$A$1:$A$178,0)),""))</f>
        <v/>
      </c>
      <c r="AB13" s="8" t="str">
        <f aca="false">IF(OR(AA13="",V13=""),"",V13/AA13)</f>
        <v/>
      </c>
      <c r="AC13" s="3" t="s">
        <v>334</v>
      </c>
      <c r="AD13" s="3" t="s">
        <v>335</v>
      </c>
      <c r="AE13" s="10" t="s">
        <v>275</v>
      </c>
      <c r="AF13" s="7" t="s">
        <v>81</v>
      </c>
      <c r="AG13" s="3" t="s">
        <v>276</v>
      </c>
    </row>
    <row r="14" customFormat="false" ht="35.05" hidden="false" customHeight="false" outlineLevel="0" collapsed="false">
      <c r="A14" s="13" t="s">
        <v>336</v>
      </c>
      <c r="B14" s="3" t="s">
        <v>45</v>
      </c>
      <c r="C14" s="3" t="s">
        <v>260</v>
      </c>
      <c r="D14" s="3" t="s">
        <v>261</v>
      </c>
      <c r="E14" s="3" t="s">
        <v>337</v>
      </c>
      <c r="F14" s="3" t="s">
        <v>263</v>
      </c>
      <c r="G14" s="3" t="s">
        <v>264</v>
      </c>
      <c r="H14" s="3" t="s">
        <v>265</v>
      </c>
      <c r="I14" s="3" t="s">
        <v>266</v>
      </c>
      <c r="J14" s="14" t="n">
        <v>900</v>
      </c>
      <c r="K14" s="10" t="s">
        <v>267</v>
      </c>
      <c r="L14" s="10" t="s">
        <v>268</v>
      </c>
      <c r="M14" s="15" t="n">
        <v>1</v>
      </c>
      <c r="N14" s="10" t="s">
        <v>338</v>
      </c>
      <c r="O14" s="16" t="n">
        <f aca="false">IF(K14="USD",1,INDEX(Change_periodes!$D$1:$N$400,MATCH($N14,Change_periodes!$A$1:$A$400,0),MATCH($K14,Change_periodes!$D$1:$N$1,0)))</f>
        <v>627.349602745408</v>
      </c>
      <c r="P14" s="3" t="s">
        <v>270</v>
      </c>
      <c r="Q14" s="17" t="n">
        <f aca="false">INDEX(Change_periodes!$D$1:$D$400,MATCH($N14,Change_periodes!$A$1:$A$400,0))</f>
        <v>627.349602745408</v>
      </c>
      <c r="R14" s="18" t="n">
        <f aca="false">IFERROR(J14/M14/O14,"")</f>
        <v>1.43460679031503</v>
      </c>
      <c r="S14" s="9" t="n">
        <f aca="false">IFERROR(R14*Q14,"")</f>
        <v>900</v>
      </c>
      <c r="T14" s="19" t="n">
        <v>1</v>
      </c>
      <c r="U14" s="3" t="s">
        <v>271</v>
      </c>
      <c r="V14" s="9" t="n">
        <f aca="false">IFERROR(S14/T14,"")</f>
        <v>900</v>
      </c>
      <c r="W14" s="10" t="s">
        <v>339</v>
      </c>
      <c r="X14" s="9" t="n">
        <f aca="false">IF(W14="","",IFERROR(INDEX($V$1:$V$178,MATCH(W14,$A$1:$A$178,0)),""))</f>
        <v>1595.39081750575</v>
      </c>
      <c r="Y14" s="8" t="n">
        <f aca="false">IF(OR(X14="",V14=""),"",V14/X14)</f>
        <v>0.564125097201618</v>
      </c>
      <c r="Z14" s="10"/>
      <c r="AA14" s="9" t="str">
        <f aca="false">IF(Z14="","",IFERROR(INDEX($V$1:$V$178,MATCH(Z14,$A$1:$A$178,0)),""))</f>
        <v/>
      </c>
      <c r="AB14" s="8" t="str">
        <f aca="false">IF(OR(AA14="",V14=""),"",V14/AA14)</f>
        <v/>
      </c>
      <c r="AC14" s="3" t="s">
        <v>340</v>
      </c>
      <c r="AD14" s="3" t="s">
        <v>341</v>
      </c>
      <c r="AE14" s="10" t="s">
        <v>275</v>
      </c>
      <c r="AF14" s="7" t="s">
        <v>81</v>
      </c>
      <c r="AG14" s="3" t="s">
        <v>276</v>
      </c>
    </row>
    <row r="15" customFormat="false" ht="35.05" hidden="false" customHeight="false" outlineLevel="0" collapsed="false">
      <c r="A15" s="13" t="s">
        <v>342</v>
      </c>
      <c r="B15" s="3" t="s">
        <v>45</v>
      </c>
      <c r="C15" s="3" t="s">
        <v>260</v>
      </c>
      <c r="D15" s="3" t="s">
        <v>261</v>
      </c>
      <c r="E15" s="3" t="s">
        <v>337</v>
      </c>
      <c r="F15" s="3" t="s">
        <v>278</v>
      </c>
      <c r="G15" s="3" t="s">
        <v>264</v>
      </c>
      <c r="H15" s="3" t="s">
        <v>265</v>
      </c>
      <c r="I15" s="3" t="s">
        <v>266</v>
      </c>
      <c r="J15" s="14" t="n">
        <v>900</v>
      </c>
      <c r="K15" s="10" t="s">
        <v>267</v>
      </c>
      <c r="L15" s="10" t="s">
        <v>268</v>
      </c>
      <c r="M15" s="15" t="n">
        <v>1</v>
      </c>
      <c r="N15" s="10" t="s">
        <v>343</v>
      </c>
      <c r="O15" s="16" t="n">
        <f aca="false">IF(K15="USD",1,INDEX(Change_periodes!$D$1:$N$400,MATCH($N15,Change_periodes!$A$1:$A$400,0),MATCH($K15,Change_periodes!$D$1:$N$1,0)))</f>
        <v>602.546206850614</v>
      </c>
      <c r="P15" s="3" t="s">
        <v>270</v>
      </c>
      <c r="Q15" s="17" t="n">
        <f aca="false">INDEX(Change_periodes!$D$1:$D$400,MATCH($N15,Change_periodes!$A$1:$A$400,0))</f>
        <v>602.546206850614</v>
      </c>
      <c r="R15" s="18" t="n">
        <f aca="false">IFERROR(J15/M15/O15,"")</f>
        <v>1.49366138192806</v>
      </c>
      <c r="S15" s="9" t="n">
        <f aca="false">IFERROR(R15*Q15,"")</f>
        <v>900</v>
      </c>
      <c r="T15" s="19" t="n">
        <v>1</v>
      </c>
      <c r="U15" s="3" t="s">
        <v>271</v>
      </c>
      <c r="V15" s="9" t="n">
        <f aca="false">IFERROR(S15/T15,"")</f>
        <v>900</v>
      </c>
      <c r="W15" s="10" t="s">
        <v>344</v>
      </c>
      <c r="X15" s="9" t="n">
        <f aca="false">IF(W15="","",IFERROR(INDEX($V$1:$V$178,MATCH(W15,$A$1:$A$178,0)),""))</f>
        <v>1955.88908928537</v>
      </c>
      <c r="Y15" s="8" t="n">
        <f aca="false">IF(OR(X15="",V15=""),"",V15/X15)</f>
        <v>0.460148791120277</v>
      </c>
      <c r="Z15" s="10"/>
      <c r="AA15" s="9" t="str">
        <f aca="false">IF(Z15="","",IFERROR(INDEX($V$1:$V$178,MATCH(Z15,$A$1:$A$178,0)),""))</f>
        <v/>
      </c>
      <c r="AB15" s="8" t="str">
        <f aca="false">IF(OR(AA15="",V15=""),"",V15/AA15)</f>
        <v/>
      </c>
      <c r="AC15" s="3" t="s">
        <v>345</v>
      </c>
      <c r="AD15" s="3" t="s">
        <v>346</v>
      </c>
      <c r="AE15" s="10" t="s">
        <v>275</v>
      </c>
      <c r="AF15" s="7" t="s">
        <v>81</v>
      </c>
      <c r="AG15" s="3" t="s">
        <v>276</v>
      </c>
    </row>
    <row r="16" customFormat="false" ht="35.05" hidden="false" customHeight="false" outlineLevel="0" collapsed="false">
      <c r="A16" s="13" t="s">
        <v>347</v>
      </c>
      <c r="B16" s="3" t="s">
        <v>45</v>
      </c>
      <c r="C16" s="3" t="s">
        <v>260</v>
      </c>
      <c r="D16" s="3" t="s">
        <v>261</v>
      </c>
      <c r="E16" s="3" t="s">
        <v>348</v>
      </c>
      <c r="F16" s="3" t="s">
        <v>263</v>
      </c>
      <c r="G16" s="3" t="s">
        <v>264</v>
      </c>
      <c r="H16" s="3" t="s">
        <v>265</v>
      </c>
      <c r="I16" s="3" t="s">
        <v>266</v>
      </c>
      <c r="J16" s="14" t="n">
        <v>1000</v>
      </c>
      <c r="K16" s="10" t="s">
        <v>267</v>
      </c>
      <c r="L16" s="10" t="s">
        <v>268</v>
      </c>
      <c r="M16" s="15" t="n">
        <v>1</v>
      </c>
      <c r="N16" s="10" t="s">
        <v>349</v>
      </c>
      <c r="O16" s="16" t="n">
        <f aca="false">IF(K16="USD",1,INDEX(Change_periodes!$D$1:$N$400,MATCH($N16,Change_periodes!$A$1:$A$400,0),MATCH($K16,Change_periodes!$D$1:$N$1,0)))</f>
        <v>607.010801170996</v>
      </c>
      <c r="P16" s="3" t="s">
        <v>270</v>
      </c>
      <c r="Q16" s="17" t="n">
        <f aca="false">INDEX(Change_periodes!$D$1:$D$400,MATCH($N16,Change_periodes!$A$1:$A$400,0))</f>
        <v>607.010801170996</v>
      </c>
      <c r="R16" s="18" t="n">
        <f aca="false">IFERROR(J16/M16/O16,"")</f>
        <v>1.64741714327139</v>
      </c>
      <c r="S16" s="9" t="n">
        <f aca="false">IFERROR(R16*Q16,"")</f>
        <v>1000</v>
      </c>
      <c r="T16" s="19" t="n">
        <v>1</v>
      </c>
      <c r="U16" s="3" t="s">
        <v>271</v>
      </c>
      <c r="V16" s="9" t="n">
        <f aca="false">IFERROR(S16/T16,"")</f>
        <v>1000</v>
      </c>
      <c r="W16" s="10" t="s">
        <v>350</v>
      </c>
      <c r="X16" s="9" t="n">
        <f aca="false">IF(W16="","",IFERROR(INDEX($V$1:$V$178,MATCH(W16,$A$1:$A$178,0)),""))</f>
        <v>2924.67415008538</v>
      </c>
      <c r="Y16" s="8" t="n">
        <f aca="false">IF(OR(X16="",V16=""),"",V16/X16)</f>
        <v>0.341918432168181</v>
      </c>
      <c r="Z16" s="10"/>
      <c r="AA16" s="9" t="str">
        <f aca="false">IF(Z16="","",IFERROR(INDEX($V$1:$V$178,MATCH(Z16,$A$1:$A$178,0)),""))</f>
        <v/>
      </c>
      <c r="AB16" s="8" t="str">
        <f aca="false">IF(OR(AA16="",V16=""),"",V16/AA16)</f>
        <v/>
      </c>
      <c r="AC16" s="3" t="s">
        <v>351</v>
      </c>
      <c r="AD16" s="3" t="s">
        <v>352</v>
      </c>
      <c r="AE16" s="10" t="s">
        <v>275</v>
      </c>
      <c r="AF16" s="7" t="s">
        <v>81</v>
      </c>
      <c r="AG16" s="3" t="s">
        <v>276</v>
      </c>
    </row>
    <row r="17" customFormat="false" ht="35.05" hidden="false" customHeight="false" outlineLevel="0" collapsed="false">
      <c r="A17" s="13" t="s">
        <v>353</v>
      </c>
      <c r="B17" s="3" t="s">
        <v>45</v>
      </c>
      <c r="C17" s="3" t="s">
        <v>260</v>
      </c>
      <c r="D17" s="3" t="s">
        <v>261</v>
      </c>
      <c r="E17" s="3" t="s">
        <v>348</v>
      </c>
      <c r="F17" s="3" t="s">
        <v>278</v>
      </c>
      <c r="G17" s="3" t="s">
        <v>264</v>
      </c>
      <c r="H17" s="3" t="s">
        <v>265</v>
      </c>
      <c r="I17" s="3" t="s">
        <v>266</v>
      </c>
      <c r="J17" s="14" t="n">
        <v>1500</v>
      </c>
      <c r="K17" s="10" t="s">
        <v>267</v>
      </c>
      <c r="L17" s="10" t="s">
        <v>268</v>
      </c>
      <c r="M17" s="15" t="n">
        <v>1</v>
      </c>
      <c r="N17" s="10" t="s">
        <v>354</v>
      </c>
      <c r="O17" s="16" t="n">
        <f aca="false">IF(K17="USD",1,INDEX(Change_periodes!$D$1:$N$400,MATCH($N17,Change_periodes!$A$1:$A$400,0),MATCH($K17,Change_periodes!$D$1:$N$1,0)))</f>
        <v>603.169399806111</v>
      </c>
      <c r="P17" s="3" t="s">
        <v>270</v>
      </c>
      <c r="Q17" s="17" t="n">
        <f aca="false">INDEX(Change_periodes!$D$1:$D$400,MATCH($N17,Change_periodes!$A$1:$A$400,0))</f>
        <v>603.169399806111</v>
      </c>
      <c r="R17" s="18" t="n">
        <f aca="false">IFERROR(J17/M17/O17,"")</f>
        <v>2.48686355853294</v>
      </c>
      <c r="S17" s="9" t="n">
        <f aca="false">IFERROR(R17*Q17,"")</f>
        <v>1500</v>
      </c>
      <c r="T17" s="19" t="n">
        <v>1</v>
      </c>
      <c r="U17" s="3" t="s">
        <v>271</v>
      </c>
      <c r="V17" s="9" t="n">
        <f aca="false">IFERROR(S17/T17,"")</f>
        <v>1500</v>
      </c>
      <c r="W17" s="10" t="s">
        <v>355</v>
      </c>
      <c r="X17" s="9" t="n">
        <f aca="false">IF(W17="","",IFERROR(INDEX($V$1:$V$178,MATCH(W17,$A$1:$A$178,0)),""))</f>
        <v>4628.39827320086</v>
      </c>
      <c r="Y17" s="8" t="n">
        <f aca="false">IF(OR(X17="",V17=""),"",V17/X17)</f>
        <v>0.324086198174697</v>
      </c>
      <c r="Z17" s="10"/>
      <c r="AA17" s="9" t="str">
        <f aca="false">IF(Z17="","",IFERROR(INDEX($V$1:$V$178,MATCH(Z17,$A$1:$A$178,0)),""))</f>
        <v/>
      </c>
      <c r="AB17" s="8" t="str">
        <f aca="false">IF(OR(AA17="",V17=""),"",V17/AA17)</f>
        <v/>
      </c>
      <c r="AC17" s="3" t="s">
        <v>356</v>
      </c>
      <c r="AD17" s="3" t="s">
        <v>357</v>
      </c>
      <c r="AE17" s="10" t="s">
        <v>275</v>
      </c>
      <c r="AF17" s="7" t="s">
        <v>81</v>
      </c>
      <c r="AG17" s="3" t="s">
        <v>276</v>
      </c>
    </row>
    <row r="18" customFormat="false" ht="35.05" hidden="false" customHeight="false" outlineLevel="0" collapsed="false">
      <c r="A18" s="13" t="s">
        <v>358</v>
      </c>
      <c r="B18" s="3" t="s">
        <v>45</v>
      </c>
      <c r="C18" s="3" t="s">
        <v>260</v>
      </c>
      <c r="D18" s="3" t="s">
        <v>261</v>
      </c>
      <c r="E18" s="3" t="s">
        <v>359</v>
      </c>
      <c r="F18" s="3" t="s">
        <v>263</v>
      </c>
      <c r="G18" s="3" t="s">
        <v>264</v>
      </c>
      <c r="H18" s="3" t="s">
        <v>265</v>
      </c>
      <c r="I18" s="3" t="s">
        <v>266</v>
      </c>
      <c r="J18" s="14" t="n">
        <v>1800</v>
      </c>
      <c r="K18" s="10" t="s">
        <v>267</v>
      </c>
      <c r="L18" s="10" t="s">
        <v>268</v>
      </c>
      <c r="M18" s="15" t="n">
        <v>1</v>
      </c>
      <c r="N18" s="10" t="s">
        <v>360</v>
      </c>
      <c r="O18" s="16" t="n">
        <f aca="false">IF(K18="USD",1,INDEX(Change_periodes!$D$1:$N$400,MATCH($N18,Change_periodes!$A$1:$A$400,0),MATCH($K18,Change_periodes!$D$1:$N$1,0)))</f>
        <v>619.186345336557</v>
      </c>
      <c r="P18" s="3" t="s">
        <v>270</v>
      </c>
      <c r="Q18" s="17" t="n">
        <f aca="false">INDEX(Change_periodes!$D$1:$D$400,MATCH($N18,Change_periodes!$A$1:$A$400,0))</f>
        <v>619.186345336557</v>
      </c>
      <c r="R18" s="18" t="n">
        <f aca="false">IFERROR(J18/M18/O18,"")</f>
        <v>2.90704085055625</v>
      </c>
      <c r="S18" s="9" t="n">
        <f aca="false">IFERROR(R18*Q18,"")</f>
        <v>1800</v>
      </c>
      <c r="T18" s="19" t="n">
        <v>1</v>
      </c>
      <c r="U18" s="3" t="s">
        <v>271</v>
      </c>
      <c r="V18" s="9" t="n">
        <f aca="false">IFERROR(S18/T18,"")</f>
        <v>1800</v>
      </c>
      <c r="W18" s="10" t="s">
        <v>361</v>
      </c>
      <c r="X18" s="9" t="n">
        <f aca="false">IF(W18="","",IFERROR(INDEX($V$1:$V$178,MATCH(W18,$A$1:$A$178,0)),""))</f>
        <v>5527.02037087838</v>
      </c>
      <c r="Y18" s="8" t="n">
        <f aca="false">IF(OR(X18="",V18=""),"",V18/X18)</f>
        <v>0.325672763842905</v>
      </c>
      <c r="Z18" s="10"/>
      <c r="AA18" s="9" t="str">
        <f aca="false">IF(Z18="","",IFERROR(INDEX($V$1:$V$178,MATCH(Z18,$A$1:$A$178,0)),""))</f>
        <v/>
      </c>
      <c r="AB18" s="8" t="str">
        <f aca="false">IF(OR(AA18="",V18=""),"",V18/AA18)</f>
        <v/>
      </c>
      <c r="AC18" s="3" t="s">
        <v>362</v>
      </c>
      <c r="AD18" s="3" t="s">
        <v>363</v>
      </c>
      <c r="AE18" s="10" t="s">
        <v>275</v>
      </c>
      <c r="AF18" s="7" t="s">
        <v>81</v>
      </c>
      <c r="AG18" s="3" t="s">
        <v>276</v>
      </c>
    </row>
    <row r="19" customFormat="false" ht="23.85" hidden="false" customHeight="false" outlineLevel="0" collapsed="false">
      <c r="A19" s="13" t="s">
        <v>364</v>
      </c>
      <c r="B19" s="3" t="s">
        <v>45</v>
      </c>
      <c r="C19" s="3" t="s">
        <v>260</v>
      </c>
      <c r="D19" s="3" t="s">
        <v>261</v>
      </c>
      <c r="E19" s="3" t="s">
        <v>359</v>
      </c>
      <c r="F19" s="3" t="s">
        <v>278</v>
      </c>
      <c r="G19" s="3" t="s">
        <v>264</v>
      </c>
      <c r="H19" s="3" t="s">
        <v>265</v>
      </c>
      <c r="I19" s="3" t="s">
        <v>266</v>
      </c>
      <c r="J19" s="14" t="n">
        <v>2200</v>
      </c>
      <c r="K19" s="10" t="s">
        <v>267</v>
      </c>
      <c r="L19" s="10" t="s">
        <v>268</v>
      </c>
      <c r="M19" s="15" t="n">
        <v>1</v>
      </c>
      <c r="N19" s="10" t="s">
        <v>365</v>
      </c>
      <c r="O19" s="16" t="n">
        <f aca="false">IF(K19="USD",1,INDEX(Change_periodes!$D$1:$N$400,MATCH($N19,Change_periodes!$A$1:$A$400,0),MATCH($K19,Change_periodes!$D$1:$N$1,0)))</f>
        <v>570.163679975575</v>
      </c>
      <c r="P19" s="3" t="s">
        <v>270</v>
      </c>
      <c r="Q19" s="17" t="n">
        <f aca="false">INDEX(Change_periodes!$D$1:$D$400,MATCH($N19,Change_periodes!$A$1:$A$400,0))</f>
        <v>570.163679975575</v>
      </c>
      <c r="R19" s="18" t="n">
        <f aca="false">IFERROR(J19/M19/O19,"")</f>
        <v>3.85854111242976</v>
      </c>
      <c r="S19" s="9" t="n">
        <f aca="false">IFERROR(R19*Q19,"")</f>
        <v>2200</v>
      </c>
      <c r="T19" s="19" t="n">
        <v>1</v>
      </c>
      <c r="U19" s="3" t="s">
        <v>271</v>
      </c>
      <c r="V19" s="9" t="n">
        <f aca="false">IFERROR(S19/T19,"")</f>
        <v>2200</v>
      </c>
      <c r="W19" s="10" t="s">
        <v>366</v>
      </c>
      <c r="X19" s="9" t="n">
        <f aca="false">IF(W19="","",IFERROR(INDEX($V$1:$V$178,MATCH(W19,$A$1:$A$178,0)),""))</f>
        <v>4517.80310020406</v>
      </c>
      <c r="Y19" s="8" t="n">
        <f aca="false">IF(OR(X19="",V19=""),"",V19/X19)</f>
        <v>0.486962346787674</v>
      </c>
      <c r="Z19" s="10"/>
      <c r="AA19" s="9" t="str">
        <f aca="false">IF(Z19="","",IFERROR(INDEX($V$1:$V$178,MATCH(Z19,$A$1:$A$178,0)),""))</f>
        <v/>
      </c>
      <c r="AB19" s="8" t="str">
        <f aca="false">IF(OR(AA19="",V19=""),"",V19/AA19)</f>
        <v/>
      </c>
      <c r="AC19" s="3" t="s">
        <v>367</v>
      </c>
      <c r="AD19" s="3" t="s">
        <v>368</v>
      </c>
      <c r="AE19" s="10" t="s">
        <v>275</v>
      </c>
      <c r="AF19" s="7" t="s">
        <v>81</v>
      </c>
      <c r="AG19" s="3" t="s">
        <v>276</v>
      </c>
    </row>
    <row r="20" customFormat="false" ht="35.05" hidden="false" customHeight="false" outlineLevel="0" collapsed="false">
      <c r="A20" s="13" t="s">
        <v>108</v>
      </c>
      <c r="B20" s="3" t="s">
        <v>45</v>
      </c>
      <c r="C20" s="3" t="s">
        <v>260</v>
      </c>
      <c r="D20" s="3" t="s">
        <v>261</v>
      </c>
      <c r="E20" s="3" t="s">
        <v>369</v>
      </c>
      <c r="F20" s="3" t="s">
        <v>263</v>
      </c>
      <c r="G20" s="3" t="s">
        <v>264</v>
      </c>
      <c r="H20" s="3" t="s">
        <v>265</v>
      </c>
      <c r="I20" s="3" t="s">
        <v>266</v>
      </c>
      <c r="J20" s="14" t="n">
        <v>2800</v>
      </c>
      <c r="K20" s="10" t="s">
        <v>267</v>
      </c>
      <c r="L20" s="10" t="s">
        <v>268</v>
      </c>
      <c r="M20" s="15" t="n">
        <v>1</v>
      </c>
      <c r="N20" s="10" t="s">
        <v>370</v>
      </c>
      <c r="O20" s="16" t="n">
        <f aca="false">IF(K20="USD",1,INDEX(Change_periodes!$D$1:$N$400,MATCH($N20,Change_periodes!$A$1:$A$400,0),MATCH($K20,Change_periodes!$D$1:$N$1,0)))</f>
        <v>562.127882453012</v>
      </c>
      <c r="P20" s="3" t="s">
        <v>270</v>
      </c>
      <c r="Q20" s="17" t="n">
        <f aca="false">INDEX(Change_periodes!$D$1:$D$400,MATCH($N20,Change_periodes!$A$1:$A$400,0))</f>
        <v>562.127882453012</v>
      </c>
      <c r="R20" s="18" t="n">
        <f aca="false">IFERROR(J20/M20/O20,"")</f>
        <v>4.98107296827435</v>
      </c>
      <c r="S20" s="9" t="n">
        <f aca="false">IFERROR(R20*Q20,"")</f>
        <v>2800</v>
      </c>
      <c r="T20" s="19" t="n">
        <v>1</v>
      </c>
      <c r="U20" s="3" t="s">
        <v>271</v>
      </c>
      <c r="V20" s="9" t="n">
        <f aca="false">IFERROR(S20/T20,"")</f>
        <v>2800</v>
      </c>
      <c r="W20" s="10" t="s">
        <v>371</v>
      </c>
      <c r="X20" s="9" t="n">
        <f aca="false">IF(W20="","",IFERROR(INDEX($V$1:$V$178,MATCH(W20,$A$1:$A$178,0)),""))</f>
        <v>2731.10393817679</v>
      </c>
      <c r="Y20" s="8" t="n">
        <f aca="false">IF(OR(X20="",V20=""),"",V20/X20)</f>
        <v>1.02522645178755</v>
      </c>
      <c r="Z20" s="10"/>
      <c r="AA20" s="9" t="str">
        <f aca="false">IF(Z20="","",IFERROR(INDEX($V$1:$V$178,MATCH(Z20,$A$1:$A$178,0)),""))</f>
        <v/>
      </c>
      <c r="AB20" s="8" t="str">
        <f aca="false">IF(OR(AA20="",V20=""),"",V20/AA20)</f>
        <v/>
      </c>
      <c r="AC20" s="3" t="s">
        <v>372</v>
      </c>
      <c r="AD20" s="3" t="s">
        <v>373</v>
      </c>
      <c r="AE20" s="10" t="s">
        <v>275</v>
      </c>
      <c r="AF20" s="7" t="s">
        <v>81</v>
      </c>
      <c r="AG20" s="3" t="s">
        <v>276</v>
      </c>
    </row>
    <row r="21" customFormat="false" ht="46.25" hidden="false" customHeight="false" outlineLevel="0" collapsed="false">
      <c r="A21" s="13" t="s">
        <v>112</v>
      </c>
      <c r="B21" s="3" t="s">
        <v>45</v>
      </c>
      <c r="C21" s="3" t="s">
        <v>260</v>
      </c>
      <c r="D21" s="3" t="s">
        <v>261</v>
      </c>
      <c r="E21" s="3" t="s">
        <v>369</v>
      </c>
      <c r="F21" s="3" t="s">
        <v>278</v>
      </c>
      <c r="G21" s="3" t="s">
        <v>264</v>
      </c>
      <c r="H21" s="3" t="s">
        <v>265</v>
      </c>
      <c r="I21" s="3" t="s">
        <v>266</v>
      </c>
      <c r="J21" s="14" t="n">
        <v>1200</v>
      </c>
      <c r="K21" s="10" t="s">
        <v>267</v>
      </c>
      <c r="L21" s="10" t="s">
        <v>268</v>
      </c>
      <c r="M21" s="15" t="n">
        <v>1</v>
      </c>
      <c r="N21" s="10" t="s">
        <v>374</v>
      </c>
      <c r="O21" s="16" t="n">
        <f aca="false">IF(K21="USD",1,INDEX(Change_periodes!$D$1:$N$400,MATCH($N21,Change_periodes!$A$1:$A$400,0),MATCH($K21,Change_periodes!$D$1:$N$1,0)))</f>
        <v>566.224023240776</v>
      </c>
      <c r="P21" s="3" t="s">
        <v>270</v>
      </c>
      <c r="Q21" s="17" t="n">
        <f aca="false">INDEX(Change_periodes!$D$1:$D$400,MATCH($N21,Change_periodes!$A$1:$A$400,0))</f>
        <v>566.224023240776</v>
      </c>
      <c r="R21" s="18" t="n">
        <f aca="false">IFERROR(J21/M21/O21,"")</f>
        <v>2.11930252116789</v>
      </c>
      <c r="S21" s="9" t="n">
        <f aca="false">IFERROR(R21*Q21,"")</f>
        <v>1200</v>
      </c>
      <c r="T21" s="19" t="n">
        <v>1</v>
      </c>
      <c r="U21" s="3" t="s">
        <v>271</v>
      </c>
      <c r="V21" s="9" t="n">
        <f aca="false">IFERROR(S21/T21,"")</f>
        <v>1200</v>
      </c>
      <c r="W21" s="10" t="s">
        <v>375</v>
      </c>
      <c r="X21" s="9" t="n">
        <f aca="false">IF(W21="","",IFERROR(INDEX($V$1:$V$178,MATCH(W21,$A$1:$A$178,0)),""))</f>
        <v>2666.35464922947</v>
      </c>
      <c r="Y21" s="8" t="n">
        <f aca="false">IF(OR(X21="",V21=""),"",V21/X21)</f>
        <v>0.450052659103987</v>
      </c>
      <c r="Z21" s="10"/>
      <c r="AA21" s="9" t="str">
        <f aca="false">IF(Z21="","",IFERROR(INDEX($V$1:$V$178,MATCH(Z21,$A$1:$A$178,0)),""))</f>
        <v/>
      </c>
      <c r="AB21" s="8" t="str">
        <f aca="false">IF(OR(AA21="",V21=""),"",V21/AA21)</f>
        <v/>
      </c>
      <c r="AC21" s="3" t="s">
        <v>376</v>
      </c>
      <c r="AD21" s="3" t="s">
        <v>377</v>
      </c>
      <c r="AE21" s="10" t="s">
        <v>275</v>
      </c>
      <c r="AF21" s="7" t="s">
        <v>81</v>
      </c>
      <c r="AG21" s="3" t="s">
        <v>276</v>
      </c>
    </row>
    <row r="22" customFormat="false" ht="35.05" hidden="false" customHeight="false" outlineLevel="0" collapsed="false">
      <c r="A22" s="13" t="s">
        <v>378</v>
      </c>
      <c r="B22" s="3" t="s">
        <v>45</v>
      </c>
      <c r="C22" s="3" t="s">
        <v>260</v>
      </c>
      <c r="D22" s="3" t="s">
        <v>379</v>
      </c>
      <c r="E22" s="3" t="s">
        <v>262</v>
      </c>
      <c r="F22" s="3" t="s">
        <v>263</v>
      </c>
      <c r="G22" s="3" t="s">
        <v>380</v>
      </c>
      <c r="H22" s="3" t="s">
        <v>381</v>
      </c>
      <c r="I22" s="3" t="s">
        <v>382</v>
      </c>
      <c r="J22" s="14" t="n">
        <v>7600</v>
      </c>
      <c r="K22" s="10" t="s">
        <v>383</v>
      </c>
      <c r="L22" s="10" t="s">
        <v>384</v>
      </c>
      <c r="M22" s="15" t="n">
        <v>1000</v>
      </c>
      <c r="N22" s="10" t="s">
        <v>269</v>
      </c>
      <c r="O22" s="16" t="n">
        <f aca="false">IF(K22="USD",1,INDEX(Change_periodes!$D$1:$N$400,MATCH($N22,Change_periodes!$A$1:$A$400,0),MATCH($K22,Change_periodes!$D$1:$N$1,0)))</f>
        <v>4.1874</v>
      </c>
      <c r="P22" s="3" t="s">
        <v>385</v>
      </c>
      <c r="Q22" s="17" t="n">
        <f aca="false">INDEX(Change_periodes!$D$1:$D$400,MATCH($N22,Change_periodes!$A$1:$A$400,0))</f>
        <v>612.129614326912</v>
      </c>
      <c r="R22" s="18" t="n">
        <f aca="false">IFERROR(J22/M22/O22,"")</f>
        <v>1.81496871567082</v>
      </c>
      <c r="S22" s="9" t="n">
        <f aca="false">IFERROR(R22*Q22,"")</f>
        <v>1110.99609993899</v>
      </c>
      <c r="T22" s="19" t="n">
        <v>1</v>
      </c>
      <c r="U22" s="3" t="s">
        <v>271</v>
      </c>
      <c r="V22" s="9" t="n">
        <f aca="false">IFERROR(S22/T22,"")</f>
        <v>1110.99609993899</v>
      </c>
      <c r="W22" s="10" t="s">
        <v>272</v>
      </c>
      <c r="X22" s="9" t="n">
        <f aca="false">IF(W22="","",IFERROR(INDEX($V$1:$V$178,MATCH(W22,$A$1:$A$178,0)),""))</f>
        <v>1405.56997998541</v>
      </c>
      <c r="Y22" s="8" t="n">
        <f aca="false">IF(OR(X22="",V22=""),"",V22/X22)</f>
        <v>0.790423896183757</v>
      </c>
      <c r="Z22" s="10"/>
      <c r="AA22" s="9" t="str">
        <f aca="false">IF(Z22="","",IFERROR(INDEX($V$1:$V$178,MATCH(Z22,$A$1:$A$178,0)),""))</f>
        <v/>
      </c>
      <c r="AB22" s="8" t="str">
        <f aca="false">IF(OR(AA22="",V22=""),"",V22/AA22)</f>
        <v/>
      </c>
      <c r="AC22" s="3" t="s">
        <v>386</v>
      </c>
      <c r="AD22" s="3" t="s">
        <v>387</v>
      </c>
      <c r="AE22" s="10" t="s">
        <v>275</v>
      </c>
      <c r="AF22" s="7" t="s">
        <v>81</v>
      </c>
      <c r="AG22" s="3" t="s">
        <v>388</v>
      </c>
    </row>
    <row r="23" customFormat="false" ht="35.05" hidden="false" customHeight="false" outlineLevel="0" collapsed="false">
      <c r="A23" s="13" t="s">
        <v>389</v>
      </c>
      <c r="B23" s="3" t="s">
        <v>45</v>
      </c>
      <c r="C23" s="3" t="s">
        <v>260</v>
      </c>
      <c r="D23" s="3" t="s">
        <v>379</v>
      </c>
      <c r="E23" s="3" t="s">
        <v>262</v>
      </c>
      <c r="F23" s="3" t="s">
        <v>278</v>
      </c>
      <c r="G23" s="3" t="s">
        <v>380</v>
      </c>
      <c r="H23" s="3" t="s">
        <v>381</v>
      </c>
      <c r="I23" s="3" t="s">
        <v>382</v>
      </c>
      <c r="J23" s="14" t="n">
        <v>7600</v>
      </c>
      <c r="K23" s="10" t="s">
        <v>383</v>
      </c>
      <c r="L23" s="10" t="s">
        <v>384</v>
      </c>
      <c r="M23" s="15" t="n">
        <v>1000</v>
      </c>
      <c r="N23" s="10" t="s">
        <v>279</v>
      </c>
      <c r="O23" s="16" t="n">
        <f aca="false">IF(K23="USD",1,INDEX(Change_periodes!$D$1:$N$400,MATCH($N23,Change_periodes!$A$1:$A$400,0),MATCH($K23,Change_periodes!$D$1:$N$1,0)))</f>
        <v>4.32068333333333</v>
      </c>
      <c r="P23" s="3" t="s">
        <v>385</v>
      </c>
      <c r="Q23" s="17" t="n">
        <f aca="false">INDEX(Change_periodes!$D$1:$D$400,MATCH($N23,Change_periodes!$A$1:$A$400,0))</f>
        <v>577.514240499801</v>
      </c>
      <c r="R23" s="18" t="n">
        <f aca="false">IFERROR(J23/M23/O23,"")</f>
        <v>1.75898102537793</v>
      </c>
      <c r="S23" s="9" t="n">
        <f aca="false">IFERROR(R23*Q23,"")</f>
        <v>1015.8365909247</v>
      </c>
      <c r="T23" s="19" t="n">
        <v>1</v>
      </c>
      <c r="U23" s="3" t="s">
        <v>271</v>
      </c>
      <c r="V23" s="9" t="n">
        <f aca="false">IFERROR(S23/T23,"")</f>
        <v>1015.8365909247</v>
      </c>
      <c r="W23" s="10" t="s">
        <v>280</v>
      </c>
      <c r="X23" s="9" t="n">
        <f aca="false">IF(W23="","",IFERROR(INDEX($V$1:$V$178,MATCH(W23,$A$1:$A$178,0)),""))</f>
        <v>1147.16754966267</v>
      </c>
      <c r="Y23" s="8" t="n">
        <f aca="false">IF(OR(X23="",V23=""),"",V23/X23)</f>
        <v>0.88551719513284</v>
      </c>
      <c r="Z23" s="10"/>
      <c r="AA23" s="9" t="str">
        <f aca="false">IF(Z23="","",IFERROR(INDEX($V$1:$V$178,MATCH(Z23,$A$1:$A$178,0)),""))</f>
        <v/>
      </c>
      <c r="AB23" s="8" t="str">
        <f aca="false">IF(OR(AA23="",V23=""),"",V23/AA23)</f>
        <v/>
      </c>
      <c r="AC23" s="3" t="s">
        <v>386</v>
      </c>
      <c r="AD23" s="3" t="s">
        <v>387</v>
      </c>
      <c r="AE23" s="10" t="s">
        <v>275</v>
      </c>
      <c r="AF23" s="7" t="s">
        <v>81</v>
      </c>
      <c r="AG23" s="3" t="s">
        <v>388</v>
      </c>
    </row>
    <row r="24" customFormat="false" ht="35.05" hidden="false" customHeight="false" outlineLevel="0" collapsed="false">
      <c r="A24" s="13" t="s">
        <v>390</v>
      </c>
      <c r="B24" s="3" t="s">
        <v>45</v>
      </c>
      <c r="C24" s="3" t="s">
        <v>260</v>
      </c>
      <c r="D24" s="3" t="s">
        <v>379</v>
      </c>
      <c r="E24" s="3" t="s">
        <v>284</v>
      </c>
      <c r="F24" s="3" t="s">
        <v>263</v>
      </c>
      <c r="G24" s="3" t="s">
        <v>380</v>
      </c>
      <c r="H24" s="3" t="s">
        <v>381</v>
      </c>
      <c r="I24" s="3" t="s">
        <v>382</v>
      </c>
      <c r="J24" s="14" t="n">
        <v>7600</v>
      </c>
      <c r="K24" s="10" t="s">
        <v>383</v>
      </c>
      <c r="L24" s="10" t="s">
        <v>384</v>
      </c>
      <c r="M24" s="15" t="n">
        <v>1000</v>
      </c>
      <c r="N24" s="10" t="s">
        <v>285</v>
      </c>
      <c r="O24" s="16" t="n">
        <f aca="false">IF(K24="USD",1,INDEX(Change_periodes!$D$1:$N$400,MATCH($N24,Change_periodes!$A$1:$A$400,0),MATCH($K24,Change_periodes!$D$1:$N$1,0)))</f>
        <v>4.40726666666667</v>
      </c>
      <c r="P24" s="3" t="s">
        <v>385</v>
      </c>
      <c r="Q24" s="17" t="n">
        <f aca="false">INDEX(Change_periodes!$D$1:$D$400,MATCH($N24,Change_periodes!$A$1:$A$400,0))</f>
        <v>545.278268301567</v>
      </c>
      <c r="R24" s="18" t="n">
        <f aca="false">IFERROR(J24/M24/O24,"")</f>
        <v>1.72442481356548</v>
      </c>
      <c r="S24" s="9" t="n">
        <f aca="false">IFERROR(R24*Q24,"")</f>
        <v>940.291376157235</v>
      </c>
      <c r="T24" s="19" t="n">
        <v>1</v>
      </c>
      <c r="U24" s="3" t="s">
        <v>271</v>
      </c>
      <c r="V24" s="9" t="n">
        <f aca="false">IFERROR(S24/T24,"")</f>
        <v>940.291376157235</v>
      </c>
      <c r="W24" s="10" t="s">
        <v>286</v>
      </c>
      <c r="X24" s="9" t="n">
        <f aca="false">IF(W24="","",IFERROR(INDEX($V$1:$V$178,MATCH(W24,$A$1:$A$178,0)),""))</f>
        <v>1156.0998932501</v>
      </c>
      <c r="Y24" s="8" t="n">
        <f aca="false">IF(OR(X24="",V24=""),"",V24/X24)</f>
        <v>0.813330562217969</v>
      </c>
      <c r="Z24" s="10"/>
      <c r="AA24" s="9" t="str">
        <f aca="false">IF(Z24="","",IFERROR(INDEX($V$1:$V$178,MATCH(Z24,$A$1:$A$178,0)),""))</f>
        <v/>
      </c>
      <c r="AB24" s="8" t="str">
        <f aca="false">IF(OR(AA24="",V24=""),"",V24/AA24)</f>
        <v/>
      </c>
      <c r="AC24" s="3" t="s">
        <v>386</v>
      </c>
      <c r="AD24" s="3" t="s">
        <v>387</v>
      </c>
      <c r="AE24" s="10" t="s">
        <v>275</v>
      </c>
      <c r="AF24" s="7" t="s">
        <v>81</v>
      </c>
      <c r="AG24" s="3" t="s">
        <v>391</v>
      </c>
    </row>
    <row r="25" customFormat="false" ht="35.05" hidden="false" customHeight="false" outlineLevel="0" collapsed="false">
      <c r="A25" s="13" t="s">
        <v>392</v>
      </c>
      <c r="B25" s="3" t="s">
        <v>45</v>
      </c>
      <c r="C25" s="3" t="s">
        <v>260</v>
      </c>
      <c r="D25" s="3" t="s">
        <v>379</v>
      </c>
      <c r="E25" s="3" t="s">
        <v>284</v>
      </c>
      <c r="F25" s="3" t="s">
        <v>278</v>
      </c>
      <c r="G25" s="3" t="s">
        <v>380</v>
      </c>
      <c r="H25" s="3" t="s">
        <v>381</v>
      </c>
      <c r="I25" s="3" t="s">
        <v>382</v>
      </c>
      <c r="J25" s="14" t="n">
        <v>7600</v>
      </c>
      <c r="K25" s="10" t="s">
        <v>383</v>
      </c>
      <c r="L25" s="10" t="s">
        <v>384</v>
      </c>
      <c r="M25" s="15" t="n">
        <v>1000</v>
      </c>
      <c r="N25" s="10" t="s">
        <v>290</v>
      </c>
      <c r="O25" s="16" t="n">
        <f aca="false">IF(K25="USD",1,INDEX(Change_periodes!$D$1:$N$400,MATCH($N25,Change_periodes!$A$1:$A$400,0),MATCH($K25,Change_periodes!$D$1:$N$1,0)))</f>
        <v>4.56278333333333</v>
      </c>
      <c r="P25" s="3" t="s">
        <v>385</v>
      </c>
      <c r="Q25" s="17" t="n">
        <f aca="false">INDEX(Change_periodes!$D$1:$D$400,MATCH($N25,Change_periodes!$A$1:$A$400,0))</f>
        <v>557.213561790484</v>
      </c>
      <c r="R25" s="18" t="n">
        <f aca="false">IFERROR(J25/M25/O25,"")</f>
        <v>1.66564998703277</v>
      </c>
      <c r="S25" s="9" t="n">
        <f aca="false">IFERROR(R25*Q25,"")</f>
        <v>928.122761970803</v>
      </c>
      <c r="T25" s="19" t="n">
        <v>1</v>
      </c>
      <c r="U25" s="3" t="s">
        <v>271</v>
      </c>
      <c r="V25" s="9" t="n">
        <f aca="false">IFERROR(S25/T25,"")</f>
        <v>928.122761970803</v>
      </c>
      <c r="W25" s="10" t="s">
        <v>291</v>
      </c>
      <c r="X25" s="9" t="n">
        <f aca="false">IF(W25="","",IFERROR(INDEX($V$1:$V$178,MATCH(W25,$A$1:$A$178,0)),""))</f>
        <v>1339.07612922023</v>
      </c>
      <c r="Y25" s="8" t="n">
        <f aca="false">IF(OR(X25="",V25=""),"",V25/X25)</f>
        <v>0.693106793346595</v>
      </c>
      <c r="Z25" s="10"/>
      <c r="AA25" s="9" t="str">
        <f aca="false">IF(Z25="","",IFERROR(INDEX($V$1:$V$178,MATCH(Z25,$A$1:$A$178,0)),""))</f>
        <v/>
      </c>
      <c r="AB25" s="8" t="str">
        <f aca="false">IF(OR(AA25="",V25=""),"",V25/AA25)</f>
        <v/>
      </c>
      <c r="AC25" s="3" t="s">
        <v>386</v>
      </c>
      <c r="AD25" s="3" t="s">
        <v>387</v>
      </c>
      <c r="AE25" s="10" t="s">
        <v>275</v>
      </c>
      <c r="AF25" s="7" t="s">
        <v>81</v>
      </c>
      <c r="AG25" s="3" t="s">
        <v>391</v>
      </c>
    </row>
    <row r="26" customFormat="false" ht="35.05" hidden="false" customHeight="false" outlineLevel="0" collapsed="false">
      <c r="A26" s="13" t="s">
        <v>393</v>
      </c>
      <c r="B26" s="3" t="s">
        <v>45</v>
      </c>
      <c r="C26" s="3" t="s">
        <v>260</v>
      </c>
      <c r="D26" s="3" t="s">
        <v>379</v>
      </c>
      <c r="E26" s="3" t="s">
        <v>293</v>
      </c>
      <c r="F26" s="3" t="s">
        <v>263</v>
      </c>
      <c r="G26" s="3" t="s">
        <v>380</v>
      </c>
      <c r="H26" s="3" t="s">
        <v>381</v>
      </c>
      <c r="I26" s="3" t="s">
        <v>382</v>
      </c>
      <c r="J26" s="14" t="n">
        <v>7600</v>
      </c>
      <c r="K26" s="10" t="s">
        <v>383</v>
      </c>
      <c r="L26" s="10" t="s">
        <v>384</v>
      </c>
      <c r="M26" s="15" t="n">
        <v>1000</v>
      </c>
      <c r="N26" s="10" t="s">
        <v>294</v>
      </c>
      <c r="O26" s="16" t="n">
        <f aca="false">IF(K26="USD",1,INDEX(Change_periodes!$D$1:$N$400,MATCH($N26,Change_periodes!$A$1:$A$400,0),MATCH($K26,Change_periodes!$D$1:$N$1,0)))</f>
        <v>4.91396666666667</v>
      </c>
      <c r="P26" s="3" t="s">
        <v>385</v>
      </c>
      <c r="Q26" s="17" t="n">
        <f aca="false">INDEX(Change_periodes!$D$1:$D$400,MATCH($N26,Change_periodes!$A$1:$A$400,0))</f>
        <v>576.213999056325</v>
      </c>
      <c r="R26" s="18" t="n">
        <f aca="false">IFERROR(J26/M26/O26,"")</f>
        <v>1.54661203779703</v>
      </c>
      <c r="S26" s="9" t="n">
        <f aca="false">IFERROR(R26*Q26,"")</f>
        <v>891.179507287677</v>
      </c>
      <c r="T26" s="19" t="n">
        <v>1</v>
      </c>
      <c r="U26" s="3" t="s">
        <v>271</v>
      </c>
      <c r="V26" s="9" t="n">
        <f aca="false">IFERROR(S26/T26,"")</f>
        <v>891.179507287677</v>
      </c>
      <c r="W26" s="10" t="s">
        <v>295</v>
      </c>
      <c r="X26" s="9" t="n">
        <f aca="false">IF(W26="","",IFERROR(INDEX($V$1:$V$178,MATCH(W26,$A$1:$A$178,0)),""))</f>
        <v>1272.21136423648</v>
      </c>
      <c r="Y26" s="8" t="n">
        <f aca="false">IF(OR(X26="",V26=""),"",V26/X26)</f>
        <v>0.70049642090921</v>
      </c>
      <c r="Z26" s="10"/>
      <c r="AA26" s="9" t="str">
        <f aca="false">IF(Z26="","",IFERROR(INDEX($V$1:$V$178,MATCH(Z26,$A$1:$A$178,0)),""))</f>
        <v/>
      </c>
      <c r="AB26" s="8" t="str">
        <f aca="false">IF(OR(AA26="",V26=""),"",V26/AA26)</f>
        <v/>
      </c>
      <c r="AC26" s="3" t="s">
        <v>386</v>
      </c>
      <c r="AD26" s="3" t="s">
        <v>387</v>
      </c>
      <c r="AE26" s="10" t="s">
        <v>275</v>
      </c>
      <c r="AF26" s="7" t="s">
        <v>81</v>
      </c>
      <c r="AG26" s="3" t="s">
        <v>391</v>
      </c>
    </row>
    <row r="27" customFormat="false" ht="35.05" hidden="false" customHeight="false" outlineLevel="0" collapsed="false">
      <c r="A27" s="13" t="s">
        <v>394</v>
      </c>
      <c r="B27" s="3" t="s">
        <v>45</v>
      </c>
      <c r="C27" s="3" t="s">
        <v>260</v>
      </c>
      <c r="D27" s="3" t="s">
        <v>379</v>
      </c>
      <c r="E27" s="3" t="s">
        <v>293</v>
      </c>
      <c r="F27" s="3" t="s">
        <v>278</v>
      </c>
      <c r="G27" s="3" t="s">
        <v>380</v>
      </c>
      <c r="H27" s="3" t="s">
        <v>381</v>
      </c>
      <c r="I27" s="3" t="s">
        <v>382</v>
      </c>
      <c r="J27" s="14" t="n">
        <v>7600</v>
      </c>
      <c r="K27" s="10" t="s">
        <v>383</v>
      </c>
      <c r="L27" s="10" t="s">
        <v>384</v>
      </c>
      <c r="M27" s="15" t="n">
        <v>1000</v>
      </c>
      <c r="N27" s="10" t="s">
        <v>299</v>
      </c>
      <c r="O27" s="16" t="n">
        <f aca="false">IF(K27="USD",1,INDEX(Change_periodes!$D$1:$N$400,MATCH($N27,Change_periodes!$A$1:$A$400,0),MATCH($K27,Change_periodes!$D$1:$N$1,0)))</f>
        <v>5.2113</v>
      </c>
      <c r="P27" s="3" t="s">
        <v>385</v>
      </c>
      <c r="Q27" s="17" t="n">
        <f aca="false">INDEX(Change_periodes!$D$1:$D$400,MATCH($N27,Change_periodes!$A$1:$A$400,0))</f>
        <v>586.897600710289</v>
      </c>
      <c r="R27" s="18" t="n">
        <f aca="false">IFERROR(J27/M27/O27,"")</f>
        <v>1.45836931283941</v>
      </c>
      <c r="S27" s="9" t="n">
        <f aca="false">IFERROR(R27*Q27,"")</f>
        <v>855.91345065496</v>
      </c>
      <c r="T27" s="19" t="n">
        <v>1</v>
      </c>
      <c r="U27" s="3" t="s">
        <v>271</v>
      </c>
      <c r="V27" s="9" t="n">
        <f aca="false">IFERROR(S27/T27,"")</f>
        <v>855.91345065496</v>
      </c>
      <c r="W27" s="10" t="s">
        <v>300</v>
      </c>
      <c r="X27" s="9" t="n">
        <f aca="false">IF(W27="","",IFERROR(INDEX($V$1:$V$178,MATCH(W27,$A$1:$A$178,0)),""))</f>
        <v>1366.55095858453</v>
      </c>
      <c r="Y27" s="8" t="n">
        <f aca="false">IF(OR(X27="",V27=""),"",V27/X27)</f>
        <v>0.626331162609198</v>
      </c>
      <c r="Z27" s="10"/>
      <c r="AA27" s="9" t="str">
        <f aca="false">IF(Z27="","",IFERROR(INDEX($V$1:$V$178,MATCH(Z27,$A$1:$A$178,0)),""))</f>
        <v/>
      </c>
      <c r="AB27" s="8" t="str">
        <f aca="false">IF(OR(AA27="",V27=""),"",V27/AA27)</f>
        <v/>
      </c>
      <c r="AC27" s="3" t="s">
        <v>386</v>
      </c>
      <c r="AD27" s="3" t="s">
        <v>387</v>
      </c>
      <c r="AE27" s="10" t="s">
        <v>275</v>
      </c>
      <c r="AF27" s="7" t="s">
        <v>81</v>
      </c>
      <c r="AG27" s="3" t="s">
        <v>391</v>
      </c>
    </row>
    <row r="28" customFormat="false" ht="35.05" hidden="false" customHeight="false" outlineLevel="0" collapsed="false">
      <c r="A28" s="13" t="s">
        <v>395</v>
      </c>
      <c r="B28" s="3" t="s">
        <v>45</v>
      </c>
      <c r="C28" s="3" t="s">
        <v>260</v>
      </c>
      <c r="D28" s="3" t="s">
        <v>379</v>
      </c>
      <c r="E28" s="3" t="s">
        <v>304</v>
      </c>
      <c r="F28" s="3" t="s">
        <v>263</v>
      </c>
      <c r="G28" s="3" t="s">
        <v>380</v>
      </c>
      <c r="H28" s="3" t="s">
        <v>381</v>
      </c>
      <c r="I28" s="3" t="s">
        <v>382</v>
      </c>
      <c r="J28" s="14" t="n">
        <v>8240</v>
      </c>
      <c r="K28" s="10" t="s">
        <v>383</v>
      </c>
      <c r="L28" s="10" t="s">
        <v>384</v>
      </c>
      <c r="M28" s="15" t="n">
        <v>1000</v>
      </c>
      <c r="N28" s="10" t="s">
        <v>305</v>
      </c>
      <c r="O28" s="16" t="n">
        <f aca="false">IF(K28="USD",1,INDEX(Change_periodes!$D$1:$N$400,MATCH($N28,Change_periodes!$A$1:$A$400,0),MATCH($K28,Change_periodes!$D$1:$N$1,0)))</f>
        <v>5.4089</v>
      </c>
      <c r="P28" s="3" t="s">
        <v>385</v>
      </c>
      <c r="Q28" s="17" t="n">
        <f aca="false">INDEX(Change_periodes!$D$1:$D$400,MATCH($N28,Change_periodes!$A$1:$A$400,0))</f>
        <v>593.776626757643</v>
      </c>
      <c r="R28" s="18" t="n">
        <f aca="false">IFERROR(J28/M28/O28,"")</f>
        <v>1.52341511213001</v>
      </c>
      <c r="S28" s="9" t="n">
        <f aca="false">IFERROR(R28*Q28,"")</f>
        <v>904.568286432173</v>
      </c>
      <c r="T28" s="19" t="n">
        <v>1</v>
      </c>
      <c r="U28" s="3" t="s">
        <v>271</v>
      </c>
      <c r="V28" s="9" t="n">
        <f aca="false">IFERROR(S28/T28,"")</f>
        <v>904.568286432173</v>
      </c>
      <c r="W28" s="10" t="s">
        <v>306</v>
      </c>
      <c r="X28" s="9" t="n">
        <f aca="false">IF(W28="","",IFERROR(INDEX($V$1:$V$178,MATCH(W28,$A$1:$A$178,0)),""))</f>
        <v>1490.12104032904</v>
      </c>
      <c r="Y28" s="8" t="n">
        <f aca="false">IF(OR(X28="",V28=""),"",V28/X28)</f>
        <v>0.607043496434644</v>
      </c>
      <c r="Z28" s="10"/>
      <c r="AA28" s="9" t="str">
        <f aca="false">IF(Z28="","",IFERROR(INDEX($V$1:$V$178,MATCH(Z28,$A$1:$A$178,0)),""))</f>
        <v/>
      </c>
      <c r="AB28" s="8" t="str">
        <f aca="false">IF(OR(AA28="",V28=""),"",V28/AA28)</f>
        <v/>
      </c>
      <c r="AC28" s="3" t="s">
        <v>386</v>
      </c>
      <c r="AD28" s="3" t="s">
        <v>387</v>
      </c>
      <c r="AE28" s="10" t="s">
        <v>275</v>
      </c>
      <c r="AF28" s="7" t="s">
        <v>81</v>
      </c>
      <c r="AG28" s="3" t="s">
        <v>396</v>
      </c>
    </row>
    <row r="29" customFormat="false" ht="35.05" hidden="false" customHeight="false" outlineLevel="0" collapsed="false">
      <c r="A29" s="13" t="s">
        <v>397</v>
      </c>
      <c r="B29" s="3" t="s">
        <v>45</v>
      </c>
      <c r="C29" s="3" t="s">
        <v>260</v>
      </c>
      <c r="D29" s="3" t="s">
        <v>379</v>
      </c>
      <c r="E29" s="3" t="s">
        <v>304</v>
      </c>
      <c r="F29" s="3" t="s">
        <v>278</v>
      </c>
      <c r="G29" s="3" t="s">
        <v>380</v>
      </c>
      <c r="H29" s="3" t="s">
        <v>381</v>
      </c>
      <c r="I29" s="3" t="s">
        <v>382</v>
      </c>
      <c r="J29" s="14" t="n">
        <v>8240</v>
      </c>
      <c r="K29" s="10" t="s">
        <v>383</v>
      </c>
      <c r="L29" s="10" t="s">
        <v>384</v>
      </c>
      <c r="M29" s="15" t="n">
        <v>1000</v>
      </c>
      <c r="N29" s="10" t="s">
        <v>310</v>
      </c>
      <c r="O29" s="16" t="n">
        <f aca="false">IF(K29="USD",1,INDEX(Change_periodes!$D$1:$N$400,MATCH($N29,Change_periodes!$A$1:$A$400,0),MATCH($K29,Change_periodes!$D$1:$N$1,0)))</f>
        <v>5.63488333333333</v>
      </c>
      <c r="P29" s="3" t="s">
        <v>385</v>
      </c>
      <c r="Q29" s="17" t="n">
        <f aca="false">INDEX(Change_periodes!$D$1:$D$400,MATCH($N29,Change_periodes!$A$1:$A$400,0))</f>
        <v>578.580402322302</v>
      </c>
      <c r="R29" s="18" t="n">
        <f aca="false">IFERROR(J29/M29/O29,"")</f>
        <v>1.46231953929836</v>
      </c>
      <c r="S29" s="9" t="n">
        <f aca="false">IFERROR(R29*Q29,"")</f>
        <v>846.069427371008</v>
      </c>
      <c r="T29" s="19" t="n">
        <v>1</v>
      </c>
      <c r="U29" s="3" t="s">
        <v>271</v>
      </c>
      <c r="V29" s="9" t="n">
        <f aca="false">IFERROR(S29/T29,"")</f>
        <v>846.069427371008</v>
      </c>
      <c r="W29" s="10" t="s">
        <v>311</v>
      </c>
      <c r="X29" s="9" t="n">
        <f aca="false">IF(W29="","",IFERROR(INDEX($V$1:$V$178,MATCH(W29,$A$1:$A$178,0)),""))</f>
        <v>1323.32716759023</v>
      </c>
      <c r="Y29" s="8" t="n">
        <f aca="false">IF(OR(X29="",V29=""),"",V29/X29)</f>
        <v>0.639350153229073</v>
      </c>
      <c r="Z29" s="10"/>
      <c r="AA29" s="9" t="str">
        <f aca="false">IF(Z29="","",IFERROR(INDEX($V$1:$V$178,MATCH(Z29,$A$1:$A$178,0)),""))</f>
        <v/>
      </c>
      <c r="AB29" s="8" t="str">
        <f aca="false">IF(OR(AA29="",V29=""),"",V29/AA29)</f>
        <v/>
      </c>
      <c r="AC29" s="3" t="s">
        <v>386</v>
      </c>
      <c r="AD29" s="3" t="s">
        <v>387</v>
      </c>
      <c r="AE29" s="10" t="s">
        <v>275</v>
      </c>
      <c r="AF29" s="7" t="s">
        <v>81</v>
      </c>
      <c r="AG29" s="3" t="s">
        <v>396</v>
      </c>
    </row>
    <row r="30" customFormat="false" ht="23.85" hidden="false" customHeight="false" outlineLevel="0" collapsed="false">
      <c r="A30" s="13" t="s">
        <v>398</v>
      </c>
      <c r="B30" s="3" t="s">
        <v>45</v>
      </c>
      <c r="C30" s="3" t="s">
        <v>260</v>
      </c>
      <c r="D30" s="3" t="s">
        <v>379</v>
      </c>
      <c r="E30" s="3" t="s">
        <v>315</v>
      </c>
      <c r="F30" s="3" t="s">
        <v>263</v>
      </c>
      <c r="G30" s="3" t="s">
        <v>380</v>
      </c>
      <c r="H30" s="3" t="s">
        <v>381</v>
      </c>
      <c r="I30" s="3" t="s">
        <v>382</v>
      </c>
      <c r="J30" s="14" t="n">
        <v>10560</v>
      </c>
      <c r="K30" s="10" t="s">
        <v>383</v>
      </c>
      <c r="L30" s="10" t="s">
        <v>384</v>
      </c>
      <c r="M30" s="15" t="n">
        <v>1000</v>
      </c>
      <c r="N30" s="10" t="s">
        <v>316</v>
      </c>
      <c r="O30" s="16" t="n">
        <f aca="false">IF(K30="USD",1,INDEX(Change_periodes!$D$1:$N$400,MATCH($N30,Change_periodes!$A$1:$A$400,0),MATCH($K30,Change_periodes!$D$1:$N$1,0)))</f>
        <v>5.73026666666667</v>
      </c>
      <c r="P30" s="3" t="s">
        <v>385</v>
      </c>
      <c r="Q30" s="17" t="n">
        <f aca="false">INDEX(Change_periodes!$D$1:$D$400,MATCH($N30,Change_periodes!$A$1:$A$400,0))</f>
        <v>547.103635955358</v>
      </c>
      <c r="R30" s="18" t="n">
        <f aca="false">IFERROR(J30/M30/O30,"")</f>
        <v>1.84284617353468</v>
      </c>
      <c r="S30" s="9" t="n">
        <f aca="false">IFERROR(R30*Q30,"")</f>
        <v>1008.22784204724</v>
      </c>
      <c r="T30" s="19" t="n">
        <v>1</v>
      </c>
      <c r="U30" s="3" t="s">
        <v>271</v>
      </c>
      <c r="V30" s="9" t="n">
        <f aca="false">IFERROR(S30/T30,"")</f>
        <v>1008.22784204724</v>
      </c>
      <c r="W30" s="10" t="s">
        <v>317</v>
      </c>
      <c r="X30" s="9" t="n">
        <f aca="false">IF(W30="","",IFERROR(INDEX($V$1:$V$178,MATCH(W30,$A$1:$A$178,0)),""))</f>
        <v>1305.35371365315</v>
      </c>
      <c r="Y30" s="8" t="n">
        <f aca="false">IF(OR(X30="",V30=""),"",V30/X30)</f>
        <v>0.772379035277441</v>
      </c>
      <c r="Z30" s="10"/>
      <c r="AA30" s="9" t="str">
        <f aca="false">IF(Z30="","",IFERROR(INDEX($V$1:$V$178,MATCH(Z30,$A$1:$A$178,0)),""))</f>
        <v/>
      </c>
      <c r="AB30" s="8" t="str">
        <f aca="false">IF(OR(AA30="",V30=""),"",V30/AA30)</f>
        <v/>
      </c>
      <c r="AC30" s="3" t="s">
        <v>399</v>
      </c>
      <c r="AD30" s="3" t="s">
        <v>400</v>
      </c>
      <c r="AE30" s="10" t="s">
        <v>275</v>
      </c>
      <c r="AF30" s="7" t="s">
        <v>401</v>
      </c>
      <c r="AG30" s="3" t="s">
        <v>402</v>
      </c>
    </row>
    <row r="31" customFormat="false" ht="23.85" hidden="false" customHeight="false" outlineLevel="0" collapsed="false">
      <c r="A31" s="13" t="s">
        <v>403</v>
      </c>
      <c r="B31" s="3" t="s">
        <v>45</v>
      </c>
      <c r="C31" s="3" t="s">
        <v>260</v>
      </c>
      <c r="D31" s="3" t="s">
        <v>379</v>
      </c>
      <c r="E31" s="3" t="s">
        <v>315</v>
      </c>
      <c r="F31" s="3" t="s">
        <v>278</v>
      </c>
      <c r="G31" s="3" t="s">
        <v>380</v>
      </c>
      <c r="H31" s="3" t="s">
        <v>381</v>
      </c>
      <c r="I31" s="3" t="s">
        <v>382</v>
      </c>
      <c r="J31" s="14" t="n">
        <v>10560</v>
      </c>
      <c r="K31" s="10" t="s">
        <v>383</v>
      </c>
      <c r="L31" s="10" t="s">
        <v>384</v>
      </c>
      <c r="M31" s="15" t="n">
        <v>1000</v>
      </c>
      <c r="N31" s="10" t="s">
        <v>321</v>
      </c>
      <c r="O31" s="16" t="n">
        <f aca="false">IF(K31="USD",1,INDEX(Change_periodes!$D$1:$N$400,MATCH($N31,Change_periodes!$A$1:$A$400,0),MATCH($K31,Change_periodes!$D$1:$N$1,0)))</f>
        <v>5.78115</v>
      </c>
      <c r="P31" s="3" t="s">
        <v>385</v>
      </c>
      <c r="Q31" s="17" t="n">
        <f aca="false">INDEX(Change_periodes!$D$1:$D$400,MATCH($N31,Change_periodes!$A$1:$A$400,0))</f>
        <v>550.256160979698</v>
      </c>
      <c r="R31" s="18" t="n">
        <f aca="false">IFERROR(J31/M31/O31,"")</f>
        <v>1.82662619029086</v>
      </c>
      <c r="S31" s="9" t="n">
        <f aca="false">IFERROR(R31*Q31,"")</f>
        <v>1005.11231501442</v>
      </c>
      <c r="T31" s="19" t="n">
        <v>1</v>
      </c>
      <c r="U31" s="3" t="s">
        <v>271</v>
      </c>
      <c r="V31" s="9" t="n">
        <f aca="false">IFERROR(S31/T31,"")</f>
        <v>1005.11231501442</v>
      </c>
      <c r="W31" s="10" t="s">
        <v>322</v>
      </c>
      <c r="X31" s="9" t="n">
        <f aca="false">IF(W31="","",IFERROR(INDEX($V$1:$V$178,MATCH(W31,$A$1:$A$178,0)),""))</f>
        <v>1331.33744474157</v>
      </c>
      <c r="Y31" s="8" t="n">
        <f aca="false">IF(OR(X31="",V31=""),"",V31/X31)</f>
        <v>0.754964354818044</v>
      </c>
      <c r="Z31" s="10"/>
      <c r="AA31" s="9" t="str">
        <f aca="false">IF(Z31="","",IFERROR(INDEX($V$1:$V$178,MATCH(Z31,$A$1:$A$178,0)),""))</f>
        <v/>
      </c>
      <c r="AB31" s="8" t="str">
        <f aca="false">IF(OR(AA31="",V31=""),"",V31/AA31)</f>
        <v/>
      </c>
      <c r="AC31" s="3" t="s">
        <v>399</v>
      </c>
      <c r="AD31" s="3" t="s">
        <v>400</v>
      </c>
      <c r="AE31" s="10" t="s">
        <v>275</v>
      </c>
      <c r="AF31" s="7" t="s">
        <v>401</v>
      </c>
      <c r="AG31" s="3" t="s">
        <v>402</v>
      </c>
    </row>
    <row r="32" customFormat="false" ht="35.05" hidden="false" customHeight="false" outlineLevel="0" collapsed="false">
      <c r="A32" s="13" t="s">
        <v>404</v>
      </c>
      <c r="B32" s="3" t="s">
        <v>45</v>
      </c>
      <c r="C32" s="3" t="s">
        <v>260</v>
      </c>
      <c r="D32" s="3" t="s">
        <v>379</v>
      </c>
      <c r="E32" s="3" t="s">
        <v>326</v>
      </c>
      <c r="F32" s="3" t="s">
        <v>263</v>
      </c>
      <c r="G32" s="3" t="s">
        <v>380</v>
      </c>
      <c r="H32" s="3" t="s">
        <v>381</v>
      </c>
      <c r="I32" s="3" t="s">
        <v>382</v>
      </c>
      <c r="J32" s="14" t="n">
        <v>10560</v>
      </c>
      <c r="K32" s="10" t="s">
        <v>383</v>
      </c>
      <c r="L32" s="10" t="s">
        <v>384</v>
      </c>
      <c r="M32" s="15" t="n">
        <v>1000</v>
      </c>
      <c r="N32" s="10" t="s">
        <v>327</v>
      </c>
      <c r="O32" s="16" t="n">
        <f aca="false">IF(K32="USD",1,INDEX(Change_periodes!$D$1:$N$400,MATCH($N32,Change_periodes!$A$1:$A$400,0),MATCH($K32,Change_periodes!$D$1:$N$1,0)))</f>
        <v>6.18396666666667</v>
      </c>
      <c r="P32" s="3" t="s">
        <v>385</v>
      </c>
      <c r="Q32" s="17" t="n">
        <f aca="false">INDEX(Change_periodes!$D$1:$D$400,MATCH($N32,Change_periodes!$A$1:$A$400,0))</f>
        <v>578.966057050983</v>
      </c>
      <c r="R32" s="18" t="n">
        <f aca="false">IFERROR(J32/M32/O32,"")</f>
        <v>1.70764180488252</v>
      </c>
      <c r="S32" s="9" t="n">
        <f aca="false">IFERROR(R32*Q32,"")</f>
        <v>988.666642628257</v>
      </c>
      <c r="T32" s="19" t="n">
        <v>1</v>
      </c>
      <c r="U32" s="3" t="s">
        <v>271</v>
      </c>
      <c r="V32" s="9" t="n">
        <f aca="false">IFERROR(S32/T32,"")</f>
        <v>988.666642628257</v>
      </c>
      <c r="W32" s="10" t="s">
        <v>328</v>
      </c>
      <c r="X32" s="9" t="n">
        <f aca="false">IF(W32="","",IFERROR(INDEX($V$1:$V$178,MATCH(W32,$A$1:$A$178,0)),""))</f>
        <v>1430.10405752163</v>
      </c>
      <c r="Y32" s="8" t="n">
        <f aca="false">IF(OR(X32="",V32=""),"",V32/X32)</f>
        <v>0.691324968577191</v>
      </c>
      <c r="Z32" s="10"/>
      <c r="AA32" s="9" t="str">
        <f aca="false">IF(Z32="","",IFERROR(INDEX($V$1:$V$178,MATCH(Z32,$A$1:$A$178,0)),""))</f>
        <v/>
      </c>
      <c r="AB32" s="8" t="str">
        <f aca="false">IF(OR(AA32="",V32=""),"",V32/AA32)</f>
        <v/>
      </c>
      <c r="AC32" s="3" t="s">
        <v>405</v>
      </c>
      <c r="AD32" s="3" t="s">
        <v>406</v>
      </c>
      <c r="AE32" s="10" t="s">
        <v>275</v>
      </c>
      <c r="AF32" s="7" t="s">
        <v>81</v>
      </c>
      <c r="AG32" s="3" t="s">
        <v>407</v>
      </c>
    </row>
    <row r="33" customFormat="false" ht="35.05" hidden="false" customHeight="false" outlineLevel="0" collapsed="false">
      <c r="A33" s="13" t="s">
        <v>408</v>
      </c>
      <c r="B33" s="3" t="s">
        <v>45</v>
      </c>
      <c r="C33" s="3" t="s">
        <v>260</v>
      </c>
      <c r="D33" s="3" t="s">
        <v>379</v>
      </c>
      <c r="E33" s="3" t="s">
        <v>326</v>
      </c>
      <c r="F33" s="3" t="s">
        <v>278</v>
      </c>
      <c r="G33" s="3" t="s">
        <v>380</v>
      </c>
      <c r="H33" s="3" t="s">
        <v>381</v>
      </c>
      <c r="I33" s="3" t="s">
        <v>382</v>
      </c>
      <c r="J33" s="14" t="n">
        <v>10560</v>
      </c>
      <c r="K33" s="10" t="s">
        <v>383</v>
      </c>
      <c r="L33" s="10" t="s">
        <v>384</v>
      </c>
      <c r="M33" s="15" t="n">
        <v>1000</v>
      </c>
      <c r="N33" s="10" t="s">
        <v>332</v>
      </c>
      <c r="O33" s="16" t="n">
        <f aca="false">IF(K33="USD",1,INDEX(Change_periodes!$D$1:$N$400,MATCH($N33,Change_periodes!$A$1:$A$400,0),MATCH($K33,Change_periodes!$D$1:$N$1,0)))</f>
        <v>7.60431666666667</v>
      </c>
      <c r="P33" s="3" t="s">
        <v>385</v>
      </c>
      <c r="Q33" s="17" t="n">
        <f aca="false">INDEX(Change_periodes!$D$1:$D$400,MATCH($N33,Change_periodes!$A$1:$A$400,0))</f>
        <v>633.60466599156</v>
      </c>
      <c r="R33" s="18" t="n">
        <f aca="false">IFERROR(J33/M33/O33,"")</f>
        <v>1.38868493553004</v>
      </c>
      <c r="S33" s="9" t="n">
        <f aca="false">IFERROR(R33*Q33,"")</f>
        <v>879.877254744021</v>
      </c>
      <c r="T33" s="19" t="n">
        <v>1</v>
      </c>
      <c r="U33" s="3" t="s">
        <v>271</v>
      </c>
      <c r="V33" s="9" t="n">
        <f aca="false">IFERROR(S33/T33,"")</f>
        <v>879.877254744021</v>
      </c>
      <c r="W33" s="10" t="s">
        <v>333</v>
      </c>
      <c r="X33" s="9" t="n">
        <f aca="false">IF(W33="","",IFERROR(INDEX($V$1:$V$178,MATCH(W33,$A$1:$A$178,0)),""))</f>
        <v>1478.9462832564</v>
      </c>
      <c r="Y33" s="8" t="n">
        <f aca="false">IF(OR(X33="",V33=""),"",V33/X33)</f>
        <v>0.594935235109873</v>
      </c>
      <c r="Z33" s="10"/>
      <c r="AA33" s="9" t="str">
        <f aca="false">IF(Z33="","",IFERROR(INDEX($V$1:$V$178,MATCH(Z33,$A$1:$A$178,0)),""))</f>
        <v/>
      </c>
      <c r="AB33" s="8" t="str">
        <f aca="false">IF(OR(AA33="",V33=""),"",V33/AA33)</f>
        <v/>
      </c>
      <c r="AC33" s="3" t="s">
        <v>405</v>
      </c>
      <c r="AD33" s="3" t="s">
        <v>406</v>
      </c>
      <c r="AE33" s="10" t="s">
        <v>275</v>
      </c>
      <c r="AF33" s="7" t="s">
        <v>81</v>
      </c>
      <c r="AG33" s="3" t="s">
        <v>407</v>
      </c>
    </row>
    <row r="34" customFormat="false" ht="23.85" hidden="false" customHeight="false" outlineLevel="0" collapsed="false">
      <c r="A34" s="13" t="s">
        <v>409</v>
      </c>
      <c r="B34" s="3" t="s">
        <v>45</v>
      </c>
      <c r="C34" s="3" t="s">
        <v>260</v>
      </c>
      <c r="D34" s="3" t="s">
        <v>379</v>
      </c>
      <c r="E34" s="3" t="s">
        <v>337</v>
      </c>
      <c r="F34" s="3" t="s">
        <v>263</v>
      </c>
      <c r="G34" s="3" t="s">
        <v>380</v>
      </c>
      <c r="H34" s="3" t="s">
        <v>381</v>
      </c>
      <c r="I34" s="3" t="s">
        <v>382</v>
      </c>
      <c r="J34" s="14" t="n">
        <v>12800</v>
      </c>
      <c r="K34" s="10" t="s">
        <v>383</v>
      </c>
      <c r="L34" s="10" t="s">
        <v>384</v>
      </c>
      <c r="M34" s="15" t="n">
        <v>1000</v>
      </c>
      <c r="N34" s="10" t="s">
        <v>338</v>
      </c>
      <c r="O34" s="16" t="n">
        <f aca="false">IF(K34="USD",1,INDEX(Change_periodes!$D$1:$N$400,MATCH($N34,Change_periodes!$A$1:$A$400,0),MATCH($K34,Change_periodes!$D$1:$N$1,0)))</f>
        <v>11.0102666666667</v>
      </c>
      <c r="P34" s="3" t="s">
        <v>385</v>
      </c>
      <c r="Q34" s="17" t="n">
        <f aca="false">INDEX(Change_periodes!$D$1:$D$400,MATCH($N34,Change_periodes!$A$1:$A$400,0))</f>
        <v>627.349602745408</v>
      </c>
      <c r="R34" s="18" t="n">
        <f aca="false">IFERROR(J34/M34/O34,"")</f>
        <v>1.16255131574167</v>
      </c>
      <c r="S34" s="9" t="n">
        <f aca="false">IFERROR(R34*Q34,"")</f>
        <v>729.326106101689</v>
      </c>
      <c r="T34" s="19" t="n">
        <v>1</v>
      </c>
      <c r="U34" s="3" t="s">
        <v>271</v>
      </c>
      <c r="V34" s="9" t="n">
        <f aca="false">IFERROR(S34/T34,"")</f>
        <v>729.326106101689</v>
      </c>
      <c r="W34" s="10" t="s">
        <v>339</v>
      </c>
      <c r="X34" s="9" t="n">
        <f aca="false">IF(W34="","",IFERROR(INDEX($V$1:$V$178,MATCH(W34,$A$1:$A$178,0)),""))</f>
        <v>1595.39081750575</v>
      </c>
      <c r="Y34" s="8" t="n">
        <f aca="false">IF(OR(X34="",V34=""),"",V34/X34)</f>
        <v>0.45714573388477</v>
      </c>
      <c r="Z34" s="10"/>
      <c r="AA34" s="9" t="str">
        <f aca="false">IF(Z34="","",IFERROR(INDEX($V$1:$V$178,MATCH(Z34,$A$1:$A$178,0)),""))</f>
        <v/>
      </c>
      <c r="AB34" s="8" t="str">
        <f aca="false">IF(OR(AA34="",V34=""),"",V34/AA34)</f>
        <v/>
      </c>
      <c r="AC34" s="3" t="s">
        <v>410</v>
      </c>
      <c r="AD34" s="3" t="s">
        <v>411</v>
      </c>
      <c r="AE34" s="10" t="s">
        <v>275</v>
      </c>
      <c r="AF34" s="7" t="s">
        <v>401</v>
      </c>
      <c r="AG34" s="3" t="s">
        <v>412</v>
      </c>
    </row>
    <row r="35" customFormat="false" ht="23.85" hidden="false" customHeight="false" outlineLevel="0" collapsed="false">
      <c r="A35" s="13" t="s">
        <v>413</v>
      </c>
      <c r="B35" s="3" t="s">
        <v>45</v>
      </c>
      <c r="C35" s="3" t="s">
        <v>260</v>
      </c>
      <c r="D35" s="3" t="s">
        <v>379</v>
      </c>
      <c r="E35" s="3" t="s">
        <v>337</v>
      </c>
      <c r="F35" s="3" t="s">
        <v>278</v>
      </c>
      <c r="G35" s="3" t="s">
        <v>380</v>
      </c>
      <c r="H35" s="3" t="s">
        <v>381</v>
      </c>
      <c r="I35" s="3" t="s">
        <v>382</v>
      </c>
      <c r="J35" s="14" t="n">
        <v>12800</v>
      </c>
      <c r="K35" s="10" t="s">
        <v>383</v>
      </c>
      <c r="L35" s="10" t="s">
        <v>384</v>
      </c>
      <c r="M35" s="15" t="n">
        <v>1000</v>
      </c>
      <c r="N35" s="10" t="s">
        <v>343</v>
      </c>
      <c r="O35" s="16" t="n">
        <f aca="false">IF(K35="USD",1,INDEX(Change_periodes!$D$1:$N$400,MATCH($N35,Change_periodes!$A$1:$A$400,0),MATCH($K35,Change_periodes!$D$1:$N$1,0)))</f>
        <v>10.9871166666667</v>
      </c>
      <c r="P35" s="3" t="s">
        <v>385</v>
      </c>
      <c r="Q35" s="17" t="n">
        <f aca="false">INDEX(Change_periodes!$D$1:$D$400,MATCH($N35,Change_periodes!$A$1:$A$400,0))</f>
        <v>602.546206850614</v>
      </c>
      <c r="R35" s="18" t="n">
        <f aca="false">IFERROR(J35/M35/O35,"")</f>
        <v>1.16500082672585</v>
      </c>
      <c r="S35" s="9" t="n">
        <f aca="false">IFERROR(R35*Q35,"")</f>
        <v>701.966829121488</v>
      </c>
      <c r="T35" s="19" t="n">
        <v>1</v>
      </c>
      <c r="U35" s="3" t="s">
        <v>271</v>
      </c>
      <c r="V35" s="9" t="n">
        <f aca="false">IFERROR(S35/T35,"")</f>
        <v>701.966829121488</v>
      </c>
      <c r="W35" s="10" t="s">
        <v>344</v>
      </c>
      <c r="X35" s="9" t="n">
        <f aca="false">IF(W35="","",IFERROR(INDEX($V$1:$V$178,MATCH(W35,$A$1:$A$178,0)),""))</f>
        <v>1955.88908928537</v>
      </c>
      <c r="Y35" s="8" t="n">
        <f aca="false">IF(OR(X35="",V35=""),"",V35/X35)</f>
        <v>0.358899097585318</v>
      </c>
      <c r="Z35" s="10"/>
      <c r="AA35" s="9" t="str">
        <f aca="false">IF(Z35="","",IFERROR(INDEX($V$1:$V$178,MATCH(Z35,$A$1:$A$178,0)),""))</f>
        <v/>
      </c>
      <c r="AB35" s="8" t="str">
        <f aca="false">IF(OR(AA35="",V35=""),"",V35/AA35)</f>
        <v/>
      </c>
      <c r="AC35" s="3" t="s">
        <v>410</v>
      </c>
      <c r="AD35" s="3" t="s">
        <v>411</v>
      </c>
      <c r="AE35" s="10" t="s">
        <v>275</v>
      </c>
      <c r="AF35" s="7" t="s">
        <v>401</v>
      </c>
      <c r="AG35" s="3" t="s">
        <v>412</v>
      </c>
    </row>
    <row r="36" customFormat="false" ht="35.05" hidden="false" customHeight="false" outlineLevel="0" collapsed="false">
      <c r="A36" s="13" t="s">
        <v>414</v>
      </c>
      <c r="B36" s="3" t="s">
        <v>45</v>
      </c>
      <c r="C36" s="3" t="s">
        <v>260</v>
      </c>
      <c r="D36" s="3" t="s">
        <v>379</v>
      </c>
      <c r="E36" s="3" t="s">
        <v>348</v>
      </c>
      <c r="F36" s="3" t="s">
        <v>263</v>
      </c>
      <c r="G36" s="3" t="s">
        <v>380</v>
      </c>
      <c r="H36" s="3" t="s">
        <v>381</v>
      </c>
      <c r="I36" s="3" t="s">
        <v>382</v>
      </c>
      <c r="J36" s="14" t="n">
        <v>20928</v>
      </c>
      <c r="K36" s="10" t="s">
        <v>383</v>
      </c>
      <c r="L36" s="10" t="s">
        <v>384</v>
      </c>
      <c r="M36" s="15" t="n">
        <v>1000</v>
      </c>
      <c r="N36" s="10" t="s">
        <v>349</v>
      </c>
      <c r="O36" s="16" t="n">
        <f aca="false">IF(K36="USD",1,INDEX(Change_periodes!$D$1:$N$400,MATCH($N36,Change_periodes!$A$1:$A$400,0),MATCH($K36,Change_periodes!$D$1:$N$1,0)))</f>
        <v>11.89455</v>
      </c>
      <c r="P36" s="3" t="s">
        <v>385</v>
      </c>
      <c r="Q36" s="17" t="n">
        <f aca="false">INDEX(Change_periodes!$D$1:$D$400,MATCH($N36,Change_periodes!$A$1:$A$400,0))</f>
        <v>607.010801170996</v>
      </c>
      <c r="R36" s="18" t="n">
        <f aca="false">IFERROR(J36/M36/O36,"")</f>
        <v>1.75946126587387</v>
      </c>
      <c r="S36" s="9" t="n">
        <f aca="false">IFERROR(R36*Q36,"")</f>
        <v>1068.01199262743</v>
      </c>
      <c r="T36" s="19" t="n">
        <v>1</v>
      </c>
      <c r="U36" s="3" t="s">
        <v>271</v>
      </c>
      <c r="V36" s="9" t="n">
        <f aca="false">IFERROR(S36/T36,"")</f>
        <v>1068.01199262743</v>
      </c>
      <c r="W36" s="10" t="s">
        <v>350</v>
      </c>
      <c r="X36" s="9" t="n">
        <f aca="false">IF(W36="","",IFERROR(INDEX($V$1:$V$178,MATCH(W36,$A$1:$A$178,0)),""))</f>
        <v>2924.67415008538</v>
      </c>
      <c r="Y36" s="8" t="n">
        <f aca="false">IF(OR(X36="",V36=""),"",V36/X36)</f>
        <v>0.365172986055986</v>
      </c>
      <c r="Z36" s="10"/>
      <c r="AA36" s="9" t="str">
        <f aca="false">IF(Z36="","",IFERROR(INDEX($V$1:$V$178,MATCH(Z36,$A$1:$A$178,0)),""))</f>
        <v/>
      </c>
      <c r="AB36" s="8" t="str">
        <f aca="false">IF(OR(AA36="",V36=""),"",V36/AA36)</f>
        <v/>
      </c>
      <c r="AC36" s="3" t="s">
        <v>415</v>
      </c>
      <c r="AD36" s="3" t="s">
        <v>416</v>
      </c>
      <c r="AE36" s="10" t="s">
        <v>275</v>
      </c>
      <c r="AF36" s="7" t="s">
        <v>81</v>
      </c>
      <c r="AG36" s="3" t="s">
        <v>417</v>
      </c>
    </row>
    <row r="37" customFormat="false" ht="35.05" hidden="false" customHeight="false" outlineLevel="0" collapsed="false">
      <c r="A37" s="13" t="s">
        <v>418</v>
      </c>
      <c r="B37" s="3" t="s">
        <v>45</v>
      </c>
      <c r="C37" s="3" t="s">
        <v>260</v>
      </c>
      <c r="D37" s="3" t="s">
        <v>379</v>
      </c>
      <c r="E37" s="3" t="s">
        <v>348</v>
      </c>
      <c r="F37" s="3" t="s">
        <v>278</v>
      </c>
      <c r="G37" s="3" t="s">
        <v>380</v>
      </c>
      <c r="H37" s="3" t="s">
        <v>381</v>
      </c>
      <c r="I37" s="3" t="s">
        <v>382</v>
      </c>
      <c r="J37" s="14" t="n">
        <v>33120</v>
      </c>
      <c r="K37" s="10" t="s">
        <v>383</v>
      </c>
      <c r="L37" s="10" t="s">
        <v>384</v>
      </c>
      <c r="M37" s="15" t="n">
        <v>1000</v>
      </c>
      <c r="N37" s="10" t="s">
        <v>354</v>
      </c>
      <c r="O37" s="16" t="n">
        <f aca="false">IF(K37="USD",1,INDEX(Change_periodes!$D$1:$N$400,MATCH($N37,Change_periodes!$A$1:$A$400,0),MATCH($K37,Change_periodes!$D$1:$N$1,0)))</f>
        <v>14.4331</v>
      </c>
      <c r="P37" s="3" t="s">
        <v>385</v>
      </c>
      <c r="Q37" s="17" t="n">
        <f aca="false">INDEX(Change_periodes!$D$1:$D$400,MATCH($N37,Change_periodes!$A$1:$A$400,0))</f>
        <v>603.169399806111</v>
      </c>
      <c r="R37" s="18" t="n">
        <f aca="false">IFERROR(J37/M37/O37,"")</f>
        <v>2.29472531888506</v>
      </c>
      <c r="S37" s="9" t="n">
        <f aca="false">IFERROR(R37*Q37,"")</f>
        <v>1384.10809331179</v>
      </c>
      <c r="T37" s="19" t="n">
        <v>1</v>
      </c>
      <c r="U37" s="3" t="s">
        <v>271</v>
      </c>
      <c r="V37" s="9" t="n">
        <f aca="false">IFERROR(S37/T37,"")</f>
        <v>1384.10809331179</v>
      </c>
      <c r="W37" s="10" t="s">
        <v>355</v>
      </c>
      <c r="X37" s="9" t="n">
        <f aca="false">IF(W37="","",IFERROR(INDEX($V$1:$V$178,MATCH(W37,$A$1:$A$178,0)),""))</f>
        <v>4628.39827320086</v>
      </c>
      <c r="Y37" s="8" t="n">
        <f aca="false">IF(OR(X37="",V37=""),"",V37/X37)</f>
        <v>0.299046886549498</v>
      </c>
      <c r="Z37" s="10"/>
      <c r="AA37" s="9" t="str">
        <f aca="false">IF(Z37="","",IFERROR(INDEX($V$1:$V$178,MATCH(Z37,$A$1:$A$178,0)),""))</f>
        <v/>
      </c>
      <c r="AB37" s="8" t="str">
        <f aca="false">IF(OR(AA37="",V37=""),"",V37/AA37)</f>
        <v/>
      </c>
      <c r="AC37" s="3" t="s">
        <v>419</v>
      </c>
      <c r="AD37" s="3" t="s">
        <v>420</v>
      </c>
      <c r="AE37" s="10" t="s">
        <v>275</v>
      </c>
      <c r="AF37" s="7" t="s">
        <v>401</v>
      </c>
      <c r="AG37" s="3" t="s">
        <v>417</v>
      </c>
    </row>
    <row r="38" customFormat="false" ht="35.05" hidden="false" customHeight="false" outlineLevel="0" collapsed="false">
      <c r="A38" s="13" t="s">
        <v>421</v>
      </c>
      <c r="B38" s="3" t="s">
        <v>45</v>
      </c>
      <c r="C38" s="3" t="s">
        <v>260</v>
      </c>
      <c r="D38" s="3" t="s">
        <v>379</v>
      </c>
      <c r="E38" s="3" t="s">
        <v>359</v>
      </c>
      <c r="F38" s="3" t="s">
        <v>263</v>
      </c>
      <c r="G38" s="3" t="s">
        <v>380</v>
      </c>
      <c r="H38" s="3" t="s">
        <v>381</v>
      </c>
      <c r="I38" s="3" t="s">
        <v>382</v>
      </c>
      <c r="J38" s="14" t="n">
        <v>48000</v>
      </c>
      <c r="K38" s="10" t="s">
        <v>383</v>
      </c>
      <c r="L38" s="10" t="s">
        <v>384</v>
      </c>
      <c r="M38" s="15" t="n">
        <v>1000</v>
      </c>
      <c r="N38" s="10" t="s">
        <v>360</v>
      </c>
      <c r="O38" s="16" t="n">
        <f aca="false">IF(K38="USD",1,INDEX(Change_periodes!$D$1:$N$400,MATCH($N38,Change_periodes!$A$1:$A$400,0),MATCH($K38,Change_periodes!$D$1:$N$1,0)))</f>
        <v>15.4570666666667</v>
      </c>
      <c r="P38" s="3" t="s">
        <v>385</v>
      </c>
      <c r="Q38" s="17" t="n">
        <f aca="false">INDEX(Change_periodes!$D$1:$D$400,MATCH($N38,Change_periodes!$A$1:$A$400,0))</f>
        <v>619.186345336557</v>
      </c>
      <c r="R38" s="18" t="n">
        <f aca="false">IFERROR(J38/M38/O38,"")</f>
        <v>3.10537575046581</v>
      </c>
      <c r="S38" s="9" t="n">
        <f aca="false">IFERROR(R38*Q38,"")</f>
        <v>1922.80626182769</v>
      </c>
      <c r="T38" s="19" t="n">
        <v>1</v>
      </c>
      <c r="U38" s="3" t="s">
        <v>271</v>
      </c>
      <c r="V38" s="9" t="n">
        <f aca="false">IFERROR(S38/T38,"")</f>
        <v>1922.80626182769</v>
      </c>
      <c r="W38" s="10" t="s">
        <v>361</v>
      </c>
      <c r="X38" s="9" t="n">
        <f aca="false">IF(W38="","",IFERROR(INDEX($V$1:$V$178,MATCH(W38,$A$1:$A$178,0)),""))</f>
        <v>5527.02037087838</v>
      </c>
      <c r="Y38" s="8" t="n">
        <f aca="false">IF(OR(X38="",V38=""),"",V38/X38)</f>
        <v>0.347892016457705</v>
      </c>
      <c r="Z38" s="10"/>
      <c r="AA38" s="9" t="str">
        <f aca="false">IF(Z38="","",IFERROR(INDEX($V$1:$V$178,MATCH(Z38,$A$1:$A$178,0)),""))</f>
        <v/>
      </c>
      <c r="AB38" s="8" t="str">
        <f aca="false">IF(OR(AA38="",V38=""),"",V38/AA38)</f>
        <v/>
      </c>
      <c r="AC38" s="3" t="s">
        <v>422</v>
      </c>
      <c r="AD38" s="3" t="s">
        <v>423</v>
      </c>
      <c r="AE38" s="10" t="s">
        <v>275</v>
      </c>
      <c r="AF38" s="7" t="s">
        <v>401</v>
      </c>
      <c r="AG38" s="3" t="s">
        <v>424</v>
      </c>
    </row>
    <row r="39" customFormat="false" ht="35.05" hidden="false" customHeight="false" outlineLevel="0" collapsed="false">
      <c r="A39" s="13" t="s">
        <v>425</v>
      </c>
      <c r="B39" s="3" t="s">
        <v>45</v>
      </c>
      <c r="C39" s="3" t="s">
        <v>260</v>
      </c>
      <c r="D39" s="3" t="s">
        <v>379</v>
      </c>
      <c r="E39" s="3" t="s">
        <v>359</v>
      </c>
      <c r="F39" s="3" t="s">
        <v>278</v>
      </c>
      <c r="G39" s="3" t="s">
        <v>380</v>
      </c>
      <c r="H39" s="3" t="s">
        <v>381</v>
      </c>
      <c r="I39" s="3" t="s">
        <v>382</v>
      </c>
      <c r="J39" s="14" t="n">
        <v>49600</v>
      </c>
      <c r="K39" s="10" t="s">
        <v>383</v>
      </c>
      <c r="L39" s="10" t="s">
        <v>384</v>
      </c>
      <c r="M39" s="15" t="n">
        <v>1000</v>
      </c>
      <c r="N39" s="10" t="s">
        <v>365</v>
      </c>
      <c r="O39" s="16" t="n">
        <f aca="false">IF(K39="USD",1,INDEX(Change_periodes!$D$1:$N$400,MATCH($N39,Change_periodes!$A$1:$A$400,0),MATCH($K39,Change_periodes!$D$1:$N$1,0)))</f>
        <v>11.8215833333333</v>
      </c>
      <c r="P39" s="3" t="s">
        <v>385</v>
      </c>
      <c r="Q39" s="17" t="n">
        <f aca="false">INDEX(Change_periodes!$D$1:$D$400,MATCH($N39,Change_periodes!$A$1:$A$400,0))</f>
        <v>570.163679975575</v>
      </c>
      <c r="R39" s="18" t="n">
        <f aca="false">IFERROR(J39/M39/O39,"")</f>
        <v>4.1957154639466</v>
      </c>
      <c r="S39" s="9" t="n">
        <f aca="false">IFERROR(R39*Q39,"")</f>
        <v>2392.24456905422</v>
      </c>
      <c r="T39" s="19" t="n">
        <v>1</v>
      </c>
      <c r="U39" s="3" t="s">
        <v>271</v>
      </c>
      <c r="V39" s="9" t="n">
        <f aca="false">IFERROR(S39/T39,"")</f>
        <v>2392.24456905422</v>
      </c>
      <c r="W39" s="10" t="s">
        <v>366</v>
      </c>
      <c r="X39" s="9" t="n">
        <f aca="false">IF(W39="","",IFERROR(INDEX($V$1:$V$178,MATCH(W39,$A$1:$A$178,0)),""))</f>
        <v>4517.80310020406</v>
      </c>
      <c r="Y39" s="8" t="n">
        <f aca="false">IF(OR(X39="",V39=""),"",V39/X39)</f>
        <v>0.529515013380323</v>
      </c>
      <c r="Z39" s="10"/>
      <c r="AA39" s="9" t="str">
        <f aca="false">IF(Z39="","",IFERROR(INDEX($V$1:$V$178,MATCH(Z39,$A$1:$A$178,0)),""))</f>
        <v/>
      </c>
      <c r="AB39" s="8" t="str">
        <f aca="false">IF(OR(AA39="",V39=""),"",V39/AA39)</f>
        <v/>
      </c>
      <c r="AC39" s="3" t="s">
        <v>426</v>
      </c>
      <c r="AD39" s="3" t="s">
        <v>427</v>
      </c>
      <c r="AE39" s="10" t="s">
        <v>275</v>
      </c>
      <c r="AF39" s="7" t="s">
        <v>81</v>
      </c>
      <c r="AG39" s="3" t="s">
        <v>424</v>
      </c>
    </row>
    <row r="40" customFormat="false" ht="46.25" hidden="false" customHeight="false" outlineLevel="0" collapsed="false">
      <c r="A40" s="13" t="s">
        <v>109</v>
      </c>
      <c r="B40" s="3" t="s">
        <v>45</v>
      </c>
      <c r="C40" s="3" t="s">
        <v>260</v>
      </c>
      <c r="D40" s="3" t="s">
        <v>379</v>
      </c>
      <c r="E40" s="3" t="s">
        <v>369</v>
      </c>
      <c r="F40" s="3" t="s">
        <v>263</v>
      </c>
      <c r="G40" s="3" t="s">
        <v>380</v>
      </c>
      <c r="H40" s="3" t="s">
        <v>381</v>
      </c>
      <c r="I40" s="3" t="s">
        <v>382</v>
      </c>
      <c r="J40" s="14" t="n">
        <v>58000</v>
      </c>
      <c r="K40" s="10" t="s">
        <v>383</v>
      </c>
      <c r="L40" s="10" t="s">
        <v>384</v>
      </c>
      <c r="M40" s="15" t="n">
        <v>1000</v>
      </c>
      <c r="N40" s="10" t="s">
        <v>370</v>
      </c>
      <c r="O40" s="16" t="n">
        <f aca="false">IF(K40="USD",1,INDEX(Change_periodes!$D$1:$N$400,MATCH($N40,Change_periodes!$A$1:$A$400,0),MATCH($K40,Change_periodes!$D$1:$N$1,0)))</f>
        <v>10.9981166666667</v>
      </c>
      <c r="P40" s="3" t="s">
        <v>385</v>
      </c>
      <c r="Q40" s="17" t="n">
        <f aca="false">INDEX(Change_periodes!$D$1:$D$400,MATCH($N40,Change_periodes!$A$1:$A$400,0))</f>
        <v>562.127882453012</v>
      </c>
      <c r="R40" s="18" t="n">
        <f aca="false">IFERROR(J40/M40/O40,"")</f>
        <v>5.27363018213725</v>
      </c>
      <c r="S40" s="9" t="n">
        <f aca="false">IFERROR(R40*Q40,"")</f>
        <v>2964.4545671251</v>
      </c>
      <c r="T40" s="19" t="n">
        <v>1</v>
      </c>
      <c r="U40" s="3" t="s">
        <v>271</v>
      </c>
      <c r="V40" s="9" t="n">
        <f aca="false">IFERROR(S40/T40,"")</f>
        <v>2964.4545671251</v>
      </c>
      <c r="W40" s="10" t="s">
        <v>371</v>
      </c>
      <c r="X40" s="9" t="n">
        <f aca="false">IF(W40="","",IFERROR(INDEX($V$1:$V$178,MATCH(W40,$A$1:$A$178,0)),""))</f>
        <v>2731.10393817679</v>
      </c>
      <c r="Y40" s="8" t="n">
        <f aca="false">IF(OR(X40="",V40=""),"",V40/X40)</f>
        <v>1.08544187047824</v>
      </c>
      <c r="Z40" s="10"/>
      <c r="AA40" s="9" t="str">
        <f aca="false">IF(Z40="","",IFERROR(INDEX($V$1:$V$178,MATCH(Z40,$A$1:$A$178,0)),""))</f>
        <v/>
      </c>
      <c r="AB40" s="8" t="str">
        <f aca="false">IF(OR(AA40="",V40=""),"",V40/AA40)</f>
        <v/>
      </c>
      <c r="AC40" s="3" t="s">
        <v>428</v>
      </c>
      <c r="AD40" s="3" t="s">
        <v>429</v>
      </c>
      <c r="AE40" s="10" t="s">
        <v>275</v>
      </c>
      <c r="AF40" s="7" t="s">
        <v>81</v>
      </c>
      <c r="AG40" s="3" t="s">
        <v>430</v>
      </c>
    </row>
    <row r="41" customFormat="false" ht="46.25" hidden="false" customHeight="false" outlineLevel="0" collapsed="false">
      <c r="A41" s="13" t="s">
        <v>113</v>
      </c>
      <c r="B41" s="3" t="s">
        <v>45</v>
      </c>
      <c r="C41" s="3" t="s">
        <v>260</v>
      </c>
      <c r="D41" s="3" t="s">
        <v>379</v>
      </c>
      <c r="E41" s="3" t="s">
        <v>369</v>
      </c>
      <c r="F41" s="3" t="s">
        <v>278</v>
      </c>
      <c r="G41" s="3" t="s">
        <v>380</v>
      </c>
      <c r="H41" s="3" t="s">
        <v>381</v>
      </c>
      <c r="I41" s="3" t="s">
        <v>382</v>
      </c>
      <c r="J41" s="14" t="n">
        <v>41392</v>
      </c>
      <c r="K41" s="10" t="s">
        <v>383</v>
      </c>
      <c r="L41" s="10" t="s">
        <v>384</v>
      </c>
      <c r="M41" s="15" t="n">
        <v>1000</v>
      </c>
      <c r="N41" s="10" t="s">
        <v>374</v>
      </c>
      <c r="O41" s="16" t="n">
        <f aca="false">IF(K41="USD",1,INDEX(Change_periodes!$D$1:$N$400,MATCH($N41,Change_periodes!$A$1:$A$400,0),MATCH($K41,Change_periodes!$D$1:$N$1,0)))</f>
        <v>11.3817</v>
      </c>
      <c r="P41" s="3" t="s">
        <v>385</v>
      </c>
      <c r="Q41" s="17" t="n">
        <f aca="false">INDEX(Change_periodes!$D$1:$D$400,MATCH($N41,Change_periodes!$A$1:$A$400,0))</f>
        <v>566.224023240776</v>
      </c>
      <c r="R41" s="18" t="n">
        <f aca="false">IFERROR(J41/M41/O41,"")</f>
        <v>3.63671507771247</v>
      </c>
      <c r="S41" s="9" t="n">
        <f aca="false">IFERROR(R41*Q41,"")</f>
        <v>2059.19544268274</v>
      </c>
      <c r="T41" s="19" t="n">
        <v>1</v>
      </c>
      <c r="U41" s="3" t="s">
        <v>271</v>
      </c>
      <c r="V41" s="9" t="n">
        <f aca="false">IFERROR(S41/T41,"")</f>
        <v>2059.19544268274</v>
      </c>
      <c r="W41" s="10" t="s">
        <v>375</v>
      </c>
      <c r="X41" s="9" t="n">
        <f aca="false">IF(W41="","",IFERROR(INDEX($V$1:$V$178,MATCH(W41,$A$1:$A$178,0)),""))</f>
        <v>2666.35464922947</v>
      </c>
      <c r="Y41" s="8" t="n">
        <f aca="false">IF(OR(X41="",V41=""),"",V41/X41)</f>
        <v>0.772288653828484</v>
      </c>
      <c r="Z41" s="10"/>
      <c r="AA41" s="9" t="str">
        <f aca="false">IF(Z41="","",IFERROR(INDEX($V$1:$V$178,MATCH(Z41,$A$1:$A$178,0)),""))</f>
        <v/>
      </c>
      <c r="AB41" s="8" t="str">
        <f aca="false">IF(OR(AA41="",V41=""),"",V41/AA41)</f>
        <v/>
      </c>
      <c r="AC41" s="3" t="s">
        <v>428</v>
      </c>
      <c r="AD41" s="3" t="s">
        <v>429</v>
      </c>
      <c r="AE41" s="10" t="s">
        <v>275</v>
      </c>
      <c r="AF41" s="7" t="s">
        <v>81</v>
      </c>
      <c r="AG41" s="3" t="s">
        <v>430</v>
      </c>
    </row>
    <row r="42" customFormat="false" ht="35.05" hidden="false" customHeight="false" outlineLevel="0" collapsed="false">
      <c r="A42" s="13" t="s">
        <v>103</v>
      </c>
      <c r="B42" s="3" t="s">
        <v>45</v>
      </c>
      <c r="C42" s="3" t="s">
        <v>260</v>
      </c>
      <c r="D42" s="3" t="s">
        <v>261</v>
      </c>
      <c r="E42" s="3" t="s">
        <v>431</v>
      </c>
      <c r="F42" s="3" t="s">
        <v>432</v>
      </c>
      <c r="G42" s="3" t="s">
        <v>264</v>
      </c>
      <c r="H42" s="3" t="s">
        <v>265</v>
      </c>
      <c r="I42" s="3" t="s">
        <v>433</v>
      </c>
      <c r="J42" s="14" t="n">
        <v>1200</v>
      </c>
      <c r="K42" s="10" t="s">
        <v>267</v>
      </c>
      <c r="L42" s="10" t="s">
        <v>268</v>
      </c>
      <c r="M42" s="15" t="n">
        <v>1</v>
      </c>
      <c r="N42" s="10" t="s">
        <v>434</v>
      </c>
      <c r="O42" s="16" t="n">
        <f aca="false">IF(K42="USD",1,INDEX(Change_periodes!$D$1:$N$400,MATCH($N42,Change_periodes!$A$1:$A$400,0),MATCH($K42,Change_periodes!$D$1:$N$1,0)))</f>
        <v>565.226794885052</v>
      </c>
      <c r="P42" s="3" t="s">
        <v>270</v>
      </c>
      <c r="Q42" s="17" t="n">
        <f aca="false">INDEX(Change_periodes!$D$1:$D$400,MATCH($N42,Change_periodes!$A$1:$A$400,0))</f>
        <v>565.226794885052</v>
      </c>
      <c r="R42" s="18" t="n">
        <f aca="false">IFERROR(J42/M42/O42,"")</f>
        <v>2.12304160181231</v>
      </c>
      <c r="S42" s="9" t="n">
        <f aca="false">IFERROR(R42*Q42,"")</f>
        <v>1200</v>
      </c>
      <c r="T42" s="19" t="n">
        <v>1</v>
      </c>
      <c r="U42" s="3" t="s">
        <v>271</v>
      </c>
      <c r="V42" s="9" t="n">
        <f aca="false">IFERROR(S42/T42,"")</f>
        <v>1200</v>
      </c>
      <c r="W42" s="10" t="s">
        <v>435</v>
      </c>
      <c r="X42" s="9" t="n">
        <f aca="false">IF(W42="","",IFERROR(INDEX($V$1:$V$178,MATCH(W42,$A$1:$A$178,0)),""))</f>
        <v>3387.54479733635</v>
      </c>
      <c r="Y42" s="8" t="n">
        <f aca="false">IF(OR(X42="",V42=""),"",V42/X42)</f>
        <v>0.354238857872395</v>
      </c>
      <c r="Z42" s="10"/>
      <c r="AA42" s="9" t="str">
        <f aca="false">IF(Z42="","",IFERROR(INDEX($V$1:$V$178,MATCH(Z42,$A$1:$A$178,0)),""))</f>
        <v/>
      </c>
      <c r="AB42" s="8" t="str">
        <f aca="false">IF(OR(AA42="",V42=""),"",V42/AA42)</f>
        <v/>
      </c>
      <c r="AC42" s="3" t="s">
        <v>436</v>
      </c>
      <c r="AD42" s="3" t="s">
        <v>437</v>
      </c>
      <c r="AE42" s="10" t="s">
        <v>275</v>
      </c>
      <c r="AF42" s="7" t="s">
        <v>401</v>
      </c>
      <c r="AG42" s="3" t="s">
        <v>438</v>
      </c>
    </row>
    <row r="43" customFormat="false" ht="35.05" hidden="false" customHeight="false" outlineLevel="0" collapsed="false">
      <c r="A43" s="13" t="s">
        <v>104</v>
      </c>
      <c r="B43" s="3" t="s">
        <v>45</v>
      </c>
      <c r="C43" s="3" t="s">
        <v>260</v>
      </c>
      <c r="D43" s="3" t="s">
        <v>379</v>
      </c>
      <c r="E43" s="3" t="s">
        <v>431</v>
      </c>
      <c r="F43" s="3" t="s">
        <v>439</v>
      </c>
      <c r="G43" s="3" t="s">
        <v>380</v>
      </c>
      <c r="H43" s="3" t="s">
        <v>381</v>
      </c>
      <c r="I43" s="3" t="s">
        <v>440</v>
      </c>
      <c r="J43" s="14" t="n">
        <v>42400</v>
      </c>
      <c r="K43" s="10" t="s">
        <v>383</v>
      </c>
      <c r="L43" s="10" t="s">
        <v>384</v>
      </c>
      <c r="M43" s="15" t="n">
        <v>1000</v>
      </c>
      <c r="N43" s="10" t="s">
        <v>434</v>
      </c>
      <c r="O43" s="16" t="n">
        <f aca="false">IF(K43="USD",1,INDEX(Change_periodes!$D$1:$N$400,MATCH($N43,Change_periodes!$A$1:$A$400,0),MATCH($K43,Change_periodes!$D$1:$N$1,0)))</f>
        <v>11.49</v>
      </c>
      <c r="P43" s="3" t="s">
        <v>385</v>
      </c>
      <c r="Q43" s="17" t="n">
        <f aca="false">INDEX(Change_periodes!$D$1:$D$400,MATCH($N43,Change_periodes!$A$1:$A$400,0))</f>
        <v>565.226794885052</v>
      </c>
      <c r="R43" s="18" t="n">
        <f aca="false">IFERROR(J43/M43/O43,"")</f>
        <v>3.69016536118364</v>
      </c>
      <c r="S43" s="9" t="n">
        <f aca="false">IFERROR(R43*Q43,"")</f>
        <v>2085.78033969767</v>
      </c>
      <c r="T43" s="19" t="n">
        <v>1</v>
      </c>
      <c r="U43" s="3" t="s">
        <v>271</v>
      </c>
      <c r="V43" s="9" t="n">
        <f aca="false">IFERROR(S43/T43,"")</f>
        <v>2085.78033969767</v>
      </c>
      <c r="W43" s="10" t="s">
        <v>435</v>
      </c>
      <c r="X43" s="9" t="n">
        <f aca="false">IF(W43="","",IFERROR(INDEX($V$1:$V$178,MATCH(W43,$A$1:$A$178,0)),""))</f>
        <v>3387.54479733635</v>
      </c>
      <c r="Y43" s="8" t="n">
        <f aca="false">IF(OR(X43="",V43=""),"",V43/X43)</f>
        <v>0.615720371089331</v>
      </c>
      <c r="Z43" s="10" t="s">
        <v>441</v>
      </c>
      <c r="AA43" s="9" t="n">
        <f aca="false">IF(Z43="","",IFERROR(INDEX($V$1:$V$178,MATCH(Z43,$A$1:$A$178,0)),""))</f>
        <v>2930.28988437436</v>
      </c>
      <c r="AB43" s="8" t="n">
        <f aca="false">IF(OR(AA43="",V43=""),"",V43/AA43)</f>
        <v>0.7118</v>
      </c>
      <c r="AC43" s="3" t="s">
        <v>442</v>
      </c>
      <c r="AD43" s="3" t="s">
        <v>443</v>
      </c>
      <c r="AE43" s="10" t="s">
        <v>275</v>
      </c>
      <c r="AF43" s="7" t="s">
        <v>81</v>
      </c>
      <c r="AG43" s="3" t="s">
        <v>444</v>
      </c>
    </row>
    <row r="44" customFormat="false" ht="35.05" hidden="false" customHeight="false" outlineLevel="0" collapsed="false">
      <c r="A44" s="13" t="s">
        <v>441</v>
      </c>
      <c r="B44" s="3" t="s">
        <v>45</v>
      </c>
      <c r="C44" s="3" t="s">
        <v>445</v>
      </c>
      <c r="D44" s="3" t="s">
        <v>379</v>
      </c>
      <c r="E44" s="3" t="s">
        <v>431</v>
      </c>
      <c r="F44" s="3" t="s">
        <v>446</v>
      </c>
      <c r="G44" s="3" t="s">
        <v>447</v>
      </c>
      <c r="H44" s="3" t="s">
        <v>448</v>
      </c>
      <c r="I44" s="3" t="s">
        <v>440</v>
      </c>
      <c r="J44" s="14" t="n">
        <f aca="false">42400/0.7118</f>
        <v>59567.2941837595</v>
      </c>
      <c r="K44" s="10" t="s">
        <v>383</v>
      </c>
      <c r="L44" s="10" t="s">
        <v>384</v>
      </c>
      <c r="M44" s="15" t="n">
        <v>1000</v>
      </c>
      <c r="N44" s="10" t="s">
        <v>434</v>
      </c>
      <c r="O44" s="16" t="n">
        <f aca="false">IF(K44="USD",1,INDEX(Change_periodes!$D$1:$N$400,MATCH($N44,Change_periodes!$A$1:$A$400,0),MATCH($K44,Change_periodes!$D$1:$N$1,0)))</f>
        <v>11.49</v>
      </c>
      <c r="P44" s="3" t="s">
        <v>385</v>
      </c>
      <c r="Q44" s="17" t="n">
        <f aca="false">INDEX(Change_periodes!$D$1:$D$400,MATCH($N44,Change_periodes!$A$1:$A$400,0))</f>
        <v>565.226794885052</v>
      </c>
      <c r="R44" s="18" t="n">
        <f aca="false">IFERROR(J44/M44/O44,"")</f>
        <v>5.18427277491379</v>
      </c>
      <c r="S44" s="9" t="n">
        <f aca="false">IFERROR(R44*Q44,"")</f>
        <v>2930.28988437436</v>
      </c>
      <c r="T44" s="19" t="n">
        <v>1</v>
      </c>
      <c r="U44" s="3" t="s">
        <v>271</v>
      </c>
      <c r="V44" s="9" t="n">
        <f aca="false">IFERROR(S44/T44,"")</f>
        <v>2930.28988437436</v>
      </c>
      <c r="W44" s="10"/>
      <c r="X44" s="9" t="str">
        <f aca="false">IF(W44="","",IFERROR(INDEX($V$1:$V$178,MATCH(W44,$A$1:$A$178,0)),""))</f>
        <v/>
      </c>
      <c r="Y44" s="8" t="str">
        <f aca="false">IF(OR(X44="",V44=""),"",V44/X44)</f>
        <v/>
      </c>
      <c r="Z44" s="10"/>
      <c r="AA44" s="9" t="str">
        <f aca="false">IF(Z44="","",IFERROR(INDEX($V$1:$V$178,MATCH(Z44,$A$1:$A$178,0)),""))</f>
        <v/>
      </c>
      <c r="AB44" s="8" t="str">
        <f aca="false">IF(OR(AA44="",V44=""),"",V44/AA44)</f>
        <v/>
      </c>
      <c r="AC44" s="3" t="s">
        <v>442</v>
      </c>
      <c r="AD44" s="3" t="s">
        <v>443</v>
      </c>
      <c r="AE44" s="10" t="s">
        <v>275</v>
      </c>
      <c r="AF44" s="7" t="s">
        <v>81</v>
      </c>
      <c r="AG44" s="3" t="s">
        <v>449</v>
      </c>
    </row>
    <row r="45" customFormat="false" ht="35.05" hidden="false" customHeight="false" outlineLevel="0" collapsed="false">
      <c r="A45" s="13" t="s">
        <v>115</v>
      </c>
      <c r="B45" s="3" t="s">
        <v>45</v>
      </c>
      <c r="C45" s="3" t="s">
        <v>260</v>
      </c>
      <c r="D45" s="3" t="s">
        <v>450</v>
      </c>
      <c r="E45" s="3" t="s">
        <v>369</v>
      </c>
      <c r="F45" s="3" t="s">
        <v>451</v>
      </c>
      <c r="G45" s="3" t="s">
        <v>452</v>
      </c>
      <c r="H45" s="3" t="s">
        <v>453</v>
      </c>
      <c r="I45" s="3" t="s">
        <v>454</v>
      </c>
      <c r="J45" s="14" t="n">
        <f aca="false">(1200+1450)/2</f>
        <v>1325</v>
      </c>
      <c r="K45" s="10" t="s">
        <v>455</v>
      </c>
      <c r="L45" s="10" t="s">
        <v>268</v>
      </c>
      <c r="M45" s="15" t="n">
        <v>1</v>
      </c>
      <c r="N45" s="10" t="s">
        <v>456</v>
      </c>
      <c r="O45" s="16" t="n">
        <f aca="false">IF(K45="USD",1,INDEX(Change_periodes!$D$1:$N$400,MATCH($N45,Change_periodes!$A$1:$A$400,0),MATCH($K45,Change_periodes!$D$1:$N$1,0)))</f>
        <v>563.929912787039</v>
      </c>
      <c r="P45" s="3" t="s">
        <v>270</v>
      </c>
      <c r="Q45" s="17" t="n">
        <f aca="false">INDEX(Change_periodes!$D$1:$D$400,MATCH($N45,Change_periodes!$A$1:$A$400,0))</f>
        <v>563.929912787039</v>
      </c>
      <c r="R45" s="18" t="n">
        <f aca="false">IFERROR(J45/M45/O45,"")</f>
        <v>2.34958275834602</v>
      </c>
      <c r="S45" s="9" t="n">
        <f aca="false">IFERROR(R45*Q45,"")</f>
        <v>1325</v>
      </c>
      <c r="T45" s="19" t="n">
        <v>1</v>
      </c>
      <c r="U45" s="3" t="s">
        <v>271</v>
      </c>
      <c r="V45" s="9" t="n">
        <f aca="false">IFERROR(S45/T45,"")</f>
        <v>1325</v>
      </c>
      <c r="W45" s="10" t="s">
        <v>457</v>
      </c>
      <c r="X45" s="9" t="n">
        <f aca="false">IF(W45="","",IFERROR(INDEX($V$1:$V$178,MATCH(W45,$A$1:$A$178,0)),""))</f>
        <v>1870.45119368074</v>
      </c>
      <c r="Y45" s="8" t="n">
        <f aca="false">IF(OR(X45="",V45=""),"",V45/X45)</f>
        <v>0.708385230513616</v>
      </c>
      <c r="Z45" s="10"/>
      <c r="AA45" s="9" t="str">
        <f aca="false">IF(Z45="","",IFERROR(INDEX($V$1:$V$178,MATCH(Z45,$A$1:$A$178,0)),""))</f>
        <v/>
      </c>
      <c r="AB45" s="8" t="str">
        <f aca="false">IF(OR(AA45="",V45=""),"",V45/AA45)</f>
        <v/>
      </c>
      <c r="AC45" s="3" t="s">
        <v>458</v>
      </c>
      <c r="AD45" s="3" t="s">
        <v>459</v>
      </c>
      <c r="AE45" s="10" t="s">
        <v>275</v>
      </c>
      <c r="AF45" s="7" t="s">
        <v>81</v>
      </c>
      <c r="AG45" s="3" t="s">
        <v>460</v>
      </c>
    </row>
    <row r="46" customFormat="false" ht="35.05" hidden="false" customHeight="false" outlineLevel="0" collapsed="false">
      <c r="A46" s="13" t="s">
        <v>461</v>
      </c>
      <c r="B46" s="3" t="s">
        <v>45</v>
      </c>
      <c r="C46" s="3" t="s">
        <v>260</v>
      </c>
      <c r="D46" s="3" t="s">
        <v>450</v>
      </c>
      <c r="E46" s="3" t="s">
        <v>369</v>
      </c>
      <c r="F46" s="3" t="s">
        <v>462</v>
      </c>
      <c r="G46" s="3" t="s">
        <v>452</v>
      </c>
      <c r="H46" s="3" t="s">
        <v>453</v>
      </c>
      <c r="I46" s="3" t="s">
        <v>454</v>
      </c>
      <c r="J46" s="14" t="n">
        <f aca="false">(1550+1650)/2</f>
        <v>1600</v>
      </c>
      <c r="K46" s="10" t="s">
        <v>455</v>
      </c>
      <c r="L46" s="10" t="s">
        <v>268</v>
      </c>
      <c r="M46" s="15" t="n">
        <v>1</v>
      </c>
      <c r="N46" s="10" t="s">
        <v>463</v>
      </c>
      <c r="O46" s="16" t="n">
        <f aca="false">IF(K46="USD",1,INDEX(Change_periodes!$D$1:$N$400,MATCH($N46,Change_periodes!$A$1:$A$400,0),MATCH($K46,Change_periodes!$D$1:$N$1,0)))</f>
        <v>561.934174005414</v>
      </c>
      <c r="P46" s="3" t="s">
        <v>270</v>
      </c>
      <c r="Q46" s="17" t="n">
        <f aca="false">INDEX(Change_periodes!$D$1:$D$400,MATCH($N46,Change_periodes!$A$1:$A$400,0))</f>
        <v>561.934174005414</v>
      </c>
      <c r="R46" s="18" t="n">
        <f aca="false">IFERROR(J46/M46/O46,"")</f>
        <v>2.84730858882518</v>
      </c>
      <c r="S46" s="9" t="n">
        <f aca="false">IFERROR(R46*Q46,"")</f>
        <v>1600</v>
      </c>
      <c r="T46" s="19" t="n">
        <v>1</v>
      </c>
      <c r="U46" s="3" t="s">
        <v>271</v>
      </c>
      <c r="V46" s="9" t="n">
        <f aca="false">IFERROR(S46/T46,"")</f>
        <v>1600</v>
      </c>
      <c r="W46" s="10" t="s">
        <v>464</v>
      </c>
      <c r="X46" s="9" t="n">
        <f aca="false">IF(W46="","",IFERROR(INDEX($V$1:$V$178,MATCH(W46,$A$1:$A$178,0)),""))</f>
        <v>2328.07642487921</v>
      </c>
      <c r="Y46" s="8" t="n">
        <f aca="false">IF(OR(X46="",V46=""),"",V46/X46)</f>
        <v>0.687262661526678</v>
      </c>
      <c r="Z46" s="10"/>
      <c r="AA46" s="9" t="str">
        <f aca="false">IF(Z46="","",IFERROR(INDEX($V$1:$V$178,MATCH(Z46,$A$1:$A$178,0)),""))</f>
        <v/>
      </c>
      <c r="AB46" s="8" t="str">
        <f aca="false">IF(OR(AA46="",V46=""),"",V46/AA46)</f>
        <v/>
      </c>
      <c r="AC46" s="3" t="s">
        <v>465</v>
      </c>
      <c r="AD46" s="3" t="s">
        <v>466</v>
      </c>
      <c r="AE46" s="10" t="s">
        <v>275</v>
      </c>
      <c r="AF46" s="7" t="s">
        <v>81</v>
      </c>
      <c r="AG46" s="3" t="s">
        <v>467</v>
      </c>
    </row>
    <row r="47" customFormat="false" ht="35.05" hidden="false" customHeight="false" outlineLevel="0" collapsed="false">
      <c r="A47" s="13" t="s">
        <v>119</v>
      </c>
      <c r="B47" s="3" t="s">
        <v>45</v>
      </c>
      <c r="C47" s="3" t="s">
        <v>260</v>
      </c>
      <c r="D47" s="3" t="s">
        <v>450</v>
      </c>
      <c r="E47" s="3" t="s">
        <v>369</v>
      </c>
      <c r="F47" s="3" t="s">
        <v>468</v>
      </c>
      <c r="G47" s="3" t="s">
        <v>452</v>
      </c>
      <c r="H47" s="3" t="s">
        <v>453</v>
      </c>
      <c r="I47" s="3" t="s">
        <v>454</v>
      </c>
      <c r="J47" s="14" t="n">
        <f aca="false">(2100+2250)/2</f>
        <v>2175</v>
      </c>
      <c r="K47" s="10" t="s">
        <v>455</v>
      </c>
      <c r="L47" s="10" t="s">
        <v>268</v>
      </c>
      <c r="M47" s="15" t="n">
        <v>1</v>
      </c>
      <c r="N47" s="10" t="s">
        <v>469</v>
      </c>
      <c r="O47" s="16" t="n">
        <f aca="false">IF(K47="USD",1,INDEX(Change_periodes!$D$1:$N$400,MATCH($N47,Change_periodes!$A$1:$A$400,0),MATCH($K47,Change_periodes!$D$1:$N$1,0)))</f>
        <v>569.505990623372</v>
      </c>
      <c r="P47" s="3" t="s">
        <v>270</v>
      </c>
      <c r="Q47" s="17" t="n">
        <f aca="false">INDEX(Change_periodes!$D$1:$D$400,MATCH($N47,Change_periodes!$A$1:$A$400,0))</f>
        <v>569.505990623372</v>
      </c>
      <c r="R47" s="18" t="n">
        <f aca="false">IFERROR(J47/M47/O47,"")</f>
        <v>3.81909942267557</v>
      </c>
      <c r="S47" s="9" t="n">
        <f aca="false">IFERROR(R47*Q47,"")</f>
        <v>2175</v>
      </c>
      <c r="T47" s="19" t="n">
        <v>1</v>
      </c>
      <c r="U47" s="3" t="s">
        <v>271</v>
      </c>
      <c r="V47" s="9" t="n">
        <f aca="false">IFERROR(S47/T47,"")</f>
        <v>2175</v>
      </c>
      <c r="W47" s="10" t="s">
        <v>470</v>
      </c>
      <c r="X47" s="9" t="n">
        <f aca="false">IF(W47="","",IFERROR(INDEX($V$1:$V$178,MATCH(W47,$A$1:$A$178,0)),""))</f>
        <v>2503.24080154541</v>
      </c>
      <c r="Y47" s="8" t="n">
        <f aca="false">IF(OR(X47="",V47=""),"",V47/X47)</f>
        <v>0.868873661158462</v>
      </c>
      <c r="Z47" s="10"/>
      <c r="AA47" s="9" t="str">
        <f aca="false">IF(Z47="","",IFERROR(INDEX($V$1:$V$178,MATCH(Z47,$A$1:$A$178,0)),""))</f>
        <v/>
      </c>
      <c r="AB47" s="8" t="str">
        <f aca="false">IF(OR(AA47="",V47=""),"",V47/AA47)</f>
        <v/>
      </c>
      <c r="AC47" s="3" t="s">
        <v>471</v>
      </c>
      <c r="AD47" s="3" t="s">
        <v>472</v>
      </c>
      <c r="AE47" s="10" t="s">
        <v>275</v>
      </c>
      <c r="AF47" s="7" t="s">
        <v>81</v>
      </c>
      <c r="AG47" s="3" t="s">
        <v>473</v>
      </c>
    </row>
    <row r="48" customFormat="false" ht="23.85" hidden="false" customHeight="false" outlineLevel="0" collapsed="false">
      <c r="A48" s="13" t="s">
        <v>122</v>
      </c>
      <c r="B48" s="3" t="s">
        <v>45</v>
      </c>
      <c r="C48" s="3" t="s">
        <v>474</v>
      </c>
      <c r="D48" s="3" t="s">
        <v>475</v>
      </c>
      <c r="E48" s="3" t="s">
        <v>431</v>
      </c>
      <c r="F48" s="3" t="s">
        <v>476</v>
      </c>
      <c r="G48" s="3" t="s">
        <v>477</v>
      </c>
      <c r="H48" s="3" t="s">
        <v>478</v>
      </c>
      <c r="I48" s="3" t="s">
        <v>479</v>
      </c>
      <c r="J48" s="14" t="n">
        <v>5728.5</v>
      </c>
      <c r="K48" s="10" t="s">
        <v>480</v>
      </c>
      <c r="L48" s="10" t="s">
        <v>268</v>
      </c>
      <c r="M48" s="15" t="n">
        <v>1</v>
      </c>
      <c r="N48" s="10" t="s">
        <v>434</v>
      </c>
      <c r="O48" s="16" t="n">
        <f aca="false">IF(K48="USD",1,INDEX(Change_periodes!$D$1:$N$400,MATCH($N48,Change_periodes!$A$1:$A$400,0),MATCH($K48,Change_periodes!$D$1:$N$1,0)))</f>
        <v>1328.81002087683</v>
      </c>
      <c r="P48" s="3" t="s">
        <v>481</v>
      </c>
      <c r="Q48" s="17" t="n">
        <f aca="false">INDEX(Change_periodes!$D$1:$D$400,MATCH($N48,Change_periodes!$A$1:$A$400,0))</f>
        <v>565.226794885052</v>
      </c>
      <c r="R48" s="18" t="n">
        <f aca="false">IFERROR(J48/M48/O48,"")</f>
        <v>4.311</v>
      </c>
      <c r="S48" s="9" t="n">
        <f aca="false">IFERROR(R48*Q48,"")</f>
        <v>2436.69271274946</v>
      </c>
      <c r="T48" s="19" t="n">
        <v>1</v>
      </c>
      <c r="U48" s="3" t="s">
        <v>271</v>
      </c>
      <c r="V48" s="9" t="n">
        <f aca="false">IFERROR(S48/T48,"")</f>
        <v>2436.69271274946</v>
      </c>
      <c r="W48" s="10" t="s">
        <v>435</v>
      </c>
      <c r="X48" s="9" t="n">
        <f aca="false">IF(W48="","",IFERROR(INDEX($V$1:$V$178,MATCH(W48,$A$1:$A$178,0)),""))</f>
        <v>3387.54479733635</v>
      </c>
      <c r="Y48" s="8" t="n">
        <f aca="false">IF(OR(X48="",V48=""),"",V48/X48)</f>
        <v>0.719309369625296</v>
      </c>
      <c r="Z48" s="10"/>
      <c r="AA48" s="9" t="str">
        <f aca="false">IF(Z48="","",IFERROR(INDEX($V$1:$V$178,MATCH(Z48,$A$1:$A$178,0)),""))</f>
        <v/>
      </c>
      <c r="AB48" s="8" t="str">
        <f aca="false">IF(OR(AA48="",V48=""),"",V48/AA48)</f>
        <v/>
      </c>
      <c r="AC48" s="3" t="s">
        <v>482</v>
      </c>
      <c r="AD48" s="3" t="s">
        <v>483</v>
      </c>
      <c r="AE48" s="10" t="s">
        <v>275</v>
      </c>
      <c r="AF48" s="20" t="s">
        <v>484</v>
      </c>
      <c r="AG48" s="3" t="s">
        <v>485</v>
      </c>
    </row>
    <row r="49" customFormat="false" ht="23.85" hidden="false" customHeight="false" outlineLevel="0" collapsed="false">
      <c r="A49" s="13" t="s">
        <v>486</v>
      </c>
      <c r="B49" s="3" t="s">
        <v>45</v>
      </c>
      <c r="C49" s="3" t="s">
        <v>487</v>
      </c>
      <c r="D49" s="3" t="s">
        <v>488</v>
      </c>
      <c r="E49" s="3" t="s">
        <v>369</v>
      </c>
      <c r="F49" s="3" t="s">
        <v>489</v>
      </c>
      <c r="G49" s="3" t="s">
        <v>477</v>
      </c>
      <c r="H49" s="3" t="s">
        <v>265</v>
      </c>
      <c r="I49" s="3" t="s">
        <v>490</v>
      </c>
      <c r="J49" s="14" t="n">
        <f aca="false">(180+190)/2</f>
        <v>185</v>
      </c>
      <c r="K49" s="10" t="s">
        <v>491</v>
      </c>
      <c r="L49" s="10" t="s">
        <v>492</v>
      </c>
      <c r="M49" s="15" t="n">
        <v>45.3592</v>
      </c>
      <c r="N49" s="10" t="s">
        <v>493</v>
      </c>
      <c r="O49" s="16" t="n">
        <f aca="false">IF(K49="USD",1,INDEX(Change_periodes!$D$1:$N$400,MATCH($N49,Change_periodes!$A$1:$A$400,0),MATCH($K49,Change_periodes!$D$1:$N$1,0)))</f>
        <v>1</v>
      </c>
      <c r="P49" s="3" t="s">
        <v>87</v>
      </c>
      <c r="Q49" s="17" t="n">
        <f aca="false">INDEX(Change_periodes!$D$1:$D$400,MATCH($N49,Change_periodes!$A$1:$A$400,0))</f>
        <v>558.820572760482</v>
      </c>
      <c r="R49" s="18" t="n">
        <f aca="false">IFERROR(J49/M49/O49,"")</f>
        <v>4.07855517733999</v>
      </c>
      <c r="S49" s="9" t="n">
        <f aca="false">IFERROR(R49*Q49,"")</f>
        <v>2279.18054023636</v>
      </c>
      <c r="T49" s="19" t="n">
        <v>1</v>
      </c>
      <c r="U49" s="3" t="s">
        <v>271</v>
      </c>
      <c r="V49" s="9" t="n">
        <f aca="false">IFERROR(S49/T49,"")</f>
        <v>2279.18054023636</v>
      </c>
      <c r="W49" s="10" t="s">
        <v>494</v>
      </c>
      <c r="X49" s="9" t="n">
        <f aca="false">IF(W49="","",IFERROR(INDEX($V$1:$V$178,MATCH(W49,$A$1:$A$178,0)),""))</f>
        <v>2778.7352980515</v>
      </c>
      <c r="Y49" s="8" t="n">
        <f aca="false">IF(OR(X49="",V49=""),"",V49/X49)</f>
        <v>0.820222257886373</v>
      </c>
      <c r="Z49" s="10"/>
      <c r="AA49" s="9" t="str">
        <f aca="false">IF(Z49="","",IFERROR(INDEX($V$1:$V$178,MATCH(Z49,$A$1:$A$178,0)),""))</f>
        <v/>
      </c>
      <c r="AB49" s="8" t="str">
        <f aca="false">IF(OR(AA49="",V49=""),"",V49/AA49)</f>
        <v/>
      </c>
      <c r="AC49" s="3" t="s">
        <v>495</v>
      </c>
      <c r="AD49" s="3" t="s">
        <v>496</v>
      </c>
      <c r="AE49" s="10" t="s">
        <v>275</v>
      </c>
      <c r="AF49" s="7" t="s">
        <v>81</v>
      </c>
      <c r="AG49" s="3" t="s">
        <v>497</v>
      </c>
    </row>
    <row r="50" customFormat="false" ht="35.05" hidden="false" customHeight="false" outlineLevel="0" collapsed="false">
      <c r="A50" s="13" t="s">
        <v>125</v>
      </c>
      <c r="B50" s="3" t="s">
        <v>45</v>
      </c>
      <c r="C50" s="3" t="s">
        <v>498</v>
      </c>
      <c r="D50" s="3" t="s">
        <v>488</v>
      </c>
      <c r="E50" s="3" t="s">
        <v>369</v>
      </c>
      <c r="F50" s="3" t="s">
        <v>499</v>
      </c>
      <c r="G50" s="3" t="s">
        <v>477</v>
      </c>
      <c r="H50" s="3" t="s">
        <v>500</v>
      </c>
      <c r="I50" s="3" t="s">
        <v>501</v>
      </c>
      <c r="J50" s="14" t="n">
        <v>100</v>
      </c>
      <c r="K50" s="10" t="s">
        <v>491</v>
      </c>
      <c r="L50" s="10" t="s">
        <v>492</v>
      </c>
      <c r="M50" s="15" t="n">
        <v>45.3592</v>
      </c>
      <c r="N50" s="10" t="s">
        <v>502</v>
      </c>
      <c r="O50" s="16" t="n">
        <f aca="false">IF(K50="USD",1,INDEX(Change_periodes!$D$1:$N$400,MATCH($N50,Change_periodes!$A$1:$A$400,0),MATCH($K50,Change_periodes!$D$1:$N$1,0)))</f>
        <v>1</v>
      </c>
      <c r="P50" s="3" t="s">
        <v>87</v>
      </c>
      <c r="Q50" s="17" t="n">
        <f aca="false">INDEX(Change_periodes!$D$1:$D$400,MATCH($N50,Change_periodes!$A$1:$A$400,0))</f>
        <v>554.769768140089</v>
      </c>
      <c r="R50" s="18" t="n">
        <f aca="false">IFERROR(J50/M50/O50,"")</f>
        <v>2.20462442018378</v>
      </c>
      <c r="S50" s="9" t="n">
        <f aca="false">IFERROR(R50*Q50,"")</f>
        <v>1223.05897842133</v>
      </c>
      <c r="T50" s="19" t="n">
        <v>1</v>
      </c>
      <c r="U50" s="3" t="s">
        <v>271</v>
      </c>
      <c r="V50" s="9" t="n">
        <f aca="false">IFERROR(S50/T50,"")</f>
        <v>1223.05897842133</v>
      </c>
      <c r="W50" s="10" t="s">
        <v>503</v>
      </c>
      <c r="X50" s="9" t="n">
        <f aca="false">IF(W50="","",IFERROR(INDEX($V$1:$V$178,MATCH(W50,$A$1:$A$178,0)),""))</f>
        <v>1990.06456457444</v>
      </c>
      <c r="Y50" s="8" t="n">
        <f aca="false">IF(OR(X50="",V50=""),"",V50/X50)</f>
        <v>0.614582561889328</v>
      </c>
      <c r="Z50" s="10"/>
      <c r="AA50" s="9" t="str">
        <f aca="false">IF(Z50="","",IFERROR(INDEX($V$1:$V$178,MATCH(Z50,$A$1:$A$178,0)),""))</f>
        <v/>
      </c>
      <c r="AB50" s="8" t="str">
        <f aca="false">IF(OR(AA50="",V50=""),"",V50/AA50)</f>
        <v/>
      </c>
      <c r="AC50" s="3" t="s">
        <v>504</v>
      </c>
      <c r="AD50" s="3" t="s">
        <v>505</v>
      </c>
      <c r="AE50" s="10" t="s">
        <v>275</v>
      </c>
      <c r="AF50" s="7" t="s">
        <v>81</v>
      </c>
      <c r="AG50" s="3" t="s">
        <v>506</v>
      </c>
    </row>
    <row r="51" customFormat="false" ht="35.05" hidden="false" customHeight="false" outlineLevel="0" collapsed="false">
      <c r="A51" s="13" t="s">
        <v>507</v>
      </c>
      <c r="B51" s="3" t="s">
        <v>50</v>
      </c>
      <c r="C51" s="3" t="s">
        <v>508</v>
      </c>
      <c r="D51" s="3" t="s">
        <v>261</v>
      </c>
      <c r="E51" s="3" t="s">
        <v>262</v>
      </c>
      <c r="F51" s="3" t="s">
        <v>509</v>
      </c>
      <c r="G51" s="3" t="s">
        <v>264</v>
      </c>
      <c r="H51" s="3" t="s">
        <v>265</v>
      </c>
      <c r="I51" s="3" t="s">
        <v>510</v>
      </c>
      <c r="J51" s="14" t="n">
        <v>750</v>
      </c>
      <c r="K51" s="10" t="s">
        <v>267</v>
      </c>
      <c r="L51" s="10" t="s">
        <v>268</v>
      </c>
      <c r="M51" s="15" t="n">
        <v>1</v>
      </c>
      <c r="N51" s="10" t="s">
        <v>511</v>
      </c>
      <c r="O51" s="16" t="n">
        <f aca="false">IF(K51="USD",1,INDEX(Change_periodes!$D$1:$N$400,MATCH($N51,Change_periodes!$A$1:$A$400,0),MATCH($K51,Change_periodes!$D$1:$N$1,0)))</f>
        <v>594.821927413357</v>
      </c>
      <c r="P51" s="3" t="s">
        <v>270</v>
      </c>
      <c r="Q51" s="17" t="n">
        <f aca="false">INDEX(Change_periodes!$D$1:$D$400,MATCH($N51,Change_periodes!$A$1:$A$400,0))</f>
        <v>594.821927413357</v>
      </c>
      <c r="R51" s="18" t="n">
        <f aca="false">IFERROR(J51/M51/O51,"")</f>
        <v>1.26088156040489</v>
      </c>
      <c r="S51" s="9" t="n">
        <f aca="false">IFERROR(R51*Q51,"")</f>
        <v>750</v>
      </c>
      <c r="T51" s="19" t="n">
        <v>1</v>
      </c>
      <c r="U51" s="3" t="s">
        <v>271</v>
      </c>
      <c r="V51" s="9" t="n">
        <f aca="false">IFERROR(S51/T51,"")</f>
        <v>750</v>
      </c>
      <c r="W51" s="10" t="s">
        <v>512</v>
      </c>
      <c r="X51" s="9" t="n">
        <f aca="false">IF(W51="","",IFERROR(INDEX($V$1:$V$178,MATCH(W51,$A$1:$A$178,0)),""))</f>
        <v>1358.6634473026</v>
      </c>
      <c r="Y51" s="8" t="n">
        <f aca="false">IF(OR(X51="",V51=""),"",V51/X51)</f>
        <v>0.55201308424761</v>
      </c>
      <c r="Z51" s="10"/>
      <c r="AA51" s="9" t="str">
        <f aca="false">IF(Z51="","",IFERROR(INDEX($V$1:$V$178,MATCH(Z51,$A$1:$A$178,0)),""))</f>
        <v/>
      </c>
      <c r="AB51" s="8" t="str">
        <f aca="false">IF(OR(AA51="",V51=""),"",V51/AA51)</f>
        <v/>
      </c>
      <c r="AC51" s="3" t="s">
        <v>513</v>
      </c>
      <c r="AD51" s="3" t="s">
        <v>514</v>
      </c>
      <c r="AE51" s="10" t="s">
        <v>275</v>
      </c>
      <c r="AF51" s="7" t="s">
        <v>81</v>
      </c>
      <c r="AG51" s="3" t="s">
        <v>515</v>
      </c>
    </row>
    <row r="52" customFormat="false" ht="35.05" hidden="false" customHeight="false" outlineLevel="0" collapsed="false">
      <c r="A52" s="13" t="s">
        <v>516</v>
      </c>
      <c r="B52" s="3" t="s">
        <v>50</v>
      </c>
      <c r="C52" s="3" t="s">
        <v>508</v>
      </c>
      <c r="D52" s="3" t="s">
        <v>261</v>
      </c>
      <c r="E52" s="3" t="s">
        <v>284</v>
      </c>
      <c r="F52" s="3" t="s">
        <v>509</v>
      </c>
      <c r="G52" s="3" t="s">
        <v>264</v>
      </c>
      <c r="H52" s="3" t="s">
        <v>265</v>
      </c>
      <c r="I52" s="3" t="s">
        <v>510</v>
      </c>
      <c r="J52" s="14" t="n">
        <v>750</v>
      </c>
      <c r="K52" s="10" t="s">
        <v>267</v>
      </c>
      <c r="L52" s="10" t="s">
        <v>268</v>
      </c>
      <c r="M52" s="15" t="n">
        <v>1</v>
      </c>
      <c r="N52" s="10" t="s">
        <v>517</v>
      </c>
      <c r="O52" s="16" t="n">
        <f aca="false">IF(K52="USD",1,INDEX(Change_periodes!$D$1:$N$400,MATCH($N52,Change_periodes!$A$1:$A$400,0),MATCH($K52,Change_periodes!$D$1:$N$1,0)))</f>
        <v>551.245915046026</v>
      </c>
      <c r="P52" s="3" t="s">
        <v>270</v>
      </c>
      <c r="Q52" s="17" t="n">
        <f aca="false">INDEX(Change_periodes!$D$1:$D$400,MATCH($N52,Change_periodes!$A$1:$A$400,0))</f>
        <v>551.245915046026</v>
      </c>
      <c r="R52" s="18" t="n">
        <f aca="false">IFERROR(J52/M52/O52,"")</f>
        <v>1.36055429986702</v>
      </c>
      <c r="S52" s="9" t="n">
        <f aca="false">IFERROR(R52*Q52,"")</f>
        <v>750</v>
      </c>
      <c r="T52" s="19" t="n">
        <v>1</v>
      </c>
      <c r="U52" s="3" t="s">
        <v>271</v>
      </c>
      <c r="V52" s="9" t="n">
        <f aca="false">IFERROR(S52/T52,"")</f>
        <v>750</v>
      </c>
      <c r="W52" s="10" t="s">
        <v>518</v>
      </c>
      <c r="X52" s="9" t="n">
        <f aca="false">IF(W52="","",IFERROR(INDEX($V$1:$V$178,MATCH(W52,$A$1:$A$178,0)),""))</f>
        <v>1061.7159400703</v>
      </c>
      <c r="Y52" s="8" t="n">
        <f aca="false">IF(OR(X52="",V52=""),"",V52/X52)</f>
        <v>0.706403635562202</v>
      </c>
      <c r="Z52" s="10"/>
      <c r="AA52" s="9" t="str">
        <f aca="false">IF(Z52="","",IFERROR(INDEX($V$1:$V$178,MATCH(Z52,$A$1:$A$178,0)),""))</f>
        <v/>
      </c>
      <c r="AB52" s="8" t="str">
        <f aca="false">IF(OR(AA52="",V52=""),"",V52/AA52)</f>
        <v/>
      </c>
      <c r="AC52" s="3" t="s">
        <v>513</v>
      </c>
      <c r="AD52" s="3" t="s">
        <v>514</v>
      </c>
      <c r="AE52" s="10" t="s">
        <v>275</v>
      </c>
      <c r="AF52" s="7" t="s">
        <v>81</v>
      </c>
      <c r="AG52" s="3" t="s">
        <v>519</v>
      </c>
    </row>
    <row r="53" customFormat="false" ht="23.85" hidden="false" customHeight="false" outlineLevel="0" collapsed="false">
      <c r="A53" s="13" t="s">
        <v>520</v>
      </c>
      <c r="B53" s="3" t="s">
        <v>50</v>
      </c>
      <c r="C53" s="3" t="s">
        <v>508</v>
      </c>
      <c r="D53" s="3" t="s">
        <v>261</v>
      </c>
      <c r="E53" s="3" t="s">
        <v>293</v>
      </c>
      <c r="F53" s="3" t="s">
        <v>509</v>
      </c>
      <c r="G53" s="3" t="s">
        <v>264</v>
      </c>
      <c r="H53" s="3" t="s">
        <v>265</v>
      </c>
      <c r="I53" s="3" t="s">
        <v>510</v>
      </c>
      <c r="J53" s="14" t="n">
        <v>700</v>
      </c>
      <c r="K53" s="10" t="s">
        <v>267</v>
      </c>
      <c r="L53" s="10" t="s">
        <v>268</v>
      </c>
      <c r="M53" s="15" t="n">
        <v>1</v>
      </c>
      <c r="N53" s="10" t="s">
        <v>521</v>
      </c>
      <c r="O53" s="16" t="n">
        <f aca="false">IF(K53="USD",1,INDEX(Change_periodes!$D$1:$N$400,MATCH($N53,Change_periodes!$A$1:$A$400,0),MATCH($K53,Change_periodes!$D$1:$N$1,0)))</f>
        <v>581.555799883307</v>
      </c>
      <c r="P53" s="3" t="s">
        <v>270</v>
      </c>
      <c r="Q53" s="17" t="n">
        <f aca="false">INDEX(Change_periodes!$D$1:$D$400,MATCH($N53,Change_periodes!$A$1:$A$400,0))</f>
        <v>581.555799883307</v>
      </c>
      <c r="R53" s="18" t="n">
        <f aca="false">IFERROR(J53/M53/O53,"")</f>
        <v>1.20366781681218</v>
      </c>
      <c r="S53" s="9" t="n">
        <f aca="false">IFERROR(R53*Q53,"")</f>
        <v>700</v>
      </c>
      <c r="T53" s="19" t="n">
        <v>1</v>
      </c>
      <c r="U53" s="3" t="s">
        <v>271</v>
      </c>
      <c r="V53" s="9" t="n">
        <f aca="false">IFERROR(S53/T53,"")</f>
        <v>700</v>
      </c>
      <c r="W53" s="10" t="s">
        <v>522</v>
      </c>
      <c r="X53" s="9" t="n">
        <f aca="false">IF(W53="","",IFERROR(INDEX($V$1:$V$178,MATCH(W53,$A$1:$A$178,0)),""))</f>
        <v>976.561681095513</v>
      </c>
      <c r="Y53" s="8" t="n">
        <f aca="false">IF(OR(X53="",V53=""),"",V53/X53)</f>
        <v>0.716800601079018</v>
      </c>
      <c r="Z53" s="10"/>
      <c r="AA53" s="9" t="str">
        <f aca="false">IF(Z53="","",IFERROR(INDEX($V$1:$V$178,MATCH(Z53,$A$1:$A$178,0)),""))</f>
        <v/>
      </c>
      <c r="AB53" s="8" t="str">
        <f aca="false">IF(OR(AA53="",V53=""),"",V53/AA53)</f>
        <v/>
      </c>
      <c r="AC53" s="3" t="s">
        <v>523</v>
      </c>
      <c r="AD53" s="3" t="s">
        <v>524</v>
      </c>
      <c r="AE53" s="10" t="s">
        <v>275</v>
      </c>
      <c r="AF53" s="7" t="s">
        <v>81</v>
      </c>
      <c r="AG53" s="3" t="s">
        <v>519</v>
      </c>
    </row>
    <row r="54" customFormat="false" ht="46.25" hidden="false" customHeight="false" outlineLevel="0" collapsed="false">
      <c r="A54" s="13" t="s">
        <v>525</v>
      </c>
      <c r="B54" s="3" t="s">
        <v>50</v>
      </c>
      <c r="C54" s="3" t="s">
        <v>508</v>
      </c>
      <c r="D54" s="3" t="s">
        <v>261</v>
      </c>
      <c r="E54" s="3" t="s">
        <v>304</v>
      </c>
      <c r="F54" s="3" t="s">
        <v>509</v>
      </c>
      <c r="G54" s="3" t="s">
        <v>264</v>
      </c>
      <c r="H54" s="3" t="s">
        <v>265</v>
      </c>
      <c r="I54" s="3" t="s">
        <v>510</v>
      </c>
      <c r="J54" s="14" t="n">
        <v>700</v>
      </c>
      <c r="K54" s="10" t="s">
        <v>267</v>
      </c>
      <c r="L54" s="10" t="s">
        <v>268</v>
      </c>
      <c r="M54" s="15" t="n">
        <v>1</v>
      </c>
      <c r="N54" s="10" t="s">
        <v>526</v>
      </c>
      <c r="O54" s="16" t="n">
        <f aca="false">IF(K54="USD",1,INDEX(Change_periodes!$D$1:$N$400,MATCH($N54,Change_periodes!$A$1:$A$400,0),MATCH($K54,Change_periodes!$D$1:$N$1,0)))</f>
        <v>586.178514539973</v>
      </c>
      <c r="P54" s="3" t="s">
        <v>270</v>
      </c>
      <c r="Q54" s="17" t="n">
        <f aca="false">INDEX(Change_periodes!$D$1:$D$400,MATCH($N54,Change_periodes!$A$1:$A$400,0))</f>
        <v>586.178514539973</v>
      </c>
      <c r="R54" s="18" t="n">
        <f aca="false">IFERROR(J54/M54/O54,"")</f>
        <v>1.19417546470354</v>
      </c>
      <c r="S54" s="9" t="n">
        <f aca="false">IFERROR(R54*Q54,"")</f>
        <v>700</v>
      </c>
      <c r="T54" s="19" t="n">
        <v>1</v>
      </c>
      <c r="U54" s="3" t="s">
        <v>271</v>
      </c>
      <c r="V54" s="9" t="n">
        <f aca="false">IFERROR(S54/T54,"")</f>
        <v>700</v>
      </c>
      <c r="W54" s="10" t="s">
        <v>527</v>
      </c>
      <c r="X54" s="9" t="n">
        <f aca="false">IF(W54="","",IFERROR(INDEX($V$1:$V$178,MATCH(W54,$A$1:$A$178,0)),""))</f>
        <v>891.11683315108</v>
      </c>
      <c r="Y54" s="8" t="n">
        <f aca="false">IF(OR(X54="",V54=""),"",V54/X54)</f>
        <v>0.785531115515716</v>
      </c>
      <c r="Z54" s="10"/>
      <c r="AA54" s="9" t="str">
        <f aca="false">IF(Z54="","",IFERROR(INDEX($V$1:$V$178,MATCH(Z54,$A$1:$A$178,0)),""))</f>
        <v/>
      </c>
      <c r="AB54" s="8" t="str">
        <f aca="false">IF(OR(AA54="",V54=""),"",V54/AA54)</f>
        <v/>
      </c>
      <c r="AC54" s="3" t="s">
        <v>528</v>
      </c>
      <c r="AD54" s="3" t="s">
        <v>529</v>
      </c>
      <c r="AE54" s="10" t="s">
        <v>275</v>
      </c>
      <c r="AF54" s="7" t="s">
        <v>81</v>
      </c>
      <c r="AG54" s="3" t="s">
        <v>530</v>
      </c>
    </row>
    <row r="55" customFormat="false" ht="46.25" hidden="false" customHeight="false" outlineLevel="0" collapsed="false">
      <c r="A55" s="13" t="s">
        <v>531</v>
      </c>
      <c r="B55" s="3" t="s">
        <v>50</v>
      </c>
      <c r="C55" s="3" t="s">
        <v>508</v>
      </c>
      <c r="D55" s="3" t="s">
        <v>261</v>
      </c>
      <c r="E55" s="3" t="s">
        <v>315</v>
      </c>
      <c r="F55" s="3" t="s">
        <v>509</v>
      </c>
      <c r="G55" s="3" t="s">
        <v>264</v>
      </c>
      <c r="H55" s="3" t="s">
        <v>265</v>
      </c>
      <c r="I55" s="3" t="s">
        <v>510</v>
      </c>
      <c r="J55" s="14" t="n">
        <v>550</v>
      </c>
      <c r="K55" s="10" t="s">
        <v>267</v>
      </c>
      <c r="L55" s="10" t="s">
        <v>268</v>
      </c>
      <c r="M55" s="15" t="n">
        <v>1</v>
      </c>
      <c r="N55" s="10" t="s">
        <v>532</v>
      </c>
      <c r="O55" s="16" t="n">
        <f aca="false">IF(K55="USD",1,INDEX(Change_periodes!$D$1:$N$400,MATCH($N55,Change_periodes!$A$1:$A$400,0),MATCH($K55,Change_periodes!$D$1:$N$1,0)))</f>
        <v>548.679898467528</v>
      </c>
      <c r="P55" s="3" t="s">
        <v>270</v>
      </c>
      <c r="Q55" s="17" t="n">
        <f aca="false">INDEX(Change_periodes!$D$1:$D$400,MATCH($N55,Change_periodes!$A$1:$A$400,0))</f>
        <v>548.679898467528</v>
      </c>
      <c r="R55" s="18" t="n">
        <f aca="false">IFERROR(J55/M55/O55,"")</f>
        <v>1.00240595935109</v>
      </c>
      <c r="S55" s="9" t="n">
        <f aca="false">IFERROR(R55*Q55,"")</f>
        <v>550</v>
      </c>
      <c r="T55" s="19" t="n">
        <v>1</v>
      </c>
      <c r="U55" s="3" t="s">
        <v>271</v>
      </c>
      <c r="V55" s="9" t="n">
        <f aca="false">IFERROR(S55/T55,"")</f>
        <v>550</v>
      </c>
      <c r="W55" s="10" t="s">
        <v>533</v>
      </c>
      <c r="X55" s="9" t="n">
        <f aca="false">IF(W55="","",IFERROR(INDEX($V$1:$V$178,MATCH(W55,$A$1:$A$178,0)),""))</f>
        <v>971.595505707568</v>
      </c>
      <c r="Y55" s="8" t="n">
        <f aca="false">IF(OR(X55="",V55=""),"",V55/X55)</f>
        <v>0.566079193212674</v>
      </c>
      <c r="Z55" s="10"/>
      <c r="AA55" s="9" t="str">
        <f aca="false">IF(Z55="","",IFERROR(INDEX($V$1:$V$178,MATCH(Z55,$A$1:$A$178,0)),""))</f>
        <v/>
      </c>
      <c r="AB55" s="8" t="str">
        <f aca="false">IF(OR(AA55="",V55=""),"",V55/AA55)</f>
        <v/>
      </c>
      <c r="AC55" s="3" t="s">
        <v>534</v>
      </c>
      <c r="AD55" s="3" t="s">
        <v>535</v>
      </c>
      <c r="AE55" s="10" t="s">
        <v>275</v>
      </c>
      <c r="AF55" s="7" t="s">
        <v>81</v>
      </c>
      <c r="AG55" s="3" t="s">
        <v>536</v>
      </c>
    </row>
    <row r="56" customFormat="false" ht="35.05" hidden="false" customHeight="false" outlineLevel="0" collapsed="false">
      <c r="A56" s="13" t="s">
        <v>537</v>
      </c>
      <c r="B56" s="3" t="s">
        <v>50</v>
      </c>
      <c r="C56" s="3" t="s">
        <v>508</v>
      </c>
      <c r="D56" s="3" t="s">
        <v>261</v>
      </c>
      <c r="E56" s="3" t="s">
        <v>326</v>
      </c>
      <c r="F56" s="3" t="s">
        <v>509</v>
      </c>
      <c r="G56" s="3" t="s">
        <v>264</v>
      </c>
      <c r="H56" s="3" t="s">
        <v>265</v>
      </c>
      <c r="I56" s="3" t="s">
        <v>510</v>
      </c>
      <c r="J56" s="14" t="n">
        <v>700</v>
      </c>
      <c r="K56" s="10" t="s">
        <v>267</v>
      </c>
      <c r="L56" s="10" t="s">
        <v>268</v>
      </c>
      <c r="M56" s="15" t="n">
        <v>1</v>
      </c>
      <c r="N56" s="10" t="s">
        <v>538</v>
      </c>
      <c r="O56" s="16" t="n">
        <f aca="false">IF(K56="USD",1,INDEX(Change_periodes!$D$1:$N$400,MATCH($N56,Change_periodes!$A$1:$A$400,0),MATCH($K56,Change_periodes!$D$1:$N$1,0)))</f>
        <v>606.285361521272</v>
      </c>
      <c r="P56" s="3" t="s">
        <v>270</v>
      </c>
      <c r="Q56" s="17" t="n">
        <f aca="false">INDEX(Change_periodes!$D$1:$D$400,MATCH($N56,Change_periodes!$A$1:$A$400,0))</f>
        <v>606.285361521272</v>
      </c>
      <c r="R56" s="18" t="n">
        <f aca="false">IFERROR(J56/M56/O56,"")</f>
        <v>1.15457183106579</v>
      </c>
      <c r="S56" s="9" t="n">
        <f aca="false">IFERROR(R56*Q56,"")</f>
        <v>700</v>
      </c>
      <c r="T56" s="19" t="n">
        <v>1</v>
      </c>
      <c r="U56" s="3" t="s">
        <v>271</v>
      </c>
      <c r="V56" s="9" t="n">
        <f aca="false">IFERROR(S56/T56,"")</f>
        <v>700</v>
      </c>
      <c r="W56" s="10" t="s">
        <v>539</v>
      </c>
      <c r="X56" s="9" t="n">
        <f aca="false">IF(W56="","",IFERROR(INDEX($V$1:$V$178,MATCH(W56,$A$1:$A$178,0)),""))</f>
        <v>1428.7782468622</v>
      </c>
      <c r="Y56" s="8" t="n">
        <f aca="false">IF(OR(X56="",V56=""),"",V56/X56)</f>
        <v>0.489929071594768</v>
      </c>
      <c r="Z56" s="10"/>
      <c r="AA56" s="9" t="str">
        <f aca="false">IF(Z56="","",IFERROR(INDEX($V$1:$V$178,MATCH(Z56,$A$1:$A$178,0)),""))</f>
        <v/>
      </c>
      <c r="AB56" s="8" t="str">
        <f aca="false">IF(OR(AA56="",V56=""),"",V56/AA56)</f>
        <v/>
      </c>
      <c r="AC56" s="3" t="s">
        <v>329</v>
      </c>
      <c r="AD56" s="3" t="s">
        <v>330</v>
      </c>
      <c r="AE56" s="10" t="s">
        <v>275</v>
      </c>
      <c r="AF56" s="7" t="s">
        <v>81</v>
      </c>
      <c r="AG56" s="3" t="s">
        <v>519</v>
      </c>
    </row>
    <row r="57" customFormat="false" ht="35.05" hidden="false" customHeight="false" outlineLevel="0" collapsed="false">
      <c r="A57" s="13" t="s">
        <v>540</v>
      </c>
      <c r="B57" s="3" t="s">
        <v>50</v>
      </c>
      <c r="C57" s="3" t="s">
        <v>508</v>
      </c>
      <c r="D57" s="3" t="s">
        <v>261</v>
      </c>
      <c r="E57" s="3" t="s">
        <v>337</v>
      </c>
      <c r="F57" s="3" t="s">
        <v>509</v>
      </c>
      <c r="G57" s="3" t="s">
        <v>264</v>
      </c>
      <c r="H57" s="3" t="s">
        <v>265</v>
      </c>
      <c r="I57" s="3" t="s">
        <v>510</v>
      </c>
      <c r="J57" s="14" t="n">
        <v>750</v>
      </c>
      <c r="K57" s="10" t="s">
        <v>267</v>
      </c>
      <c r="L57" s="10" t="s">
        <v>268</v>
      </c>
      <c r="M57" s="15" t="n">
        <v>1</v>
      </c>
      <c r="N57" s="10" t="s">
        <v>541</v>
      </c>
      <c r="O57" s="16" t="n">
        <f aca="false">IF(K57="USD",1,INDEX(Change_periodes!$D$1:$N$400,MATCH($N57,Change_periodes!$A$1:$A$400,0),MATCH($K57,Change_periodes!$D$1:$N$1,0)))</f>
        <v>614.947904798011</v>
      </c>
      <c r="P57" s="3" t="s">
        <v>270</v>
      </c>
      <c r="Q57" s="17" t="n">
        <f aca="false">INDEX(Change_periodes!$D$1:$D$400,MATCH($N57,Change_periodes!$A$1:$A$400,0))</f>
        <v>614.947904798011</v>
      </c>
      <c r="R57" s="18" t="n">
        <f aca="false">IFERROR(J57/M57/O57,"")</f>
        <v>1.21961550587988</v>
      </c>
      <c r="S57" s="9" t="n">
        <f aca="false">IFERROR(R57*Q57,"")</f>
        <v>750</v>
      </c>
      <c r="T57" s="19" t="n">
        <v>1</v>
      </c>
      <c r="U57" s="3" t="s">
        <v>271</v>
      </c>
      <c r="V57" s="9" t="n">
        <f aca="false">IFERROR(S57/T57,"")</f>
        <v>750</v>
      </c>
      <c r="W57" s="10" t="s">
        <v>542</v>
      </c>
      <c r="X57" s="9" t="n">
        <f aca="false">IF(W57="","",IFERROR(INDEX($V$1:$V$178,MATCH(W57,$A$1:$A$178,0)),""))</f>
        <v>1515.30671231234</v>
      </c>
      <c r="Y57" s="8" t="n">
        <f aca="false">IF(OR(X57="",V57=""),"",V57/X57)</f>
        <v>0.494949302280532</v>
      </c>
      <c r="Z57" s="10"/>
      <c r="AA57" s="9" t="str">
        <f aca="false">IF(Z57="","",IFERROR(INDEX($V$1:$V$178,MATCH(Z57,$A$1:$A$178,0)),""))</f>
        <v/>
      </c>
      <c r="AB57" s="8" t="str">
        <f aca="false">IF(OR(AA57="",V57=""),"",V57/AA57)</f>
        <v/>
      </c>
      <c r="AC57" s="3" t="s">
        <v>543</v>
      </c>
      <c r="AD57" s="3" t="s">
        <v>544</v>
      </c>
      <c r="AE57" s="10" t="s">
        <v>275</v>
      </c>
      <c r="AF57" s="7" t="s">
        <v>81</v>
      </c>
      <c r="AG57" s="3" t="s">
        <v>519</v>
      </c>
    </row>
    <row r="58" customFormat="false" ht="35.05" hidden="false" customHeight="false" outlineLevel="0" collapsed="false">
      <c r="A58" s="13" t="s">
        <v>545</v>
      </c>
      <c r="B58" s="3" t="s">
        <v>50</v>
      </c>
      <c r="C58" s="3" t="s">
        <v>508</v>
      </c>
      <c r="D58" s="3" t="s">
        <v>261</v>
      </c>
      <c r="E58" s="3" t="s">
        <v>348</v>
      </c>
      <c r="F58" s="3" t="s">
        <v>509</v>
      </c>
      <c r="G58" s="3" t="s">
        <v>264</v>
      </c>
      <c r="H58" s="3" t="s">
        <v>265</v>
      </c>
      <c r="I58" s="3" t="s">
        <v>510</v>
      </c>
      <c r="J58" s="14" t="n">
        <v>900</v>
      </c>
      <c r="K58" s="10" t="s">
        <v>267</v>
      </c>
      <c r="L58" s="10" t="s">
        <v>268</v>
      </c>
      <c r="M58" s="15" t="n">
        <v>1</v>
      </c>
      <c r="N58" s="10" t="s">
        <v>546</v>
      </c>
      <c r="O58" s="16" t="n">
        <f aca="false">IF(K58="USD",1,INDEX(Change_periodes!$D$1:$N$400,MATCH($N58,Change_periodes!$A$1:$A$400,0),MATCH($K58,Change_periodes!$D$1:$N$1,0)))</f>
        <v>605.090100488553</v>
      </c>
      <c r="P58" s="3" t="s">
        <v>270</v>
      </c>
      <c r="Q58" s="17" t="n">
        <f aca="false">INDEX(Change_periodes!$D$1:$D$400,MATCH($N58,Change_periodes!$A$1:$A$400,0))</f>
        <v>605.090100488553</v>
      </c>
      <c r="R58" s="18" t="n">
        <f aca="false">IFERROR(J58/M58/O58,"")</f>
        <v>1.48738179532823</v>
      </c>
      <c r="S58" s="9" t="n">
        <f aca="false">IFERROR(R58*Q58,"")</f>
        <v>900</v>
      </c>
      <c r="T58" s="19" t="n">
        <v>1</v>
      </c>
      <c r="U58" s="3" t="s">
        <v>271</v>
      </c>
      <c r="V58" s="9" t="n">
        <f aca="false">IFERROR(S58/T58,"")</f>
        <v>900</v>
      </c>
      <c r="W58" s="10" t="s">
        <v>547</v>
      </c>
      <c r="X58" s="9" t="n">
        <f aca="false">IF(W58="","",IFERROR(INDEX($V$1:$V$178,MATCH(W58,$A$1:$A$178,0)),""))</f>
        <v>2328.86402192089</v>
      </c>
      <c r="Y58" s="8" t="n">
        <f aca="false">IF(OR(X58="",V58=""),"",V58/X58)</f>
        <v>0.386454508090028</v>
      </c>
      <c r="Z58" s="10"/>
      <c r="AA58" s="9" t="str">
        <f aca="false">IF(Z58="","",IFERROR(INDEX($V$1:$V$178,MATCH(Z58,$A$1:$A$178,0)),""))</f>
        <v/>
      </c>
      <c r="AB58" s="8" t="str">
        <f aca="false">IF(OR(AA58="",V58=""),"",V58/AA58)</f>
        <v/>
      </c>
      <c r="AC58" s="3" t="s">
        <v>548</v>
      </c>
      <c r="AD58" s="3" t="s">
        <v>549</v>
      </c>
      <c r="AE58" s="10" t="s">
        <v>275</v>
      </c>
      <c r="AF58" s="7" t="s">
        <v>81</v>
      </c>
      <c r="AG58" s="3" t="s">
        <v>519</v>
      </c>
    </row>
    <row r="59" customFormat="false" ht="35.05" hidden="false" customHeight="false" outlineLevel="0" collapsed="false">
      <c r="A59" s="13" t="s">
        <v>550</v>
      </c>
      <c r="B59" s="3" t="s">
        <v>50</v>
      </c>
      <c r="C59" s="3" t="s">
        <v>508</v>
      </c>
      <c r="D59" s="3" t="s">
        <v>261</v>
      </c>
      <c r="E59" s="3" t="s">
        <v>359</v>
      </c>
      <c r="F59" s="3" t="s">
        <v>509</v>
      </c>
      <c r="G59" s="3" t="s">
        <v>264</v>
      </c>
      <c r="H59" s="3" t="s">
        <v>265</v>
      </c>
      <c r="I59" s="3" t="s">
        <v>510</v>
      </c>
      <c r="J59" s="14" t="n">
        <v>1500</v>
      </c>
      <c r="K59" s="10" t="s">
        <v>267</v>
      </c>
      <c r="L59" s="10" t="s">
        <v>268</v>
      </c>
      <c r="M59" s="15" t="n">
        <v>1</v>
      </c>
      <c r="N59" s="10" t="s">
        <v>551</v>
      </c>
      <c r="O59" s="16" t="n">
        <f aca="false">IF(K59="USD",1,INDEX(Change_periodes!$D$1:$N$400,MATCH($N59,Change_periodes!$A$1:$A$400,0),MATCH($K59,Change_periodes!$D$1:$N$1,0)))</f>
        <v>594.675012656066</v>
      </c>
      <c r="P59" s="3" t="s">
        <v>270</v>
      </c>
      <c r="Q59" s="17" t="n">
        <f aca="false">INDEX(Change_periodes!$D$1:$D$400,MATCH($N59,Change_periodes!$A$1:$A$400,0))</f>
        <v>594.675012656066</v>
      </c>
      <c r="R59" s="18" t="n">
        <f aca="false">IFERROR(J59/M59/O59,"")</f>
        <v>2.52238612364151</v>
      </c>
      <c r="S59" s="9" t="n">
        <f aca="false">IFERROR(R59*Q59,"")</f>
        <v>1500</v>
      </c>
      <c r="T59" s="19" t="n">
        <v>1</v>
      </c>
      <c r="U59" s="3" t="s">
        <v>271</v>
      </c>
      <c r="V59" s="9" t="n">
        <f aca="false">IFERROR(S59/T59,"")</f>
        <v>1500</v>
      </c>
      <c r="W59" s="10" t="s">
        <v>552</v>
      </c>
      <c r="X59" s="9" t="n">
        <f aca="false">IF(W59="","",IFERROR(INDEX($V$1:$V$178,MATCH(W59,$A$1:$A$178,0)),""))</f>
        <v>2960.09269953515</v>
      </c>
      <c r="Y59" s="8" t="n">
        <f aca="false">IF(OR(X59="",V59=""),"",V59/X59)</f>
        <v>0.506740886944371</v>
      </c>
      <c r="Z59" s="10"/>
      <c r="AA59" s="9" t="str">
        <f aca="false">IF(Z59="","",IFERROR(INDEX($V$1:$V$178,MATCH(Z59,$A$1:$A$178,0)),""))</f>
        <v/>
      </c>
      <c r="AB59" s="8" t="str">
        <f aca="false">IF(OR(AA59="",V59=""),"",V59/AA59)</f>
        <v/>
      </c>
      <c r="AC59" s="3" t="s">
        <v>553</v>
      </c>
      <c r="AD59" s="3" t="s">
        <v>554</v>
      </c>
      <c r="AE59" s="10" t="s">
        <v>275</v>
      </c>
      <c r="AF59" s="7" t="s">
        <v>81</v>
      </c>
      <c r="AG59" s="3" t="s">
        <v>519</v>
      </c>
    </row>
    <row r="60" customFormat="false" ht="35.05" hidden="false" customHeight="false" outlineLevel="0" collapsed="false">
      <c r="A60" s="13" t="s">
        <v>132</v>
      </c>
      <c r="B60" s="3" t="s">
        <v>50</v>
      </c>
      <c r="C60" s="3" t="s">
        <v>508</v>
      </c>
      <c r="D60" s="3" t="s">
        <v>261</v>
      </c>
      <c r="E60" s="3" t="s">
        <v>369</v>
      </c>
      <c r="F60" s="3" t="s">
        <v>509</v>
      </c>
      <c r="G60" s="3" t="s">
        <v>264</v>
      </c>
      <c r="H60" s="3" t="s">
        <v>265</v>
      </c>
      <c r="I60" s="3" t="s">
        <v>510</v>
      </c>
      <c r="J60" s="14" t="n">
        <v>1700</v>
      </c>
      <c r="K60" s="10" t="s">
        <v>267</v>
      </c>
      <c r="L60" s="10" t="s">
        <v>268</v>
      </c>
      <c r="M60" s="15" t="n">
        <v>1</v>
      </c>
      <c r="N60" s="10" t="s">
        <v>555</v>
      </c>
      <c r="O60" s="16" t="n">
        <f aca="false">IF(K60="USD",1,INDEX(Change_periodes!$D$1:$N$400,MATCH($N60,Change_periodes!$A$1:$A$400,0),MATCH($K60,Change_periodes!$D$1:$N$1,0)))</f>
        <v>564.175952846894</v>
      </c>
      <c r="P60" s="3" t="s">
        <v>270</v>
      </c>
      <c r="Q60" s="17" t="n">
        <f aca="false">INDEX(Change_periodes!$D$1:$D$400,MATCH($N60,Change_periodes!$A$1:$A$400,0))</f>
        <v>564.175952846894</v>
      </c>
      <c r="R60" s="18" t="n">
        <f aca="false">IFERROR(J60/M60/O60,"")</f>
        <v>3.01324434588467</v>
      </c>
      <c r="S60" s="9" t="n">
        <f aca="false">IFERROR(R60*Q60,"")</f>
        <v>1700</v>
      </c>
      <c r="T60" s="19" t="n">
        <v>1</v>
      </c>
      <c r="U60" s="3" t="s">
        <v>271</v>
      </c>
      <c r="V60" s="9" t="n">
        <f aca="false">IFERROR(S60/T60,"")</f>
        <v>1700</v>
      </c>
      <c r="W60" s="10" t="s">
        <v>556</v>
      </c>
      <c r="X60" s="9" t="n">
        <f aca="false">IF(W60="","",IFERROR(INDEX($V$1:$V$178,MATCH(W60,$A$1:$A$178,0)),""))</f>
        <v>2301.71380160331</v>
      </c>
      <c r="Y60" s="8" t="n">
        <f aca="false">IF(OR(X60="",V60=""),"",V60/X60)</f>
        <v>0.738580095759876</v>
      </c>
      <c r="Z60" s="10"/>
      <c r="AA60" s="9" t="str">
        <f aca="false">IF(Z60="","",IFERROR(INDEX($V$1:$V$178,MATCH(Z60,$A$1:$A$178,0)),""))</f>
        <v/>
      </c>
      <c r="AB60" s="8" t="str">
        <f aca="false">IF(OR(AA60="",V60=""),"",V60/AA60)</f>
        <v/>
      </c>
      <c r="AC60" s="3" t="s">
        <v>372</v>
      </c>
      <c r="AD60" s="3" t="s">
        <v>373</v>
      </c>
      <c r="AE60" s="10" t="s">
        <v>275</v>
      </c>
      <c r="AF60" s="7" t="s">
        <v>81</v>
      </c>
      <c r="AG60" s="3" t="s">
        <v>519</v>
      </c>
    </row>
    <row r="61" customFormat="false" ht="35.05" hidden="false" customHeight="false" outlineLevel="0" collapsed="false">
      <c r="A61" s="13" t="s">
        <v>128</v>
      </c>
      <c r="B61" s="3" t="s">
        <v>50</v>
      </c>
      <c r="C61" s="3" t="s">
        <v>508</v>
      </c>
      <c r="D61" s="3" t="s">
        <v>261</v>
      </c>
      <c r="E61" s="3" t="s">
        <v>431</v>
      </c>
      <c r="F61" s="3" t="s">
        <v>557</v>
      </c>
      <c r="G61" s="3" t="s">
        <v>264</v>
      </c>
      <c r="H61" s="3" t="s">
        <v>265</v>
      </c>
      <c r="I61" s="3" t="s">
        <v>510</v>
      </c>
      <c r="J61" s="14" t="n">
        <v>1300</v>
      </c>
      <c r="K61" s="10" t="s">
        <v>267</v>
      </c>
      <c r="L61" s="10" t="s">
        <v>268</v>
      </c>
      <c r="M61" s="15" t="n">
        <v>1</v>
      </c>
      <c r="N61" s="10" t="s">
        <v>434</v>
      </c>
      <c r="O61" s="16" t="n">
        <f aca="false">IF(K61="USD",1,INDEX(Change_periodes!$D$1:$N$400,MATCH($N61,Change_periodes!$A$1:$A$400,0),MATCH($K61,Change_periodes!$D$1:$N$1,0)))</f>
        <v>565.226794885052</v>
      </c>
      <c r="P61" s="3" t="s">
        <v>270</v>
      </c>
      <c r="Q61" s="17" t="n">
        <f aca="false">INDEX(Change_periodes!$D$1:$D$400,MATCH($N61,Change_periodes!$A$1:$A$400,0))</f>
        <v>565.226794885052</v>
      </c>
      <c r="R61" s="18" t="n">
        <f aca="false">IFERROR(J61/M61/O61,"")</f>
        <v>2.29996173529667</v>
      </c>
      <c r="S61" s="9" t="n">
        <f aca="false">IFERROR(R61*Q61,"")</f>
        <v>1300</v>
      </c>
      <c r="T61" s="19" t="n">
        <v>1</v>
      </c>
      <c r="U61" s="3" t="s">
        <v>271</v>
      </c>
      <c r="V61" s="9" t="n">
        <f aca="false">IFERROR(S61/T61,"")</f>
        <v>1300</v>
      </c>
      <c r="W61" s="10" t="s">
        <v>558</v>
      </c>
      <c r="X61" s="9" t="n">
        <f aca="false">IF(W61="","",IFERROR(INDEX($V$1:$V$178,MATCH(W61,$A$1:$A$178,0)),""))</f>
        <v>2253.19829443069</v>
      </c>
      <c r="Y61" s="8" t="n">
        <f aca="false">IF(OR(X61="",V61=""),"",V61/X61)</f>
        <v>0.576957653133884</v>
      </c>
      <c r="Z61" s="10"/>
      <c r="AA61" s="9" t="str">
        <f aca="false">IF(Z61="","",IFERROR(INDEX($V$1:$V$178,MATCH(Z61,$A$1:$A$178,0)),""))</f>
        <v/>
      </c>
      <c r="AB61" s="8" t="str">
        <f aca="false">IF(OR(AA61="",V61=""),"",V61/AA61)</f>
        <v/>
      </c>
      <c r="AC61" s="3" t="s">
        <v>436</v>
      </c>
      <c r="AD61" s="3" t="s">
        <v>437</v>
      </c>
      <c r="AE61" s="10" t="s">
        <v>275</v>
      </c>
      <c r="AF61" s="7" t="s">
        <v>401</v>
      </c>
      <c r="AG61" s="3"/>
    </row>
    <row r="62" customFormat="false" ht="35.05" hidden="false" customHeight="false" outlineLevel="0" collapsed="false">
      <c r="A62" s="13" t="s">
        <v>133</v>
      </c>
      <c r="B62" s="3" t="s">
        <v>50</v>
      </c>
      <c r="C62" s="3" t="s">
        <v>559</v>
      </c>
      <c r="D62" s="3" t="s">
        <v>560</v>
      </c>
      <c r="E62" s="3" t="s">
        <v>369</v>
      </c>
      <c r="F62" s="3" t="s">
        <v>561</v>
      </c>
      <c r="G62" s="3" t="s">
        <v>562</v>
      </c>
      <c r="H62" s="3" t="s">
        <v>265</v>
      </c>
      <c r="I62" s="3" t="s">
        <v>563</v>
      </c>
      <c r="J62" s="14" t="n">
        <v>11500</v>
      </c>
      <c r="K62" s="10" t="s">
        <v>564</v>
      </c>
      <c r="L62" s="10" t="s">
        <v>268</v>
      </c>
      <c r="M62" s="15" t="n">
        <v>1</v>
      </c>
      <c r="N62" s="10" t="s">
        <v>565</v>
      </c>
      <c r="O62" s="16" t="n">
        <f aca="false">IF(K62="USD",1,INDEX(Change_periodes!$D$1:$N$400,MATCH($N62,Change_periodes!$A$1:$A$400,0),MATCH($K62,Change_periodes!$D$1:$N$1,0)))</f>
        <v>3678.495</v>
      </c>
      <c r="P62" s="3" t="s">
        <v>566</v>
      </c>
      <c r="Q62" s="17" t="n">
        <f aca="false">INDEX(Change_periodes!$D$1:$D$400,MATCH($N62,Change_periodes!$A$1:$A$400,0))</f>
        <v>574.519946608183</v>
      </c>
      <c r="R62" s="18" t="n">
        <f aca="false">IFERROR(J62/M62/O62,"")</f>
        <v>3.12627854598144</v>
      </c>
      <c r="S62" s="9" t="n">
        <f aca="false">IFERROR(R62*Q62,"")</f>
        <v>1796.10938331957</v>
      </c>
      <c r="T62" s="19" t="n">
        <v>1</v>
      </c>
      <c r="U62" s="3" t="s">
        <v>271</v>
      </c>
      <c r="V62" s="9" t="n">
        <f aca="false">IFERROR(S62/T62,"")</f>
        <v>1796.10938331957</v>
      </c>
      <c r="W62" s="10" t="s">
        <v>567</v>
      </c>
      <c r="X62" s="9" t="n">
        <f aca="false">IF(W62="","",IFERROR(INDEX($V$1:$V$178,MATCH(W62,$A$1:$A$178,0)),""))</f>
        <v>2346.11978045776</v>
      </c>
      <c r="Y62" s="8" t="n">
        <f aca="false">IF(OR(X62="",V62=""),"",V62/X62)</f>
        <v>0.765565934987822</v>
      </c>
      <c r="Z62" s="10"/>
      <c r="AA62" s="9" t="str">
        <f aca="false">IF(Z62="","",IFERROR(INDEX($V$1:$V$178,MATCH(Z62,$A$1:$A$178,0)),""))</f>
        <v/>
      </c>
      <c r="AB62" s="8" t="str">
        <f aca="false">IF(OR(AA62="",V62=""),"",V62/AA62)</f>
        <v/>
      </c>
      <c r="AC62" s="3" t="s">
        <v>568</v>
      </c>
      <c r="AD62" s="3" t="s">
        <v>569</v>
      </c>
      <c r="AE62" s="10" t="s">
        <v>275</v>
      </c>
      <c r="AF62" s="7" t="s">
        <v>401</v>
      </c>
      <c r="AG62" s="3" t="s">
        <v>570</v>
      </c>
    </row>
    <row r="63" customFormat="false" ht="35.05" hidden="false" customHeight="false" outlineLevel="0" collapsed="false">
      <c r="A63" s="13" t="s">
        <v>129</v>
      </c>
      <c r="B63" s="3" t="s">
        <v>50</v>
      </c>
      <c r="C63" s="3" t="s">
        <v>571</v>
      </c>
      <c r="D63" s="3" t="s">
        <v>572</v>
      </c>
      <c r="E63" s="3" t="s">
        <v>369</v>
      </c>
      <c r="F63" s="3" t="s">
        <v>573</v>
      </c>
      <c r="G63" s="3" t="s">
        <v>574</v>
      </c>
      <c r="H63" s="3" t="s">
        <v>575</v>
      </c>
      <c r="I63" s="3" t="s">
        <v>576</v>
      </c>
      <c r="J63" s="14" t="n">
        <v>93600</v>
      </c>
      <c r="K63" s="10" t="s">
        <v>577</v>
      </c>
      <c r="L63" s="10" t="s">
        <v>268</v>
      </c>
      <c r="M63" s="15" t="n">
        <v>1</v>
      </c>
      <c r="N63" s="10" t="s">
        <v>434</v>
      </c>
      <c r="O63" s="16" t="n">
        <f aca="false">IF(K63="USD",1,INDEX(Change_periodes!$D$1:$N$400,MATCH($N63,Change_periodes!$A$1:$A$400,0),MATCH($K63,Change_periodes!$D$1:$N$1,0)))</f>
        <v>25970</v>
      </c>
      <c r="P63" s="3" t="s">
        <v>578</v>
      </c>
      <c r="Q63" s="17" t="n">
        <f aca="false">INDEX(Change_periodes!$D$1:$D$400,MATCH($N63,Change_periodes!$A$1:$A$400,0))</f>
        <v>565.226794885052</v>
      </c>
      <c r="R63" s="18" t="n">
        <f aca="false">IFERROR(J63/M63/O63,"")</f>
        <v>3.60415864458991</v>
      </c>
      <c r="S63" s="9" t="n">
        <f aca="false">IFERROR(R63*Q63,"")</f>
        <v>2037.16703893881</v>
      </c>
      <c r="T63" s="19" t="n">
        <v>1</v>
      </c>
      <c r="U63" s="3" t="s">
        <v>271</v>
      </c>
      <c r="V63" s="9" t="n">
        <f aca="false">IFERROR(S63/T63,"")</f>
        <v>2037.16703893881</v>
      </c>
      <c r="W63" s="10" t="s">
        <v>558</v>
      </c>
      <c r="X63" s="9" t="n">
        <f aca="false">IF(W63="","",IFERROR(INDEX($V$1:$V$178,MATCH(W63,$A$1:$A$178,0)),""))</f>
        <v>2253.19829443069</v>
      </c>
      <c r="Y63" s="8" t="n">
        <f aca="false">IF(OR(X63="",V63=""),"",V63/X63)</f>
        <v>0.904122395252183</v>
      </c>
      <c r="Z63" s="10"/>
      <c r="AA63" s="9" t="str">
        <f aca="false">IF(Z63="","",IFERROR(INDEX($V$1:$V$178,MATCH(Z63,$A$1:$A$178,0)),""))</f>
        <v/>
      </c>
      <c r="AB63" s="8" t="str">
        <f aca="false">IF(OR(AA63="",V63=""),"",V63/AA63)</f>
        <v/>
      </c>
      <c r="AC63" s="3" t="s">
        <v>579</v>
      </c>
      <c r="AD63" s="3" t="s">
        <v>580</v>
      </c>
      <c r="AE63" s="10" t="s">
        <v>275</v>
      </c>
      <c r="AF63" s="7" t="s">
        <v>81</v>
      </c>
      <c r="AG63" s="3" t="s">
        <v>581</v>
      </c>
    </row>
    <row r="64" customFormat="false" ht="23.85" hidden="false" customHeight="false" outlineLevel="0" collapsed="false">
      <c r="A64" s="13" t="s">
        <v>582</v>
      </c>
      <c r="B64" s="3" t="s">
        <v>55</v>
      </c>
      <c r="C64" s="3" t="s">
        <v>583</v>
      </c>
      <c r="D64" s="3" t="s">
        <v>261</v>
      </c>
      <c r="E64" s="3" t="s">
        <v>584</v>
      </c>
      <c r="F64" s="3" t="s">
        <v>585</v>
      </c>
      <c r="G64" s="3" t="s">
        <v>586</v>
      </c>
      <c r="H64" s="3" t="s">
        <v>265</v>
      </c>
      <c r="I64" s="3" t="s">
        <v>587</v>
      </c>
      <c r="J64" s="14" t="n">
        <v>350</v>
      </c>
      <c r="K64" s="10" t="s">
        <v>267</v>
      </c>
      <c r="L64" s="10" t="s">
        <v>268</v>
      </c>
      <c r="M64" s="15" t="n">
        <v>1</v>
      </c>
      <c r="N64" s="10" t="s">
        <v>588</v>
      </c>
      <c r="O64" s="16" t="n">
        <f aca="false">IF(K64="USD",1,INDEX(Change_periodes!$D$1:$N$400,MATCH($N64,Change_periodes!$A$1:$A$400,0),MATCH($K64,Change_periodes!$D$1:$N$1,0)))</f>
        <v>586.251509593168</v>
      </c>
      <c r="P64" s="3" t="s">
        <v>270</v>
      </c>
      <c r="Q64" s="17" t="n">
        <f aca="false">INDEX(Change_periodes!$D$1:$D$400,MATCH($N64,Change_periodes!$A$1:$A$400,0))</f>
        <v>586.251509593168</v>
      </c>
      <c r="R64" s="18" t="n">
        <f aca="false">IFERROR(J64/M64/O64,"")</f>
        <v>0.597013388064253</v>
      </c>
      <c r="S64" s="9" t="n">
        <f aca="false">IFERROR(R64*Q64,"")</f>
        <v>350</v>
      </c>
      <c r="T64" s="19" t="n">
        <v>1</v>
      </c>
      <c r="U64" s="3" t="s">
        <v>271</v>
      </c>
      <c r="V64" s="9" t="n">
        <f aca="false">IFERROR(S64/T64,"")</f>
        <v>350</v>
      </c>
      <c r="W64" s="10"/>
      <c r="X64" s="9" t="str">
        <f aca="false">IF(W64="","",IFERROR(INDEX($V$1:$V$178,MATCH(W64,$A$1:$A$178,0)),""))</f>
        <v/>
      </c>
      <c r="Y64" s="8" t="str">
        <f aca="false">IF(OR(X64="",V64=""),"",V64/X64)</f>
        <v/>
      </c>
      <c r="Z64" s="10"/>
      <c r="AA64" s="9" t="str">
        <f aca="false">IF(Z64="","",IFERROR(INDEX($V$1:$V$178,MATCH(Z64,$A$1:$A$178,0)),""))</f>
        <v/>
      </c>
      <c r="AB64" s="8" t="str">
        <f aca="false">IF(OR(AA64="",V64=""),"",V64/AA64)</f>
        <v/>
      </c>
      <c r="AC64" s="3" t="s">
        <v>589</v>
      </c>
      <c r="AD64" s="3" t="s">
        <v>590</v>
      </c>
      <c r="AE64" s="10" t="s">
        <v>275</v>
      </c>
      <c r="AF64" s="7" t="s">
        <v>81</v>
      </c>
      <c r="AG64" s="3" t="s">
        <v>591</v>
      </c>
    </row>
    <row r="65" customFormat="false" ht="35.05" hidden="false" customHeight="false" outlineLevel="0" collapsed="false">
      <c r="A65" s="13" t="s">
        <v>592</v>
      </c>
      <c r="B65" s="3" t="s">
        <v>55</v>
      </c>
      <c r="C65" s="3" t="s">
        <v>583</v>
      </c>
      <c r="D65" s="3" t="s">
        <v>261</v>
      </c>
      <c r="E65" s="3" t="s">
        <v>593</v>
      </c>
      <c r="F65" s="3" t="s">
        <v>585</v>
      </c>
      <c r="G65" s="3" t="s">
        <v>586</v>
      </c>
      <c r="H65" s="3" t="s">
        <v>265</v>
      </c>
      <c r="I65" s="3" t="s">
        <v>587</v>
      </c>
      <c r="J65" s="14" t="n">
        <v>440</v>
      </c>
      <c r="K65" s="10" t="s">
        <v>267</v>
      </c>
      <c r="L65" s="10" t="s">
        <v>268</v>
      </c>
      <c r="M65" s="15" t="n">
        <v>1</v>
      </c>
      <c r="N65" s="10" t="s">
        <v>594</v>
      </c>
      <c r="O65" s="16" t="n">
        <f aca="false">IF(K65="USD",1,INDEX(Change_periodes!$D$1:$N$400,MATCH($N65,Change_periodes!$A$1:$A$400,0),MATCH($K65,Change_periodes!$D$1:$N$1,0)))</f>
        <v>598.204322464564</v>
      </c>
      <c r="P65" s="3" t="s">
        <v>270</v>
      </c>
      <c r="Q65" s="17" t="n">
        <f aca="false">INDEX(Change_periodes!$D$1:$D$400,MATCH($N65,Change_periodes!$A$1:$A$400,0))</f>
        <v>598.204322464564</v>
      </c>
      <c r="R65" s="18" t="n">
        <f aca="false">IFERROR(J65/M65/O65,"")</f>
        <v>0.735534638377784</v>
      </c>
      <c r="S65" s="9" t="n">
        <f aca="false">IFERROR(R65*Q65,"")</f>
        <v>440</v>
      </c>
      <c r="T65" s="19" t="n">
        <v>1</v>
      </c>
      <c r="U65" s="3" t="s">
        <v>271</v>
      </c>
      <c r="V65" s="9" t="n">
        <f aca="false">IFERROR(S65/T65,"")</f>
        <v>440</v>
      </c>
      <c r="W65" s="10"/>
      <c r="X65" s="9" t="str">
        <f aca="false">IF(W65="","",IFERROR(INDEX($V$1:$V$178,MATCH(W65,$A$1:$A$178,0)),""))</f>
        <v/>
      </c>
      <c r="Y65" s="8" t="str">
        <f aca="false">IF(OR(X65="",V65=""),"",V65/X65)</f>
        <v/>
      </c>
      <c r="Z65" s="10"/>
      <c r="AA65" s="9" t="str">
        <f aca="false">IF(Z65="","",IFERROR(INDEX($V$1:$V$178,MATCH(Z65,$A$1:$A$178,0)),""))</f>
        <v/>
      </c>
      <c r="AB65" s="8" t="str">
        <f aca="false">IF(OR(AA65="",V65=""),"",V65/AA65)</f>
        <v/>
      </c>
      <c r="AC65" s="3" t="s">
        <v>595</v>
      </c>
      <c r="AD65" s="3" t="s">
        <v>596</v>
      </c>
      <c r="AE65" s="10" t="s">
        <v>275</v>
      </c>
      <c r="AF65" s="7" t="s">
        <v>81</v>
      </c>
      <c r="AG65" s="3" t="s">
        <v>591</v>
      </c>
    </row>
    <row r="66" customFormat="false" ht="35.05" hidden="false" customHeight="false" outlineLevel="0" collapsed="false">
      <c r="A66" s="13" t="s">
        <v>597</v>
      </c>
      <c r="B66" s="3" t="s">
        <v>55</v>
      </c>
      <c r="C66" s="3" t="s">
        <v>583</v>
      </c>
      <c r="D66" s="3" t="s">
        <v>261</v>
      </c>
      <c r="E66" s="3" t="s">
        <v>598</v>
      </c>
      <c r="F66" s="3" t="s">
        <v>585</v>
      </c>
      <c r="G66" s="3" t="s">
        <v>586</v>
      </c>
      <c r="H66" s="3" t="s">
        <v>265</v>
      </c>
      <c r="I66" s="3" t="s">
        <v>587</v>
      </c>
      <c r="J66" s="14" t="n">
        <v>500</v>
      </c>
      <c r="K66" s="10" t="s">
        <v>267</v>
      </c>
      <c r="L66" s="10" t="s">
        <v>268</v>
      </c>
      <c r="M66" s="15" t="n">
        <v>1</v>
      </c>
      <c r="N66" s="10" t="s">
        <v>599</v>
      </c>
      <c r="O66" s="16" t="n">
        <f aca="false">IF(K66="USD",1,INDEX(Change_periodes!$D$1:$N$400,MATCH($N66,Change_periodes!$A$1:$A$400,0),MATCH($K66,Change_periodes!$D$1:$N$1,0)))</f>
        <v>545.939467388374</v>
      </c>
      <c r="P66" s="3" t="s">
        <v>270</v>
      </c>
      <c r="Q66" s="17" t="n">
        <f aca="false">INDEX(Change_periodes!$D$1:$D$400,MATCH($N66,Change_periodes!$A$1:$A$400,0))</f>
        <v>545.939467388374</v>
      </c>
      <c r="R66" s="18" t="n">
        <f aca="false">IFERROR(J66/M66/O66,"")</f>
        <v>0.915852452272527</v>
      </c>
      <c r="S66" s="9" t="n">
        <f aca="false">IFERROR(R66*Q66,"")</f>
        <v>500</v>
      </c>
      <c r="T66" s="19" t="n">
        <v>1</v>
      </c>
      <c r="U66" s="3" t="s">
        <v>271</v>
      </c>
      <c r="V66" s="9" t="n">
        <f aca="false">IFERROR(S66/T66,"")</f>
        <v>500</v>
      </c>
      <c r="W66" s="10"/>
      <c r="X66" s="9" t="str">
        <f aca="false">IF(W66="","",IFERROR(INDEX($V$1:$V$178,MATCH(W66,$A$1:$A$178,0)),""))</f>
        <v/>
      </c>
      <c r="Y66" s="8" t="str">
        <f aca="false">IF(OR(X66="",V66=""),"",V66/X66)</f>
        <v/>
      </c>
      <c r="Z66" s="10"/>
      <c r="AA66" s="9" t="str">
        <f aca="false">IF(Z66="","",IFERROR(INDEX($V$1:$V$178,MATCH(Z66,$A$1:$A$178,0)),""))</f>
        <v/>
      </c>
      <c r="AB66" s="8" t="str">
        <f aca="false">IF(OR(AA66="",V66=""),"",V66/AA66)</f>
        <v/>
      </c>
      <c r="AC66" s="3" t="s">
        <v>600</v>
      </c>
      <c r="AD66" s="3" t="s">
        <v>601</v>
      </c>
      <c r="AE66" s="10" t="s">
        <v>275</v>
      </c>
      <c r="AF66" s="7" t="s">
        <v>81</v>
      </c>
      <c r="AG66" s="3" t="s">
        <v>591</v>
      </c>
    </row>
    <row r="67" customFormat="false" ht="23.85" hidden="false" customHeight="false" outlineLevel="0" collapsed="false">
      <c r="A67" s="13" t="s">
        <v>602</v>
      </c>
      <c r="B67" s="3" t="s">
        <v>55</v>
      </c>
      <c r="C67" s="3" t="s">
        <v>583</v>
      </c>
      <c r="D67" s="3" t="s">
        <v>261</v>
      </c>
      <c r="E67" s="3" t="s">
        <v>603</v>
      </c>
      <c r="F67" s="3" t="s">
        <v>585</v>
      </c>
      <c r="G67" s="3" t="s">
        <v>586</v>
      </c>
      <c r="H67" s="3" t="s">
        <v>265</v>
      </c>
      <c r="I67" s="3" t="s">
        <v>587</v>
      </c>
      <c r="J67" s="14" t="n">
        <v>375</v>
      </c>
      <c r="K67" s="10" t="s">
        <v>267</v>
      </c>
      <c r="L67" s="10" t="s">
        <v>268</v>
      </c>
      <c r="M67" s="15" t="n">
        <v>1</v>
      </c>
      <c r="N67" s="10" t="s">
        <v>604</v>
      </c>
      <c r="O67" s="16" t="n">
        <f aca="false">IF(K67="USD",1,INDEX(Change_periodes!$D$1:$N$400,MATCH($N67,Change_periodes!$A$1:$A$400,0),MATCH($K67,Change_periodes!$D$1:$N$1,0)))</f>
        <v>582.326000094165</v>
      </c>
      <c r="P67" s="3" t="s">
        <v>270</v>
      </c>
      <c r="Q67" s="17" t="n">
        <f aca="false">INDEX(Change_periodes!$D$1:$D$400,MATCH($N67,Change_periodes!$A$1:$A$400,0))</f>
        <v>582.326000094165</v>
      </c>
      <c r="R67" s="18" t="n">
        <f aca="false">IFERROR(J67/M67/O67,"")</f>
        <v>0.643969185541021</v>
      </c>
      <c r="S67" s="9" t="n">
        <f aca="false">IFERROR(R67*Q67,"")</f>
        <v>375</v>
      </c>
      <c r="T67" s="19" t="n">
        <v>1</v>
      </c>
      <c r="U67" s="3" t="s">
        <v>271</v>
      </c>
      <c r="V67" s="9" t="n">
        <f aca="false">IFERROR(S67/T67,"")</f>
        <v>375</v>
      </c>
      <c r="W67" s="10"/>
      <c r="X67" s="9" t="str">
        <f aca="false">IF(W67="","",IFERROR(INDEX($V$1:$V$178,MATCH(W67,$A$1:$A$178,0)),""))</f>
        <v/>
      </c>
      <c r="Y67" s="8" t="str">
        <f aca="false">IF(OR(X67="",V67=""),"",V67/X67)</f>
        <v/>
      </c>
      <c r="Z67" s="10"/>
      <c r="AA67" s="9" t="str">
        <f aca="false">IF(Z67="","",IFERROR(INDEX($V$1:$V$178,MATCH(Z67,$A$1:$A$178,0)),""))</f>
        <v/>
      </c>
      <c r="AB67" s="8" t="str">
        <f aca="false">IF(OR(AA67="",V67=""),"",V67/AA67)</f>
        <v/>
      </c>
      <c r="AC67" s="3" t="s">
        <v>605</v>
      </c>
      <c r="AD67" s="3" t="s">
        <v>606</v>
      </c>
      <c r="AE67" s="10" t="s">
        <v>275</v>
      </c>
      <c r="AF67" s="7" t="s">
        <v>81</v>
      </c>
      <c r="AG67" s="3" t="s">
        <v>591</v>
      </c>
    </row>
    <row r="68" customFormat="false" ht="23.85" hidden="false" customHeight="false" outlineLevel="0" collapsed="false">
      <c r="A68" s="13" t="s">
        <v>607</v>
      </c>
      <c r="B68" s="3" t="s">
        <v>55</v>
      </c>
      <c r="C68" s="3" t="s">
        <v>583</v>
      </c>
      <c r="D68" s="3" t="s">
        <v>261</v>
      </c>
      <c r="E68" s="3" t="s">
        <v>608</v>
      </c>
      <c r="F68" s="3" t="s">
        <v>585</v>
      </c>
      <c r="G68" s="3" t="s">
        <v>586</v>
      </c>
      <c r="H68" s="3" t="s">
        <v>265</v>
      </c>
      <c r="I68" s="3" t="s">
        <v>587</v>
      </c>
      <c r="J68" s="14" t="n">
        <v>400</v>
      </c>
      <c r="K68" s="10" t="s">
        <v>267</v>
      </c>
      <c r="L68" s="10" t="s">
        <v>268</v>
      </c>
      <c r="M68" s="15" t="n">
        <v>1</v>
      </c>
      <c r="N68" s="10" t="s">
        <v>609</v>
      </c>
      <c r="O68" s="16" t="n">
        <f aca="false">IF(K68="USD",1,INDEX(Change_periodes!$D$1:$N$400,MATCH($N68,Change_periodes!$A$1:$A$400,0),MATCH($K68,Change_periodes!$D$1:$N$1,0)))</f>
        <v>592.513321654475</v>
      </c>
      <c r="P68" s="3" t="s">
        <v>270</v>
      </c>
      <c r="Q68" s="17" t="n">
        <f aca="false">INDEX(Change_periodes!$D$1:$D$400,MATCH($N68,Change_periodes!$A$1:$A$400,0))</f>
        <v>592.513321654475</v>
      </c>
      <c r="R68" s="18" t="n">
        <f aca="false">IFERROR(J68/M68/O68,"")</f>
        <v>0.675090306633242</v>
      </c>
      <c r="S68" s="9" t="n">
        <f aca="false">IFERROR(R68*Q68,"")</f>
        <v>400</v>
      </c>
      <c r="T68" s="19" t="n">
        <v>1</v>
      </c>
      <c r="U68" s="3" t="s">
        <v>271</v>
      </c>
      <c r="V68" s="9" t="n">
        <f aca="false">IFERROR(S68/T68,"")</f>
        <v>400</v>
      </c>
      <c r="W68" s="10"/>
      <c r="X68" s="9" t="str">
        <f aca="false">IF(W68="","",IFERROR(INDEX($V$1:$V$178,MATCH(W68,$A$1:$A$178,0)),""))</f>
        <v/>
      </c>
      <c r="Y68" s="8" t="str">
        <f aca="false">IF(OR(X68="",V68=""),"",V68/X68)</f>
        <v/>
      </c>
      <c r="Z68" s="10"/>
      <c r="AA68" s="9" t="str">
        <f aca="false">IF(Z68="","",IFERROR(INDEX($V$1:$V$178,MATCH(Z68,$A$1:$A$178,0)),""))</f>
        <v/>
      </c>
      <c r="AB68" s="8" t="str">
        <f aca="false">IF(OR(AA68="",V68=""),"",V68/AA68)</f>
        <v/>
      </c>
      <c r="AC68" s="3" t="s">
        <v>610</v>
      </c>
      <c r="AD68" s="3" t="s">
        <v>611</v>
      </c>
      <c r="AE68" s="10" t="s">
        <v>275</v>
      </c>
      <c r="AF68" s="7" t="s">
        <v>81</v>
      </c>
      <c r="AG68" s="3" t="s">
        <v>591</v>
      </c>
    </row>
    <row r="69" customFormat="false" ht="35.05" hidden="false" customHeight="false" outlineLevel="0" collapsed="false">
      <c r="A69" s="13" t="s">
        <v>612</v>
      </c>
      <c r="B69" s="3" t="s">
        <v>55</v>
      </c>
      <c r="C69" s="3" t="s">
        <v>583</v>
      </c>
      <c r="D69" s="3" t="s">
        <v>261</v>
      </c>
      <c r="E69" s="3" t="s">
        <v>613</v>
      </c>
      <c r="F69" s="3" t="s">
        <v>585</v>
      </c>
      <c r="G69" s="3" t="s">
        <v>586</v>
      </c>
      <c r="H69" s="3" t="s">
        <v>265</v>
      </c>
      <c r="I69" s="3" t="s">
        <v>587</v>
      </c>
      <c r="J69" s="14" t="n">
        <v>305</v>
      </c>
      <c r="K69" s="10" t="s">
        <v>267</v>
      </c>
      <c r="L69" s="10" t="s">
        <v>268</v>
      </c>
      <c r="M69" s="15" t="n">
        <v>1</v>
      </c>
      <c r="N69" s="10" t="s">
        <v>614</v>
      </c>
      <c r="O69" s="16" t="n">
        <f aca="false">IF(K69="USD",1,INDEX(Change_periodes!$D$1:$N$400,MATCH($N69,Change_periodes!$A$1:$A$400,0),MATCH($K69,Change_periodes!$D$1:$N$1,0)))</f>
        <v>546.747802295345</v>
      </c>
      <c r="P69" s="3" t="s">
        <v>270</v>
      </c>
      <c r="Q69" s="17" t="n">
        <f aca="false">INDEX(Change_periodes!$D$1:$D$400,MATCH($N69,Change_periodes!$A$1:$A$400,0))</f>
        <v>546.747802295345</v>
      </c>
      <c r="R69" s="18" t="n">
        <f aca="false">IFERROR(J69/M69/O69,"")</f>
        <v>0.557844034707694</v>
      </c>
      <c r="S69" s="9" t="n">
        <f aca="false">IFERROR(R69*Q69,"")</f>
        <v>305</v>
      </c>
      <c r="T69" s="19" t="n">
        <v>1</v>
      </c>
      <c r="U69" s="3" t="s">
        <v>271</v>
      </c>
      <c r="V69" s="9" t="n">
        <f aca="false">IFERROR(S69/T69,"")</f>
        <v>305</v>
      </c>
      <c r="W69" s="10"/>
      <c r="X69" s="9" t="str">
        <f aca="false">IF(W69="","",IFERROR(INDEX($V$1:$V$178,MATCH(W69,$A$1:$A$178,0)),""))</f>
        <v/>
      </c>
      <c r="Y69" s="8" t="str">
        <f aca="false">IF(OR(X69="",V69=""),"",V69/X69)</f>
        <v/>
      </c>
      <c r="Z69" s="10"/>
      <c r="AA69" s="9" t="str">
        <f aca="false">IF(Z69="","",IFERROR(INDEX($V$1:$V$178,MATCH(Z69,$A$1:$A$178,0)),""))</f>
        <v/>
      </c>
      <c r="AB69" s="8" t="str">
        <f aca="false">IF(OR(AA69="",V69=""),"",V69/AA69)</f>
        <v/>
      </c>
      <c r="AC69" s="3" t="s">
        <v>615</v>
      </c>
      <c r="AD69" s="3" t="s">
        <v>616</v>
      </c>
      <c r="AE69" s="10" t="s">
        <v>275</v>
      </c>
      <c r="AF69" s="7" t="s">
        <v>81</v>
      </c>
      <c r="AG69" s="3" t="s">
        <v>591</v>
      </c>
    </row>
    <row r="70" customFormat="false" ht="35.05" hidden="false" customHeight="false" outlineLevel="0" collapsed="false">
      <c r="A70" s="13" t="s">
        <v>617</v>
      </c>
      <c r="B70" s="3" t="s">
        <v>55</v>
      </c>
      <c r="C70" s="3" t="s">
        <v>583</v>
      </c>
      <c r="D70" s="3" t="s">
        <v>261</v>
      </c>
      <c r="E70" s="3" t="s">
        <v>618</v>
      </c>
      <c r="F70" s="3" t="s">
        <v>585</v>
      </c>
      <c r="G70" s="3" t="s">
        <v>586</v>
      </c>
      <c r="H70" s="3" t="s">
        <v>265</v>
      </c>
      <c r="I70" s="3" t="s">
        <v>587</v>
      </c>
      <c r="J70" s="14" t="n">
        <v>305</v>
      </c>
      <c r="K70" s="10" t="s">
        <v>267</v>
      </c>
      <c r="L70" s="10" t="s">
        <v>268</v>
      </c>
      <c r="M70" s="15" t="n">
        <v>1</v>
      </c>
      <c r="N70" s="10" t="s">
        <v>619</v>
      </c>
      <c r="O70" s="16" t="n">
        <f aca="false">IF(K70="USD",1,INDEX(Change_periodes!$D$1:$N$400,MATCH($N70,Change_periodes!$A$1:$A$400,0),MATCH($K70,Change_periodes!$D$1:$N$1,0)))</f>
        <v>610.884152191362</v>
      </c>
      <c r="P70" s="3" t="s">
        <v>270</v>
      </c>
      <c r="Q70" s="17" t="n">
        <f aca="false">INDEX(Change_periodes!$D$1:$D$400,MATCH($N70,Change_periodes!$A$1:$A$400,0))</f>
        <v>610.884152191362</v>
      </c>
      <c r="R70" s="18" t="n">
        <f aca="false">IFERROR(J70/M70/O70,"")</f>
        <v>0.49927633399214</v>
      </c>
      <c r="S70" s="9" t="n">
        <f aca="false">IFERROR(R70*Q70,"")</f>
        <v>305</v>
      </c>
      <c r="T70" s="19" t="n">
        <v>1</v>
      </c>
      <c r="U70" s="3" t="s">
        <v>271</v>
      </c>
      <c r="V70" s="9" t="n">
        <f aca="false">IFERROR(S70/T70,"")</f>
        <v>305</v>
      </c>
      <c r="W70" s="10"/>
      <c r="X70" s="9" t="str">
        <f aca="false">IF(W70="","",IFERROR(INDEX($V$1:$V$178,MATCH(W70,$A$1:$A$178,0)),""))</f>
        <v/>
      </c>
      <c r="Y70" s="8" t="str">
        <f aca="false">IF(OR(X70="",V70=""),"",V70/X70)</f>
        <v/>
      </c>
      <c r="Z70" s="10"/>
      <c r="AA70" s="9" t="str">
        <f aca="false">IF(Z70="","",IFERROR(INDEX($V$1:$V$178,MATCH(Z70,$A$1:$A$178,0)),""))</f>
        <v/>
      </c>
      <c r="AB70" s="8" t="str">
        <f aca="false">IF(OR(AA70="",V70=""),"",V70/AA70)</f>
        <v/>
      </c>
      <c r="AC70" s="3" t="s">
        <v>615</v>
      </c>
      <c r="AD70" s="3" t="s">
        <v>616</v>
      </c>
      <c r="AE70" s="10" t="s">
        <v>275</v>
      </c>
      <c r="AF70" s="7" t="s">
        <v>81</v>
      </c>
      <c r="AG70" s="3" t="s">
        <v>591</v>
      </c>
    </row>
    <row r="71" customFormat="false" ht="23.85" hidden="false" customHeight="false" outlineLevel="0" collapsed="false">
      <c r="A71" s="13" t="s">
        <v>620</v>
      </c>
      <c r="B71" s="3" t="s">
        <v>55</v>
      </c>
      <c r="C71" s="3" t="s">
        <v>583</v>
      </c>
      <c r="D71" s="3" t="s">
        <v>261</v>
      </c>
      <c r="E71" s="3" t="s">
        <v>621</v>
      </c>
      <c r="F71" s="3" t="s">
        <v>585</v>
      </c>
      <c r="G71" s="3" t="s">
        <v>586</v>
      </c>
      <c r="H71" s="3" t="s">
        <v>265</v>
      </c>
      <c r="I71" s="3" t="s">
        <v>587</v>
      </c>
      <c r="J71" s="14" t="n">
        <v>315</v>
      </c>
      <c r="K71" s="10" t="s">
        <v>267</v>
      </c>
      <c r="L71" s="10" t="s">
        <v>268</v>
      </c>
      <c r="M71" s="15" t="n">
        <v>1</v>
      </c>
      <c r="N71" s="10" t="s">
        <v>622</v>
      </c>
      <c r="O71" s="16" t="n">
        <f aca="false">IF(K71="USD",1,INDEX(Change_periodes!$D$1:$N$400,MATCH($N71,Change_periodes!$A$1:$A$400,0),MATCH($K71,Change_periodes!$D$1:$N$1,0)))</f>
        <v>604.14805364535</v>
      </c>
      <c r="P71" s="3" t="s">
        <v>270</v>
      </c>
      <c r="Q71" s="17" t="n">
        <f aca="false">INDEX(Change_periodes!$D$1:$D$400,MATCH($N71,Change_periodes!$A$1:$A$400,0))</f>
        <v>604.14805364535</v>
      </c>
      <c r="R71" s="18" t="n">
        <f aca="false">IFERROR(J71/M71/O71,"")</f>
        <v>0.521395373368053</v>
      </c>
      <c r="S71" s="9" t="n">
        <f aca="false">IFERROR(R71*Q71,"")</f>
        <v>315</v>
      </c>
      <c r="T71" s="19" t="n">
        <v>1</v>
      </c>
      <c r="U71" s="3" t="s">
        <v>271</v>
      </c>
      <c r="V71" s="9" t="n">
        <f aca="false">IFERROR(S71/T71,"")</f>
        <v>315</v>
      </c>
      <c r="W71" s="10"/>
      <c r="X71" s="9" t="str">
        <f aca="false">IF(W71="","",IFERROR(INDEX($V$1:$V$178,MATCH(W71,$A$1:$A$178,0)),""))</f>
        <v/>
      </c>
      <c r="Y71" s="8" t="str">
        <f aca="false">IF(OR(X71="",V71=""),"",V71/X71)</f>
        <v/>
      </c>
      <c r="Z71" s="10"/>
      <c r="AA71" s="9" t="str">
        <f aca="false">IF(Z71="","",IFERROR(INDEX($V$1:$V$178,MATCH(Z71,$A$1:$A$178,0)),""))</f>
        <v/>
      </c>
      <c r="AB71" s="8" t="str">
        <f aca="false">IF(OR(AA71="",V71=""),"",V71/AA71)</f>
        <v/>
      </c>
      <c r="AC71" s="3" t="s">
        <v>623</v>
      </c>
      <c r="AD71" s="3" t="s">
        <v>624</v>
      </c>
      <c r="AE71" s="10" t="s">
        <v>275</v>
      </c>
      <c r="AF71" s="7" t="s">
        <v>81</v>
      </c>
      <c r="AG71" s="3" t="s">
        <v>591</v>
      </c>
    </row>
    <row r="72" customFormat="false" ht="35.05" hidden="false" customHeight="false" outlineLevel="0" collapsed="false">
      <c r="A72" s="13" t="s">
        <v>625</v>
      </c>
      <c r="B72" s="3" t="s">
        <v>55</v>
      </c>
      <c r="C72" s="3" t="s">
        <v>583</v>
      </c>
      <c r="D72" s="3" t="s">
        <v>261</v>
      </c>
      <c r="E72" s="3" t="s">
        <v>626</v>
      </c>
      <c r="F72" s="3" t="s">
        <v>585</v>
      </c>
      <c r="G72" s="3" t="s">
        <v>586</v>
      </c>
      <c r="H72" s="3" t="s">
        <v>265</v>
      </c>
      <c r="I72" s="3" t="s">
        <v>587</v>
      </c>
      <c r="J72" s="14" t="n">
        <v>275</v>
      </c>
      <c r="K72" s="10" t="s">
        <v>267</v>
      </c>
      <c r="L72" s="10" t="s">
        <v>268</v>
      </c>
      <c r="M72" s="15" t="n">
        <v>1</v>
      </c>
      <c r="N72" s="10" t="s">
        <v>627</v>
      </c>
      <c r="O72" s="16" t="n">
        <f aca="false">IF(K72="USD",1,INDEX(Change_periodes!$D$1:$N$400,MATCH($N72,Change_periodes!$A$1:$A$400,0),MATCH($K72,Change_periodes!$D$1:$N$1,0)))</f>
        <v>607.286308935791</v>
      </c>
      <c r="P72" s="3" t="s">
        <v>270</v>
      </c>
      <c r="Q72" s="17" t="n">
        <f aca="false">INDEX(Change_periodes!$D$1:$D$400,MATCH($N72,Change_periodes!$A$1:$A$400,0))</f>
        <v>607.286308935791</v>
      </c>
      <c r="R72" s="18" t="n">
        <f aca="false">IFERROR(J72/M72/O72,"")</f>
        <v>0.452834183734375</v>
      </c>
      <c r="S72" s="9" t="n">
        <f aca="false">IFERROR(R72*Q72,"")</f>
        <v>275</v>
      </c>
      <c r="T72" s="19" t="n">
        <v>1</v>
      </c>
      <c r="U72" s="3" t="s">
        <v>271</v>
      </c>
      <c r="V72" s="9" t="n">
        <f aca="false">IFERROR(S72/T72,"")</f>
        <v>275</v>
      </c>
      <c r="W72" s="10"/>
      <c r="X72" s="9" t="str">
        <f aca="false">IF(W72="","",IFERROR(INDEX($V$1:$V$178,MATCH(W72,$A$1:$A$178,0)),""))</f>
        <v/>
      </c>
      <c r="Y72" s="8" t="str">
        <f aca="false">IF(OR(X72="",V72=""),"",V72/X72)</f>
        <v/>
      </c>
      <c r="Z72" s="10"/>
      <c r="AA72" s="9" t="str">
        <f aca="false">IF(Z72="","",IFERROR(INDEX($V$1:$V$178,MATCH(Z72,$A$1:$A$178,0)),""))</f>
        <v/>
      </c>
      <c r="AB72" s="8" t="str">
        <f aca="false">IF(OR(AA72="",V72=""),"",V72/AA72)</f>
        <v/>
      </c>
      <c r="AC72" s="3" t="s">
        <v>628</v>
      </c>
      <c r="AD72" s="3" t="s">
        <v>629</v>
      </c>
      <c r="AE72" s="10" t="s">
        <v>275</v>
      </c>
      <c r="AF72" s="7" t="s">
        <v>81</v>
      </c>
      <c r="AG72" s="3" t="s">
        <v>591</v>
      </c>
    </row>
    <row r="73" customFormat="false" ht="46.25" hidden="false" customHeight="false" outlineLevel="0" collapsed="false">
      <c r="A73" s="13" t="s">
        <v>149</v>
      </c>
      <c r="B73" s="3" t="s">
        <v>55</v>
      </c>
      <c r="C73" s="3" t="s">
        <v>583</v>
      </c>
      <c r="D73" s="3" t="s">
        <v>261</v>
      </c>
      <c r="E73" s="3" t="s">
        <v>215</v>
      </c>
      <c r="F73" s="3" t="s">
        <v>585</v>
      </c>
      <c r="G73" s="3" t="s">
        <v>586</v>
      </c>
      <c r="H73" s="3" t="s">
        <v>265</v>
      </c>
      <c r="I73" s="3" t="s">
        <v>587</v>
      </c>
      <c r="J73" s="14" t="n">
        <v>425</v>
      </c>
      <c r="K73" s="10" t="s">
        <v>267</v>
      </c>
      <c r="L73" s="10" t="s">
        <v>268</v>
      </c>
      <c r="M73" s="15" t="n">
        <v>1</v>
      </c>
      <c r="N73" s="10" t="s">
        <v>630</v>
      </c>
      <c r="O73" s="16" t="n">
        <f aca="false">IF(K73="USD",1,INDEX(Change_periodes!$D$1:$N$400,MATCH($N73,Change_periodes!$A$1:$A$400,0),MATCH($K73,Change_periodes!$D$1:$N$1,0)))</f>
        <v>589.146442135629</v>
      </c>
      <c r="P73" s="3" t="s">
        <v>270</v>
      </c>
      <c r="Q73" s="17" t="n">
        <f aca="false">INDEX(Change_periodes!$D$1:$D$400,MATCH($N73,Change_periodes!$A$1:$A$400,0))</f>
        <v>589.146442135629</v>
      </c>
      <c r="R73" s="18" t="n">
        <f aca="false">IFERROR(J73/M73/O73,"")</f>
        <v>0.721382613224981</v>
      </c>
      <c r="S73" s="9" t="n">
        <f aca="false">IFERROR(R73*Q73,"")</f>
        <v>425</v>
      </c>
      <c r="T73" s="19" t="n">
        <v>1</v>
      </c>
      <c r="U73" s="3" t="s">
        <v>271</v>
      </c>
      <c r="V73" s="9" t="n">
        <f aca="false">IFERROR(S73/T73,"")</f>
        <v>425</v>
      </c>
      <c r="W73" s="10"/>
      <c r="X73" s="9" t="str">
        <f aca="false">IF(W73="","",IFERROR(INDEX($V$1:$V$178,MATCH(W73,$A$1:$A$178,0)),""))</f>
        <v/>
      </c>
      <c r="Y73" s="8" t="str">
        <f aca="false">IF(OR(X73="",V73=""),"",V73/X73)</f>
        <v/>
      </c>
      <c r="Z73" s="10"/>
      <c r="AA73" s="9" t="str">
        <f aca="false">IF(Z73="","",IFERROR(INDEX($V$1:$V$178,MATCH(Z73,$A$1:$A$178,0)),""))</f>
        <v/>
      </c>
      <c r="AB73" s="8" t="str">
        <f aca="false">IF(OR(AA73="",V73=""),"",V73/AA73)</f>
        <v/>
      </c>
      <c r="AC73" s="3" t="s">
        <v>631</v>
      </c>
      <c r="AD73" s="3" t="s">
        <v>632</v>
      </c>
      <c r="AE73" s="10" t="s">
        <v>275</v>
      </c>
      <c r="AF73" s="7" t="s">
        <v>81</v>
      </c>
      <c r="AG73" s="3" t="s">
        <v>591</v>
      </c>
    </row>
    <row r="74" customFormat="false" ht="35.05" hidden="false" customHeight="false" outlineLevel="0" collapsed="false">
      <c r="A74" s="13" t="s">
        <v>136</v>
      </c>
      <c r="B74" s="3" t="s">
        <v>55</v>
      </c>
      <c r="C74" s="3" t="s">
        <v>583</v>
      </c>
      <c r="D74" s="3" t="s">
        <v>261</v>
      </c>
      <c r="E74" s="3" t="s">
        <v>633</v>
      </c>
      <c r="F74" s="3" t="s">
        <v>585</v>
      </c>
      <c r="G74" s="3" t="s">
        <v>586</v>
      </c>
      <c r="H74" s="3" t="s">
        <v>265</v>
      </c>
      <c r="I74" s="3" t="s">
        <v>587</v>
      </c>
      <c r="J74" s="14" t="n">
        <v>400</v>
      </c>
      <c r="K74" s="10" t="s">
        <v>267</v>
      </c>
      <c r="L74" s="10" t="s">
        <v>268</v>
      </c>
      <c r="M74" s="15" t="n">
        <v>1</v>
      </c>
      <c r="N74" s="10" t="s">
        <v>634</v>
      </c>
      <c r="O74" s="16" t="n">
        <f aca="false">IF(K74="USD",1,INDEX(Change_periodes!$D$1:$N$400,MATCH($N74,Change_periodes!$A$1:$A$400,0),MATCH($K74,Change_periodes!$D$1:$N$1,0)))</f>
        <v>564.764950825189</v>
      </c>
      <c r="P74" s="3" t="s">
        <v>270</v>
      </c>
      <c r="Q74" s="17" t="n">
        <f aca="false">INDEX(Change_periodes!$D$1:$D$400,MATCH($N74,Change_periodes!$A$1:$A$400,0))</f>
        <v>564.764950825189</v>
      </c>
      <c r="R74" s="18" t="n">
        <f aca="false">IFERROR(J74/M74/O74,"")</f>
        <v>0.708259249118686</v>
      </c>
      <c r="S74" s="9" t="n">
        <f aca="false">IFERROR(R74*Q74,"")</f>
        <v>400</v>
      </c>
      <c r="T74" s="19" t="n">
        <v>1</v>
      </c>
      <c r="U74" s="3" t="s">
        <v>271</v>
      </c>
      <c r="V74" s="9" t="n">
        <f aca="false">IFERROR(S74/T74,"")</f>
        <v>400</v>
      </c>
      <c r="W74" s="10" t="s">
        <v>635</v>
      </c>
      <c r="X74" s="9" t="n">
        <f aca="false">IF(W74="","",IFERROR(INDEX($V$1:$V$178,MATCH(W74,$A$1:$A$178,0)),""))</f>
        <v>875.374243778621</v>
      </c>
      <c r="Y74" s="8" t="n">
        <f aca="false">IF(OR(X74="",V74=""),"",V74/X74)</f>
        <v>0.456947417453556</v>
      </c>
      <c r="Z74" s="10"/>
      <c r="AA74" s="9" t="str">
        <f aca="false">IF(Z74="","",IFERROR(INDEX($V$1:$V$178,MATCH(Z74,$A$1:$A$178,0)),""))</f>
        <v/>
      </c>
      <c r="AB74" s="8" t="str">
        <f aca="false">IF(OR(AA74="",V74=""),"",V74/AA74)</f>
        <v/>
      </c>
      <c r="AC74" s="3" t="s">
        <v>636</v>
      </c>
      <c r="AD74" s="3" t="s">
        <v>637</v>
      </c>
      <c r="AE74" s="10" t="s">
        <v>275</v>
      </c>
      <c r="AF74" s="7" t="s">
        <v>81</v>
      </c>
      <c r="AG74" s="3" t="s">
        <v>591</v>
      </c>
    </row>
    <row r="75" customFormat="false" ht="35.05" hidden="false" customHeight="false" outlineLevel="0" collapsed="false">
      <c r="A75" s="13" t="s">
        <v>638</v>
      </c>
      <c r="B75" s="3" t="s">
        <v>55</v>
      </c>
      <c r="C75" s="3" t="s">
        <v>583</v>
      </c>
      <c r="D75" s="3" t="s">
        <v>261</v>
      </c>
      <c r="E75" s="3" t="s">
        <v>633</v>
      </c>
      <c r="F75" s="3" t="s">
        <v>639</v>
      </c>
      <c r="G75" s="3" t="s">
        <v>640</v>
      </c>
      <c r="H75" s="3" t="s">
        <v>641</v>
      </c>
      <c r="I75" s="3" t="s">
        <v>587</v>
      </c>
      <c r="J75" s="14" t="n">
        <v>416</v>
      </c>
      <c r="K75" s="10" t="s">
        <v>267</v>
      </c>
      <c r="L75" s="10" t="s">
        <v>268</v>
      </c>
      <c r="M75" s="15" t="n">
        <v>1</v>
      </c>
      <c r="N75" s="10" t="s">
        <v>634</v>
      </c>
      <c r="O75" s="16" t="n">
        <f aca="false">IF(K75="USD",1,INDEX(Change_periodes!$D$1:$N$400,MATCH($N75,Change_periodes!$A$1:$A$400,0),MATCH($K75,Change_periodes!$D$1:$N$1,0)))</f>
        <v>564.764950825189</v>
      </c>
      <c r="P75" s="3" t="s">
        <v>270</v>
      </c>
      <c r="Q75" s="17" t="n">
        <f aca="false">INDEX(Change_periodes!$D$1:$D$400,MATCH($N75,Change_periodes!$A$1:$A$400,0))</f>
        <v>564.764950825189</v>
      </c>
      <c r="R75" s="18" t="n">
        <f aca="false">IFERROR(J75/M75/O75,"")</f>
        <v>0.736589619083433</v>
      </c>
      <c r="S75" s="9" t="n">
        <f aca="false">IFERROR(R75*Q75,"")</f>
        <v>416</v>
      </c>
      <c r="T75" s="19" t="n">
        <v>1</v>
      </c>
      <c r="U75" s="3" t="s">
        <v>271</v>
      </c>
      <c r="V75" s="9" t="n">
        <f aca="false">IFERROR(S75/T75,"")</f>
        <v>416</v>
      </c>
      <c r="W75" s="10" t="s">
        <v>635</v>
      </c>
      <c r="X75" s="9" t="n">
        <f aca="false">IF(W75="","",IFERROR(INDEX($V$1:$V$178,MATCH(W75,$A$1:$A$178,0)),""))</f>
        <v>875.374243778621</v>
      </c>
      <c r="Y75" s="8" t="n">
        <f aca="false">IF(OR(X75="",V75=""),"",V75/X75)</f>
        <v>0.475225314151698</v>
      </c>
      <c r="Z75" s="10"/>
      <c r="AA75" s="9" t="str">
        <f aca="false">IF(Z75="","",IFERROR(INDEX($V$1:$V$178,MATCH(Z75,$A$1:$A$178,0)),""))</f>
        <v/>
      </c>
      <c r="AB75" s="8" t="str">
        <f aca="false">IF(OR(AA75="",V75=""),"",V75/AA75)</f>
        <v/>
      </c>
      <c r="AC75" s="3" t="s">
        <v>642</v>
      </c>
      <c r="AD75" s="3" t="s">
        <v>643</v>
      </c>
      <c r="AE75" s="10" t="s">
        <v>275</v>
      </c>
      <c r="AF75" s="7" t="s">
        <v>81</v>
      </c>
      <c r="AG75" s="3" t="s">
        <v>644</v>
      </c>
    </row>
    <row r="76" customFormat="false" ht="46.25" hidden="false" customHeight="false" outlineLevel="0" collapsed="false">
      <c r="A76" s="13" t="s">
        <v>645</v>
      </c>
      <c r="B76" s="3" t="s">
        <v>55</v>
      </c>
      <c r="C76" s="3" t="s">
        <v>583</v>
      </c>
      <c r="D76" s="3" t="s">
        <v>261</v>
      </c>
      <c r="E76" s="3" t="s">
        <v>633</v>
      </c>
      <c r="F76" s="3" t="s">
        <v>206</v>
      </c>
      <c r="G76" s="3" t="s">
        <v>646</v>
      </c>
      <c r="H76" s="3" t="s">
        <v>647</v>
      </c>
      <c r="I76" s="3" t="s">
        <v>587</v>
      </c>
      <c r="J76" s="14" t="n">
        <v>484</v>
      </c>
      <c r="K76" s="10" t="s">
        <v>267</v>
      </c>
      <c r="L76" s="10" t="s">
        <v>268</v>
      </c>
      <c r="M76" s="15" t="n">
        <v>1</v>
      </c>
      <c r="N76" s="10" t="s">
        <v>634</v>
      </c>
      <c r="O76" s="16" t="n">
        <f aca="false">IF(K76="USD",1,INDEX(Change_periodes!$D$1:$N$400,MATCH($N76,Change_periodes!$A$1:$A$400,0),MATCH($K76,Change_periodes!$D$1:$N$1,0)))</f>
        <v>564.764950825189</v>
      </c>
      <c r="P76" s="3" t="s">
        <v>270</v>
      </c>
      <c r="Q76" s="17" t="n">
        <f aca="false">INDEX(Change_periodes!$D$1:$D$400,MATCH($N76,Change_periodes!$A$1:$A$400,0))</f>
        <v>564.764950825189</v>
      </c>
      <c r="R76" s="18" t="n">
        <f aca="false">IFERROR(J76/M76/O76,"")</f>
        <v>0.85699369143361</v>
      </c>
      <c r="S76" s="9" t="n">
        <f aca="false">IFERROR(R76*Q76,"")</f>
        <v>484</v>
      </c>
      <c r="T76" s="19" t="n">
        <v>1</v>
      </c>
      <c r="U76" s="3" t="s">
        <v>271</v>
      </c>
      <c r="V76" s="9" t="n">
        <f aca="false">IFERROR(S76/T76,"")</f>
        <v>484</v>
      </c>
      <c r="W76" s="10" t="s">
        <v>635</v>
      </c>
      <c r="X76" s="9" t="n">
        <f aca="false">IF(W76="","",IFERROR(INDEX($V$1:$V$178,MATCH(W76,$A$1:$A$178,0)),""))</f>
        <v>875.374243778621</v>
      </c>
      <c r="Y76" s="8" t="n">
        <f aca="false">IF(OR(X76="",V76=""),"",V76/X76)</f>
        <v>0.552906375118803</v>
      </c>
      <c r="Z76" s="10"/>
      <c r="AA76" s="9" t="str">
        <f aca="false">IF(Z76="","",IFERROR(INDEX($V$1:$V$178,MATCH(Z76,$A$1:$A$178,0)),""))</f>
        <v/>
      </c>
      <c r="AB76" s="8" t="str">
        <f aca="false">IF(OR(AA76="",V76=""),"",V76/AA76)</f>
        <v/>
      </c>
      <c r="AC76" s="3" t="s">
        <v>648</v>
      </c>
      <c r="AD76" s="3" t="s">
        <v>649</v>
      </c>
      <c r="AE76" s="10" t="s">
        <v>275</v>
      </c>
      <c r="AF76" s="7" t="s">
        <v>81</v>
      </c>
      <c r="AG76" s="3" t="s">
        <v>650</v>
      </c>
    </row>
    <row r="77" customFormat="false" ht="35.05" hidden="false" customHeight="false" outlineLevel="0" collapsed="false">
      <c r="A77" s="13" t="s">
        <v>137</v>
      </c>
      <c r="B77" s="3" t="s">
        <v>55</v>
      </c>
      <c r="C77" s="3" t="s">
        <v>583</v>
      </c>
      <c r="D77" s="3" t="s">
        <v>83</v>
      </c>
      <c r="E77" s="3" t="s">
        <v>633</v>
      </c>
      <c r="F77" s="3" t="s">
        <v>206</v>
      </c>
      <c r="G77" s="3" t="s">
        <v>651</v>
      </c>
      <c r="H77" s="3" t="s">
        <v>265</v>
      </c>
      <c r="I77" s="3" t="s">
        <v>652</v>
      </c>
      <c r="J77" s="14" t="n">
        <v>385</v>
      </c>
      <c r="K77" s="10" t="s">
        <v>267</v>
      </c>
      <c r="L77" s="10" t="s">
        <v>268</v>
      </c>
      <c r="M77" s="15" t="n">
        <v>1</v>
      </c>
      <c r="N77" s="10" t="s">
        <v>634</v>
      </c>
      <c r="O77" s="16" t="n">
        <f aca="false">IF(K77="USD",1,INDEX(Change_periodes!$D$1:$N$400,MATCH($N77,Change_periodes!$A$1:$A$400,0),MATCH($K77,Change_periodes!$D$1:$N$1,0)))</f>
        <v>564.764950825189</v>
      </c>
      <c r="P77" s="3" t="s">
        <v>270</v>
      </c>
      <c r="Q77" s="17" t="n">
        <f aca="false">INDEX(Change_periodes!$D$1:$D$400,MATCH($N77,Change_periodes!$A$1:$A$400,0))</f>
        <v>564.764950825189</v>
      </c>
      <c r="R77" s="18" t="n">
        <f aca="false">IFERROR(J77/M77/O77,"")</f>
        <v>0.681699527276735</v>
      </c>
      <c r="S77" s="9" t="n">
        <f aca="false">IFERROR(R77*Q77,"")</f>
        <v>385</v>
      </c>
      <c r="T77" s="19" t="n">
        <v>1</v>
      </c>
      <c r="U77" s="3" t="s">
        <v>271</v>
      </c>
      <c r="V77" s="9" t="n">
        <f aca="false">IFERROR(S77/T77,"")</f>
        <v>385</v>
      </c>
      <c r="W77" s="10" t="s">
        <v>635</v>
      </c>
      <c r="X77" s="9" t="n">
        <f aca="false">IF(W77="","",IFERROR(INDEX($V$1:$V$178,MATCH(W77,$A$1:$A$178,0)),""))</f>
        <v>875.374243778621</v>
      </c>
      <c r="Y77" s="8" t="n">
        <f aca="false">IF(OR(X77="",V77=""),"",V77/X77)</f>
        <v>0.439811889299047</v>
      </c>
      <c r="Z77" s="10"/>
      <c r="AA77" s="9" t="str">
        <f aca="false">IF(Z77="","",IFERROR(INDEX($V$1:$V$178,MATCH(Z77,$A$1:$A$178,0)),""))</f>
        <v/>
      </c>
      <c r="AB77" s="8" t="str">
        <f aca="false">IF(OR(AA77="",V77=""),"",V77/AA77)</f>
        <v/>
      </c>
      <c r="AC77" s="3" t="s">
        <v>653</v>
      </c>
      <c r="AD77" s="3" t="s">
        <v>654</v>
      </c>
      <c r="AE77" s="10" t="s">
        <v>275</v>
      </c>
      <c r="AF77" s="7" t="s">
        <v>81</v>
      </c>
      <c r="AG77" s="3"/>
    </row>
    <row r="78" customFormat="false" ht="35.05" hidden="false" customHeight="false" outlineLevel="0" collapsed="false">
      <c r="A78" s="13" t="s">
        <v>140</v>
      </c>
      <c r="B78" s="3" t="s">
        <v>55</v>
      </c>
      <c r="C78" s="3" t="s">
        <v>583</v>
      </c>
      <c r="D78" s="3" t="s">
        <v>655</v>
      </c>
      <c r="E78" s="3" t="s">
        <v>633</v>
      </c>
      <c r="F78" s="3" t="s">
        <v>656</v>
      </c>
      <c r="G78" s="3" t="s">
        <v>657</v>
      </c>
      <c r="H78" s="3" t="s">
        <v>265</v>
      </c>
      <c r="I78" s="3" t="s">
        <v>652</v>
      </c>
      <c r="J78" s="14" t="n">
        <v>410</v>
      </c>
      <c r="K78" s="10" t="s">
        <v>267</v>
      </c>
      <c r="L78" s="10" t="s">
        <v>268</v>
      </c>
      <c r="M78" s="15" t="n">
        <v>1</v>
      </c>
      <c r="N78" s="10" t="s">
        <v>658</v>
      </c>
      <c r="O78" s="16" t="n">
        <f aca="false">IF(K78="USD",1,INDEX(Change_periodes!$D$1:$N$400,MATCH($N78,Change_periodes!$A$1:$A$400,0),MATCH($K78,Change_periodes!$D$1:$N$1,0)))</f>
        <v>566.763987362209</v>
      </c>
      <c r="P78" s="3" t="s">
        <v>270</v>
      </c>
      <c r="Q78" s="17" t="n">
        <f aca="false">INDEX(Change_periodes!$D$1:$D$400,MATCH($N78,Change_periodes!$A$1:$A$400,0))</f>
        <v>566.763987362209</v>
      </c>
      <c r="R78" s="18" t="n">
        <f aca="false">IFERROR(J78/M78/O78,"")</f>
        <v>0.723405172421402</v>
      </c>
      <c r="S78" s="9" t="n">
        <f aca="false">IFERROR(R78*Q78,"")</f>
        <v>410</v>
      </c>
      <c r="T78" s="19" t="n">
        <v>1</v>
      </c>
      <c r="U78" s="3" t="s">
        <v>271</v>
      </c>
      <c r="V78" s="9" t="n">
        <f aca="false">IFERROR(S78/T78,"")</f>
        <v>410</v>
      </c>
      <c r="W78" s="10" t="s">
        <v>635</v>
      </c>
      <c r="X78" s="9" t="n">
        <f aca="false">IF(W78="","",IFERROR(INDEX($V$1:$V$178,MATCH(W78,$A$1:$A$178,0)),""))</f>
        <v>875.374243778621</v>
      </c>
      <c r="Y78" s="8" t="n">
        <f aca="false">IF(OR(X78="",V78=""),"",V78/X78)</f>
        <v>0.468371102889895</v>
      </c>
      <c r="Z78" s="10"/>
      <c r="AA78" s="9" t="str">
        <f aca="false">IF(Z78="","",IFERROR(INDEX($V$1:$V$178,MATCH(Z78,$A$1:$A$178,0)),""))</f>
        <v/>
      </c>
      <c r="AB78" s="8" t="str">
        <f aca="false">IF(OR(AA78="",V78=""),"",V78/AA78)</f>
        <v/>
      </c>
      <c r="AC78" s="3" t="s">
        <v>659</v>
      </c>
      <c r="AD78" s="3" t="s">
        <v>660</v>
      </c>
      <c r="AE78" s="10" t="s">
        <v>275</v>
      </c>
      <c r="AF78" s="7" t="s">
        <v>81</v>
      </c>
      <c r="AG78" s="3" t="s">
        <v>661</v>
      </c>
    </row>
    <row r="79" customFormat="false" ht="35.05" hidden="false" customHeight="false" outlineLevel="0" collapsed="false">
      <c r="A79" s="13" t="s">
        <v>150</v>
      </c>
      <c r="B79" s="3" t="s">
        <v>55</v>
      </c>
      <c r="C79" s="3" t="s">
        <v>583</v>
      </c>
      <c r="D79" s="3" t="s">
        <v>662</v>
      </c>
      <c r="E79" s="3" t="s">
        <v>215</v>
      </c>
      <c r="F79" s="3" t="s">
        <v>663</v>
      </c>
      <c r="G79" s="3" t="s">
        <v>651</v>
      </c>
      <c r="H79" s="3" t="s">
        <v>265</v>
      </c>
      <c r="I79" s="3" t="s">
        <v>652</v>
      </c>
      <c r="J79" s="14" t="n">
        <v>390</v>
      </c>
      <c r="K79" s="10" t="s">
        <v>267</v>
      </c>
      <c r="L79" s="10" t="s">
        <v>268</v>
      </c>
      <c r="M79" s="15" t="n">
        <v>1</v>
      </c>
      <c r="N79" s="10" t="s">
        <v>664</v>
      </c>
      <c r="O79" s="16" t="n">
        <f aca="false">IF(K79="USD",1,INDEX(Change_periodes!$D$1:$N$400,MATCH($N79,Change_periodes!$A$1:$A$400,0),MATCH($K79,Change_periodes!$D$1:$N$1,0)))</f>
        <v>580.981588906092</v>
      </c>
      <c r="P79" s="3" t="s">
        <v>270</v>
      </c>
      <c r="Q79" s="17" t="n">
        <f aca="false">INDEX(Change_periodes!$D$1:$D$400,MATCH($N79,Change_periodes!$A$1:$A$400,0))</f>
        <v>580.981588906092</v>
      </c>
      <c r="R79" s="18" t="n">
        <f aca="false">IFERROR(J79/M79/O79,"")</f>
        <v>0.671277726260339</v>
      </c>
      <c r="S79" s="9" t="n">
        <f aca="false">IFERROR(R79*Q79,"")</f>
        <v>390</v>
      </c>
      <c r="T79" s="19" t="n">
        <v>1</v>
      </c>
      <c r="U79" s="3" t="s">
        <v>271</v>
      </c>
      <c r="V79" s="9" t="n">
        <f aca="false">IFERROR(S79/T79,"")</f>
        <v>390</v>
      </c>
      <c r="W79" s="10"/>
      <c r="X79" s="9" t="str">
        <f aca="false">IF(W79="","",IFERROR(INDEX($V$1:$V$178,MATCH(W79,$A$1:$A$178,0)),""))</f>
        <v/>
      </c>
      <c r="Y79" s="8" t="str">
        <f aca="false">IF(OR(X79="",V79=""),"",V79/X79)</f>
        <v/>
      </c>
      <c r="Z79" s="10"/>
      <c r="AA79" s="9" t="str">
        <f aca="false">IF(Z79="","",IFERROR(INDEX($V$1:$V$178,MATCH(Z79,$A$1:$A$178,0)),""))</f>
        <v/>
      </c>
      <c r="AB79" s="8" t="str">
        <f aca="false">IF(OR(AA79="",V79=""),"",V79/AA79)</f>
        <v/>
      </c>
      <c r="AC79" s="3" t="s">
        <v>665</v>
      </c>
      <c r="AD79" s="3" t="s">
        <v>666</v>
      </c>
      <c r="AE79" s="10" t="s">
        <v>275</v>
      </c>
      <c r="AF79" s="7" t="s">
        <v>81</v>
      </c>
      <c r="AG79" s="3" t="s">
        <v>667</v>
      </c>
    </row>
    <row r="80" customFormat="false" ht="46.25" hidden="false" customHeight="false" outlineLevel="0" collapsed="false">
      <c r="A80" s="13" t="s">
        <v>143</v>
      </c>
      <c r="B80" s="3" t="s">
        <v>55</v>
      </c>
      <c r="C80" s="3" t="s">
        <v>583</v>
      </c>
      <c r="D80" s="3" t="s">
        <v>379</v>
      </c>
      <c r="E80" s="3" t="s">
        <v>668</v>
      </c>
      <c r="F80" s="3" t="s">
        <v>669</v>
      </c>
      <c r="G80" s="3" t="s">
        <v>670</v>
      </c>
      <c r="H80" s="3" t="s">
        <v>265</v>
      </c>
      <c r="I80" s="3" t="s">
        <v>671</v>
      </c>
      <c r="J80" s="14" t="n">
        <v>12</v>
      </c>
      <c r="K80" s="10" t="s">
        <v>383</v>
      </c>
      <c r="L80" s="10" t="s">
        <v>268</v>
      </c>
      <c r="M80" s="15" t="n">
        <v>1</v>
      </c>
      <c r="N80" s="10" t="s">
        <v>672</v>
      </c>
      <c r="O80" s="16" t="n">
        <f aca="false">IF(K80="USD",1,INDEX(Change_periodes!$D$1:$N$400,MATCH($N80,Change_periodes!$A$1:$A$400,0),MATCH($K80,Change_periodes!$D$1:$N$1,0)))</f>
        <v>11.076775</v>
      </c>
      <c r="P80" s="3" t="s">
        <v>385</v>
      </c>
      <c r="Q80" s="17" t="n">
        <f aca="false">INDEX(Change_periodes!$D$1:$D$400,MATCH($N80,Change_periodes!$A$1:$A$400,0))</f>
        <v>561.140941929895</v>
      </c>
      <c r="R80" s="18" t="n">
        <f aca="false">IFERROR(J80/M80/O80,"")</f>
        <v>1.08334781558712</v>
      </c>
      <c r="S80" s="9" t="n">
        <f aca="false">IFERROR(R80*Q80,"")</f>
        <v>607.91081367625</v>
      </c>
      <c r="T80" s="19" t="n">
        <v>1</v>
      </c>
      <c r="U80" s="3" t="s">
        <v>271</v>
      </c>
      <c r="V80" s="9" t="n">
        <f aca="false">IFERROR(S80/T80,"")</f>
        <v>607.91081367625</v>
      </c>
      <c r="W80" s="10" t="s">
        <v>635</v>
      </c>
      <c r="X80" s="9" t="n">
        <f aca="false">IF(W80="","",IFERROR(INDEX($V$1:$V$178,MATCH(W80,$A$1:$A$178,0)),""))</f>
        <v>875.374243778621</v>
      </c>
      <c r="Y80" s="8" t="n">
        <f aca="false">IF(OR(X80="",V80=""),"",V80/X80)</f>
        <v>0.69445819087863</v>
      </c>
      <c r="Z80" s="10" t="s">
        <v>673</v>
      </c>
      <c r="AA80" s="9" t="n">
        <f aca="false">IF(Z80="","",IFERROR(INDEX($V$1:$V$178,MATCH(Z80,$A$1:$A$178,0)),""))</f>
        <v>785.597318701853</v>
      </c>
      <c r="AB80" s="8" t="n">
        <f aca="false">IF(OR(AA80="",V80=""),"",V80/AA80)</f>
        <v>0.773819868276513</v>
      </c>
      <c r="AC80" s="3" t="s">
        <v>674</v>
      </c>
      <c r="AD80" s="3" t="s">
        <v>675</v>
      </c>
      <c r="AE80" s="10" t="s">
        <v>275</v>
      </c>
      <c r="AF80" s="7" t="s">
        <v>401</v>
      </c>
      <c r="AG80" s="3" t="s">
        <v>676</v>
      </c>
    </row>
    <row r="81" customFormat="false" ht="46.25" hidden="false" customHeight="false" outlineLevel="0" collapsed="false">
      <c r="A81" s="13" t="s">
        <v>673</v>
      </c>
      <c r="B81" s="3" t="s">
        <v>55</v>
      </c>
      <c r="C81" s="3" t="s">
        <v>677</v>
      </c>
      <c r="D81" s="3" t="s">
        <v>379</v>
      </c>
      <c r="E81" s="3" t="s">
        <v>668</v>
      </c>
      <c r="F81" s="3" t="s">
        <v>678</v>
      </c>
      <c r="G81" s="3" t="s">
        <v>679</v>
      </c>
      <c r="H81" s="3" t="s">
        <v>680</v>
      </c>
      <c r="I81" s="3" t="s">
        <v>681</v>
      </c>
      <c r="J81" s="14" t="n">
        <v>1400</v>
      </c>
      <c r="K81" s="10" t="s">
        <v>491</v>
      </c>
      <c r="L81" s="10" t="s">
        <v>384</v>
      </c>
      <c r="M81" s="15" t="n">
        <v>1000</v>
      </c>
      <c r="N81" s="10" t="s">
        <v>672</v>
      </c>
      <c r="O81" s="16" t="n">
        <f aca="false">IF(K81="USD",1,INDEX(Change_periodes!$D$1:$N$400,MATCH($N81,Change_periodes!$A$1:$A$400,0),MATCH($K81,Change_periodes!$D$1:$N$1,0)))</f>
        <v>1</v>
      </c>
      <c r="P81" s="3" t="s">
        <v>87</v>
      </c>
      <c r="Q81" s="17" t="n">
        <f aca="false">INDEX(Change_periodes!$D$1:$D$400,MATCH($N81,Change_periodes!$A$1:$A$400,0))</f>
        <v>561.140941929895</v>
      </c>
      <c r="R81" s="18" t="n">
        <f aca="false">IFERROR(J81/M81/O81,"")</f>
        <v>1.4</v>
      </c>
      <c r="S81" s="9" t="n">
        <f aca="false">IFERROR(R81*Q81,"")</f>
        <v>785.597318701853</v>
      </c>
      <c r="T81" s="19" t="n">
        <v>1</v>
      </c>
      <c r="U81" s="3" t="s">
        <v>271</v>
      </c>
      <c r="V81" s="9" t="n">
        <f aca="false">IFERROR(S81/T81,"")</f>
        <v>785.597318701853</v>
      </c>
      <c r="W81" s="10"/>
      <c r="X81" s="9" t="str">
        <f aca="false">IF(W81="","",IFERROR(INDEX($V$1:$V$178,MATCH(W81,$A$1:$A$178,0)),""))</f>
        <v/>
      </c>
      <c r="Y81" s="8" t="str">
        <f aca="false">IF(OR(X81="",V81=""),"",V81/X81)</f>
        <v/>
      </c>
      <c r="Z81" s="10"/>
      <c r="AA81" s="9" t="str">
        <f aca="false">IF(Z81="","",IFERROR(INDEX($V$1:$V$178,MATCH(Z81,$A$1:$A$178,0)),""))</f>
        <v/>
      </c>
      <c r="AB81" s="8" t="str">
        <f aca="false">IF(OR(AA81="",V81=""),"",V81/AA81)</f>
        <v/>
      </c>
      <c r="AC81" s="3" t="s">
        <v>674</v>
      </c>
      <c r="AD81" s="3" t="s">
        <v>675</v>
      </c>
      <c r="AE81" s="10" t="s">
        <v>275</v>
      </c>
      <c r="AF81" s="7" t="s">
        <v>401</v>
      </c>
      <c r="AG81" s="3" t="s">
        <v>682</v>
      </c>
    </row>
    <row r="82" customFormat="false" ht="35.05" hidden="false" customHeight="false" outlineLevel="0" collapsed="false">
      <c r="A82" s="13" t="s">
        <v>146</v>
      </c>
      <c r="B82" s="3" t="s">
        <v>55</v>
      </c>
      <c r="C82" s="3" t="s">
        <v>583</v>
      </c>
      <c r="D82" s="3" t="s">
        <v>683</v>
      </c>
      <c r="E82" s="3" t="s">
        <v>369</v>
      </c>
      <c r="F82" s="3" t="s">
        <v>684</v>
      </c>
      <c r="G82" s="3" t="s">
        <v>685</v>
      </c>
      <c r="H82" s="3" t="s">
        <v>686</v>
      </c>
      <c r="I82" s="3" t="s">
        <v>687</v>
      </c>
      <c r="J82" s="14" t="n">
        <f aca="false">1279000000000/430961420</f>
        <v>2967.78305584755</v>
      </c>
      <c r="K82" s="10" t="s">
        <v>688</v>
      </c>
      <c r="L82" s="10" t="s">
        <v>268</v>
      </c>
      <c r="M82" s="15" t="n">
        <v>1</v>
      </c>
      <c r="N82" s="10" t="s">
        <v>689</v>
      </c>
      <c r="O82" s="16" t="n">
        <f aca="false">IF(K82="USD",1,INDEX(Change_periodes!$D$1:$N$400,MATCH($N82,Change_periodes!$A$1:$A$400,0),MATCH($K82,Change_periodes!$D$1:$N$1,0)))</f>
        <v>2434.16666666667</v>
      </c>
      <c r="P82" s="3" t="s">
        <v>690</v>
      </c>
      <c r="Q82" s="17" t="n">
        <f aca="false">INDEX(Change_periodes!$D$1:$D$400,MATCH($N82,Change_periodes!$A$1:$A$400,0))</f>
        <v>567.427034134358</v>
      </c>
      <c r="R82" s="18" t="n">
        <f aca="false">IFERROR(J82/M82/O82,"")</f>
        <v>1.2192193313992</v>
      </c>
      <c r="S82" s="9" t="n">
        <f aca="false">IFERROR(R82*Q82,"")</f>
        <v>691.818009175122</v>
      </c>
      <c r="T82" s="19" t="n">
        <v>1</v>
      </c>
      <c r="U82" s="3" t="s">
        <v>271</v>
      </c>
      <c r="V82" s="9" t="n">
        <f aca="false">IFERROR(S82/T82,"")</f>
        <v>691.818009175122</v>
      </c>
      <c r="W82" s="10" t="s">
        <v>635</v>
      </c>
      <c r="X82" s="9" t="n">
        <f aca="false">IF(W82="","",IFERROR(INDEX($V$1:$V$178,MATCH(W82,$A$1:$A$178,0)),""))</f>
        <v>875.374243778621</v>
      </c>
      <c r="Y82" s="8" t="n">
        <f aca="false">IF(OR(X82="",V82=""),"",V82/X82)</f>
        <v>0.790311131601081</v>
      </c>
      <c r="Z82" s="10"/>
      <c r="AA82" s="9" t="str">
        <f aca="false">IF(Z82="","",IFERROR(INDEX($V$1:$V$178,MATCH(Z82,$A$1:$A$178,0)),""))</f>
        <v/>
      </c>
      <c r="AB82" s="8" t="str">
        <f aca="false">IF(OR(AA82="",V82=""),"",V82/AA82)</f>
        <v/>
      </c>
      <c r="AC82" s="3" t="s">
        <v>691</v>
      </c>
      <c r="AD82" s="3" t="s">
        <v>692</v>
      </c>
      <c r="AE82" s="10" t="s">
        <v>275</v>
      </c>
      <c r="AF82" s="7" t="s">
        <v>81</v>
      </c>
      <c r="AG82" s="3" t="s">
        <v>693</v>
      </c>
    </row>
    <row r="83" customFormat="false" ht="35.05" hidden="false" customHeight="false" outlineLevel="0" collapsed="false">
      <c r="A83" s="13" t="s">
        <v>635</v>
      </c>
      <c r="B83" s="3" t="s">
        <v>55</v>
      </c>
      <c r="C83" s="3" t="s">
        <v>694</v>
      </c>
      <c r="D83" s="3" t="s">
        <v>695</v>
      </c>
      <c r="E83" s="3" t="s">
        <v>633</v>
      </c>
      <c r="F83" s="3" t="s">
        <v>696</v>
      </c>
      <c r="G83" s="3" t="s">
        <v>697</v>
      </c>
      <c r="H83" s="3" t="s">
        <v>698</v>
      </c>
      <c r="I83" s="3" t="s">
        <v>699</v>
      </c>
      <c r="J83" s="14" t="n">
        <v>1560</v>
      </c>
      <c r="K83" s="10" t="s">
        <v>491</v>
      </c>
      <c r="L83" s="10" t="s">
        <v>384</v>
      </c>
      <c r="M83" s="15" t="n">
        <v>1000</v>
      </c>
      <c r="N83" s="10" t="s">
        <v>700</v>
      </c>
      <c r="O83" s="16" t="n">
        <f aca="false">IF(K83="USD",1,INDEX(Change_periodes!$D$1:$N$400,MATCH($N83,Change_periodes!$A$1:$A$400,0),MATCH($K83,Change_periodes!$D$1:$N$1,0)))</f>
        <v>1</v>
      </c>
      <c r="P83" s="3" t="s">
        <v>87</v>
      </c>
      <c r="Q83" s="17" t="n">
        <f aca="false">INDEX(Change_periodes!$D$1:$D$400,MATCH($N83,Change_periodes!$A$1:$A$400,0))</f>
        <v>561.137335755526</v>
      </c>
      <c r="R83" s="18" t="n">
        <f aca="false">IFERROR(J83/M83/O83,"")</f>
        <v>1.56</v>
      </c>
      <c r="S83" s="9" t="n">
        <f aca="false">IFERROR(R83*Q83,"")</f>
        <v>875.374243778621</v>
      </c>
      <c r="T83" s="19" t="n">
        <v>1</v>
      </c>
      <c r="U83" s="3" t="s">
        <v>271</v>
      </c>
      <c r="V83" s="9" t="n">
        <f aca="false">IFERROR(S83/T83,"")</f>
        <v>875.374243778621</v>
      </c>
      <c r="W83" s="10"/>
      <c r="X83" s="9" t="str">
        <f aca="false">IF(W83="","",IFERROR(INDEX($V$1:$V$178,MATCH(W83,$A$1:$A$178,0)),""))</f>
        <v/>
      </c>
      <c r="Y83" s="8" t="str">
        <f aca="false">IF(OR(X83="",V83=""),"",V83/X83)</f>
        <v/>
      </c>
      <c r="Z83" s="10"/>
      <c r="AA83" s="9" t="str">
        <f aca="false">IF(Z83="","",IFERROR(INDEX($V$1:$V$178,MATCH(Z83,$A$1:$A$178,0)),""))</f>
        <v/>
      </c>
      <c r="AB83" s="8" t="str">
        <f aca="false">IF(OR(AA83="",V83=""),"",V83/AA83)</f>
        <v/>
      </c>
      <c r="AC83" s="3" t="s">
        <v>701</v>
      </c>
      <c r="AD83" s="3" t="s">
        <v>702</v>
      </c>
      <c r="AE83" s="10" t="s">
        <v>275</v>
      </c>
      <c r="AF83" s="20" t="s">
        <v>484</v>
      </c>
      <c r="AG83" s="3" t="s">
        <v>703</v>
      </c>
    </row>
    <row r="84" customFormat="false" ht="35.05" hidden="false" customHeight="false" outlineLevel="0" collapsed="false">
      <c r="A84" s="13" t="s">
        <v>704</v>
      </c>
      <c r="B84" s="3" t="s">
        <v>55</v>
      </c>
      <c r="C84" s="3" t="s">
        <v>705</v>
      </c>
      <c r="D84" s="3" t="s">
        <v>706</v>
      </c>
      <c r="E84" s="3" t="s">
        <v>633</v>
      </c>
      <c r="F84" s="3" t="s">
        <v>707</v>
      </c>
      <c r="G84" s="3" t="s">
        <v>708</v>
      </c>
      <c r="H84" s="3" t="s">
        <v>709</v>
      </c>
      <c r="I84" s="3" t="s">
        <v>710</v>
      </c>
      <c r="J84" s="14" t="n">
        <f aca="false">2200000000/1300000</f>
        <v>1692.30769230769</v>
      </c>
      <c r="K84" s="10" t="s">
        <v>491</v>
      </c>
      <c r="L84" s="10" t="s">
        <v>384</v>
      </c>
      <c r="M84" s="15" t="n">
        <v>1000</v>
      </c>
      <c r="N84" s="10" t="s">
        <v>711</v>
      </c>
      <c r="O84" s="16" t="n">
        <f aca="false">IF(K84="USD",1,INDEX(Change_periodes!$D$1:$N$400,MATCH($N84,Change_periodes!$A$1:$A$400,0),MATCH($K84,Change_periodes!$D$1:$N$1,0)))</f>
        <v>1</v>
      </c>
      <c r="P84" s="3" t="s">
        <v>87</v>
      </c>
      <c r="Q84" s="17" t="n">
        <f aca="false">INDEX(Change_periodes!$D$1:$D$400,MATCH($N84,Change_periodes!$A$1:$A$400,0))</f>
        <v>560.362541618662</v>
      </c>
      <c r="R84" s="18" t="n">
        <f aca="false">IFERROR(J84/M84/O84,"")</f>
        <v>1.69230769230769</v>
      </c>
      <c r="S84" s="9" t="n">
        <f aca="false">IFERROR(R84*Q84,"")</f>
        <v>948.305839662351</v>
      </c>
      <c r="T84" s="19" t="n">
        <v>1</v>
      </c>
      <c r="U84" s="3" t="s">
        <v>271</v>
      </c>
      <c r="V84" s="9" t="n">
        <f aca="false">IFERROR(S84/T84,"")</f>
        <v>948.305839662351</v>
      </c>
      <c r="W84" s="10"/>
      <c r="X84" s="9" t="str">
        <f aca="false">IF(W84="","",IFERROR(INDEX($V$1:$V$178,MATCH(W84,$A$1:$A$178,0)),""))</f>
        <v/>
      </c>
      <c r="Y84" s="8" t="str">
        <f aca="false">IF(OR(X84="",V84=""),"",V84/X84)</f>
        <v/>
      </c>
      <c r="Z84" s="10"/>
      <c r="AA84" s="9" t="str">
        <f aca="false">IF(Z84="","",IFERROR(INDEX($V$1:$V$178,MATCH(Z84,$A$1:$A$178,0)),""))</f>
        <v/>
      </c>
      <c r="AB84" s="8" t="str">
        <f aca="false">IF(OR(AA84="",V84=""),"",V84/AA84)</f>
        <v/>
      </c>
      <c r="AC84" s="3" t="s">
        <v>712</v>
      </c>
      <c r="AD84" s="3" t="s">
        <v>713</v>
      </c>
      <c r="AE84" s="10" t="s">
        <v>275</v>
      </c>
      <c r="AF84" s="7" t="s">
        <v>81</v>
      </c>
      <c r="AG84" s="3" t="s">
        <v>714</v>
      </c>
    </row>
    <row r="85" customFormat="false" ht="46.25" hidden="false" customHeight="false" outlineLevel="0" collapsed="false">
      <c r="A85" s="13" t="s">
        <v>715</v>
      </c>
      <c r="B85" s="3" t="s">
        <v>60</v>
      </c>
      <c r="C85" s="3" t="s">
        <v>716</v>
      </c>
      <c r="D85" s="3" t="s">
        <v>261</v>
      </c>
      <c r="E85" s="3" t="s">
        <v>284</v>
      </c>
      <c r="F85" s="3" t="s">
        <v>717</v>
      </c>
      <c r="G85" s="3" t="s">
        <v>718</v>
      </c>
      <c r="H85" s="3" t="s">
        <v>719</v>
      </c>
      <c r="I85" s="3" t="s">
        <v>720</v>
      </c>
      <c r="J85" s="14" t="n">
        <v>265</v>
      </c>
      <c r="K85" s="10" t="s">
        <v>267</v>
      </c>
      <c r="L85" s="10" t="s">
        <v>268</v>
      </c>
      <c r="M85" s="15" t="n">
        <v>1</v>
      </c>
      <c r="N85" s="10" t="s">
        <v>721</v>
      </c>
      <c r="O85" s="16" t="n">
        <f aca="false">IF(K85="USD",1,INDEX(Change_periodes!$D$1:$N$400,MATCH($N85,Change_periodes!$A$1:$A$400,0),MATCH($K85,Change_periodes!$D$1:$N$1,0)))</f>
        <v>549.205613385998</v>
      </c>
      <c r="P85" s="3" t="s">
        <v>270</v>
      </c>
      <c r="Q85" s="17" t="n">
        <f aca="false">INDEX(Change_periodes!$D$1:$D$400,MATCH($N85,Change_periodes!$A$1:$A$400,0))</f>
        <v>549.205613385998</v>
      </c>
      <c r="R85" s="18" t="n">
        <f aca="false">IFERROR(J85/M85/O85,"")</f>
        <v>0.482515097335231</v>
      </c>
      <c r="S85" s="9" t="n">
        <f aca="false">IFERROR(R85*Q85,"")</f>
        <v>265</v>
      </c>
      <c r="T85" s="21" t="n">
        <f aca="false">Parametres!$C$5</f>
        <v>0.451833520337499</v>
      </c>
      <c r="U85" s="3" t="s">
        <v>722</v>
      </c>
      <c r="V85" s="9" t="n">
        <f aca="false">IFERROR(S85/T85,"")</f>
        <v>586.499203959142</v>
      </c>
      <c r="W85" s="10" t="s">
        <v>723</v>
      </c>
      <c r="X85" s="9" t="n">
        <f aca="false">IF(W85="","",IFERROR(INDEX($V$1:$V$178,MATCH(W85,$A$1:$A$178,0)),""))</f>
        <v>1065.94896444451</v>
      </c>
      <c r="Y85" s="8" t="n">
        <f aca="false">IF(OR(X85="",V85=""),"",V85/X85)</f>
        <v>0.550213212379054</v>
      </c>
      <c r="Z85" s="10"/>
      <c r="AA85" s="9" t="str">
        <f aca="false">IF(Z85="","",IFERROR(INDEX($V$1:$V$178,MATCH(Z85,$A$1:$A$178,0)),""))</f>
        <v/>
      </c>
      <c r="AB85" s="8" t="str">
        <f aca="false">IF(OR(AA85="",V85=""),"",V85/AA85)</f>
        <v/>
      </c>
      <c r="AC85" s="3" t="s">
        <v>724</v>
      </c>
      <c r="AD85" s="3" t="s">
        <v>725</v>
      </c>
      <c r="AE85" s="10" t="s">
        <v>275</v>
      </c>
      <c r="AF85" s="7" t="s">
        <v>81</v>
      </c>
      <c r="AG85" s="3" t="s">
        <v>726</v>
      </c>
    </row>
    <row r="86" customFormat="false" ht="35.05" hidden="false" customHeight="false" outlineLevel="0" collapsed="false">
      <c r="A86" s="13" t="s">
        <v>727</v>
      </c>
      <c r="B86" s="3" t="s">
        <v>60</v>
      </c>
      <c r="C86" s="3" t="s">
        <v>716</v>
      </c>
      <c r="D86" s="3" t="s">
        <v>261</v>
      </c>
      <c r="E86" s="3" t="s">
        <v>293</v>
      </c>
      <c r="F86" s="3" t="s">
        <v>717</v>
      </c>
      <c r="G86" s="3" t="s">
        <v>718</v>
      </c>
      <c r="H86" s="3" t="s">
        <v>719</v>
      </c>
      <c r="I86" s="3" t="s">
        <v>720</v>
      </c>
      <c r="J86" s="14" t="n">
        <v>265</v>
      </c>
      <c r="K86" s="10" t="s">
        <v>267</v>
      </c>
      <c r="L86" s="10" t="s">
        <v>268</v>
      </c>
      <c r="M86" s="15" t="n">
        <v>1</v>
      </c>
      <c r="N86" s="10" t="s">
        <v>728</v>
      </c>
      <c r="O86" s="16" t="n">
        <f aca="false">IF(K86="USD",1,INDEX(Change_periodes!$D$1:$N$400,MATCH($N86,Change_periodes!$A$1:$A$400,0),MATCH($K86,Change_periodes!$D$1:$N$1,0)))</f>
        <v>576.967470984461</v>
      </c>
      <c r="P86" s="3" t="s">
        <v>270</v>
      </c>
      <c r="Q86" s="17" t="n">
        <f aca="false">INDEX(Change_periodes!$D$1:$D$400,MATCH($N86,Change_periodes!$A$1:$A$400,0))</f>
        <v>576.967470984461</v>
      </c>
      <c r="R86" s="18" t="n">
        <f aca="false">IFERROR(J86/M86/O86,"")</f>
        <v>0.459297990487815</v>
      </c>
      <c r="S86" s="9" t="n">
        <f aca="false">IFERROR(R86*Q86,"")</f>
        <v>265</v>
      </c>
      <c r="T86" s="21" t="n">
        <f aca="false">Parametres!$C$5</f>
        <v>0.451833520337499</v>
      </c>
      <c r="U86" s="3" t="s">
        <v>722</v>
      </c>
      <c r="V86" s="9" t="n">
        <f aca="false">IFERROR(S86/T86,"")</f>
        <v>586.499203959142</v>
      </c>
      <c r="W86" s="10" t="s">
        <v>729</v>
      </c>
      <c r="X86" s="9" t="n">
        <f aca="false">IF(W86="","",IFERROR(INDEX($V$1:$V$178,MATCH(W86,$A$1:$A$178,0)),""))</f>
        <v>1073.10713623311</v>
      </c>
      <c r="Y86" s="8" t="n">
        <f aca="false">IF(OR(X86="",V86=""),"",V86/X86)</f>
        <v>0.546543009692314</v>
      </c>
      <c r="Z86" s="10"/>
      <c r="AA86" s="9" t="str">
        <f aca="false">IF(Z86="","",IFERROR(INDEX($V$1:$V$178,MATCH(Z86,$A$1:$A$178,0)),""))</f>
        <v/>
      </c>
      <c r="AB86" s="8" t="str">
        <f aca="false">IF(OR(AA86="",V86=""),"",V86/AA86)</f>
        <v/>
      </c>
      <c r="AC86" s="3" t="s">
        <v>730</v>
      </c>
      <c r="AD86" s="3" t="s">
        <v>731</v>
      </c>
      <c r="AE86" s="10" t="s">
        <v>275</v>
      </c>
      <c r="AF86" s="7" t="s">
        <v>81</v>
      </c>
      <c r="AG86" s="3" t="s">
        <v>726</v>
      </c>
    </row>
    <row r="87" customFormat="false" ht="46.25" hidden="false" customHeight="false" outlineLevel="0" collapsed="false">
      <c r="A87" s="13" t="s">
        <v>732</v>
      </c>
      <c r="B87" s="3" t="s">
        <v>60</v>
      </c>
      <c r="C87" s="3" t="s">
        <v>716</v>
      </c>
      <c r="D87" s="3" t="s">
        <v>261</v>
      </c>
      <c r="E87" s="3" t="s">
        <v>304</v>
      </c>
      <c r="F87" s="3" t="s">
        <v>717</v>
      </c>
      <c r="G87" s="3" t="s">
        <v>718</v>
      </c>
      <c r="H87" s="3" t="s">
        <v>719</v>
      </c>
      <c r="I87" s="3" t="s">
        <v>720</v>
      </c>
      <c r="J87" s="14" t="n">
        <v>300</v>
      </c>
      <c r="K87" s="10" t="s">
        <v>267</v>
      </c>
      <c r="L87" s="10" t="s">
        <v>268</v>
      </c>
      <c r="M87" s="15" t="n">
        <v>1</v>
      </c>
      <c r="N87" s="10" t="s">
        <v>733</v>
      </c>
      <c r="O87" s="16" t="n">
        <f aca="false">IF(K87="USD",1,INDEX(Change_periodes!$D$1:$N$400,MATCH($N87,Change_periodes!$A$1:$A$400,0),MATCH($K87,Change_periodes!$D$1:$N$1,0)))</f>
        <v>592.415481616019</v>
      </c>
      <c r="P87" s="3" t="s">
        <v>270</v>
      </c>
      <c r="Q87" s="17" t="n">
        <f aca="false">INDEX(Change_periodes!$D$1:$D$400,MATCH($N87,Change_periodes!$A$1:$A$400,0))</f>
        <v>592.415481616019</v>
      </c>
      <c r="R87" s="18" t="n">
        <f aca="false">IFERROR(J87/M87/O87,"")</f>
        <v>0.506401350588688</v>
      </c>
      <c r="S87" s="9" t="n">
        <f aca="false">IFERROR(R87*Q87,"")</f>
        <v>300</v>
      </c>
      <c r="T87" s="21" t="n">
        <f aca="false">Parametres!$C$5</f>
        <v>0.451833520337499</v>
      </c>
      <c r="U87" s="3" t="s">
        <v>722</v>
      </c>
      <c r="V87" s="9" t="n">
        <f aca="false">IFERROR(S87/T87,"")</f>
        <v>663.961362972614</v>
      </c>
      <c r="W87" s="10" t="s">
        <v>734</v>
      </c>
      <c r="X87" s="9" t="n">
        <f aca="false">IF(W87="","",IFERROR(INDEX($V$1:$V$178,MATCH(W87,$A$1:$A$178,0)),""))</f>
        <v>931.149076620439</v>
      </c>
      <c r="Y87" s="8" t="n">
        <f aca="false">IF(OR(X87="",V87=""),"",V87/X87)</f>
        <v>0.713055921595745</v>
      </c>
      <c r="Z87" s="10"/>
      <c r="AA87" s="9" t="str">
        <f aca="false">IF(Z87="","",IFERROR(INDEX($V$1:$V$178,MATCH(Z87,$A$1:$A$178,0)),""))</f>
        <v/>
      </c>
      <c r="AB87" s="8" t="str">
        <f aca="false">IF(OR(AA87="",V87=""),"",V87/AA87)</f>
        <v/>
      </c>
      <c r="AC87" s="3" t="s">
        <v>735</v>
      </c>
      <c r="AD87" s="3" t="s">
        <v>736</v>
      </c>
      <c r="AE87" s="10" t="s">
        <v>275</v>
      </c>
      <c r="AF87" s="7" t="s">
        <v>81</v>
      </c>
      <c r="AG87" s="3" t="s">
        <v>726</v>
      </c>
    </row>
    <row r="88" customFormat="false" ht="35.05" hidden="false" customHeight="false" outlineLevel="0" collapsed="false">
      <c r="A88" s="13" t="s">
        <v>737</v>
      </c>
      <c r="B88" s="3" t="s">
        <v>60</v>
      </c>
      <c r="C88" s="3" t="s">
        <v>716</v>
      </c>
      <c r="D88" s="3" t="s">
        <v>261</v>
      </c>
      <c r="E88" s="3" t="s">
        <v>315</v>
      </c>
      <c r="F88" s="3" t="s">
        <v>717</v>
      </c>
      <c r="G88" s="3" t="s">
        <v>718</v>
      </c>
      <c r="H88" s="3" t="s">
        <v>719</v>
      </c>
      <c r="I88" s="3" t="s">
        <v>720</v>
      </c>
      <c r="J88" s="14" t="n">
        <v>300</v>
      </c>
      <c r="K88" s="10" t="s">
        <v>267</v>
      </c>
      <c r="L88" s="10" t="s">
        <v>268</v>
      </c>
      <c r="M88" s="15" t="n">
        <v>1</v>
      </c>
      <c r="N88" s="10" t="s">
        <v>738</v>
      </c>
      <c r="O88" s="16" t="n">
        <f aca="false">IF(K88="USD",1,INDEX(Change_periodes!$D$1:$N$400,MATCH($N88,Change_periodes!$A$1:$A$400,0),MATCH($K88,Change_periodes!$D$1:$N$1,0)))</f>
        <v>548.371954759237</v>
      </c>
      <c r="P88" s="3" t="s">
        <v>270</v>
      </c>
      <c r="Q88" s="17" t="n">
        <f aca="false">INDEX(Change_periodes!$D$1:$D$400,MATCH($N88,Change_periodes!$A$1:$A$400,0))</f>
        <v>548.371954759237</v>
      </c>
      <c r="R88" s="18" t="n">
        <f aca="false">IFERROR(J88/M88/O88,"")</f>
        <v>0.547073929285306</v>
      </c>
      <c r="S88" s="9" t="n">
        <f aca="false">IFERROR(R88*Q88,"")</f>
        <v>300</v>
      </c>
      <c r="T88" s="21" t="n">
        <f aca="false">Parametres!$C$5</f>
        <v>0.451833520337499</v>
      </c>
      <c r="U88" s="3" t="s">
        <v>722</v>
      </c>
      <c r="V88" s="9" t="n">
        <f aca="false">IFERROR(S88/T88,"")</f>
        <v>663.961362972614</v>
      </c>
      <c r="W88" s="10" t="s">
        <v>739</v>
      </c>
      <c r="X88" s="9" t="n">
        <f aca="false">IF(W88="","",IFERROR(INDEX($V$1:$V$178,MATCH(W88,$A$1:$A$178,0)),""))</f>
        <v>1027.17584391952</v>
      </c>
      <c r="Y88" s="8" t="n">
        <f aca="false">IF(OR(X88="",V88=""),"",V88/X88)</f>
        <v>0.646395032460127</v>
      </c>
      <c r="Z88" s="10"/>
      <c r="AA88" s="9" t="str">
        <f aca="false">IF(Z88="","",IFERROR(INDEX($V$1:$V$178,MATCH(Z88,$A$1:$A$178,0)),""))</f>
        <v/>
      </c>
      <c r="AB88" s="8" t="str">
        <f aca="false">IF(OR(AA88="",V88=""),"",V88/AA88)</f>
        <v/>
      </c>
      <c r="AC88" s="3" t="s">
        <v>740</v>
      </c>
      <c r="AD88" s="3" t="s">
        <v>741</v>
      </c>
      <c r="AE88" s="10" t="s">
        <v>275</v>
      </c>
      <c r="AF88" s="7" t="s">
        <v>81</v>
      </c>
      <c r="AG88" s="3" t="s">
        <v>726</v>
      </c>
    </row>
    <row r="89" customFormat="false" ht="35.05" hidden="false" customHeight="false" outlineLevel="0" collapsed="false">
      <c r="A89" s="13" t="s">
        <v>742</v>
      </c>
      <c r="B89" s="3" t="s">
        <v>60</v>
      </c>
      <c r="C89" s="3" t="s">
        <v>716</v>
      </c>
      <c r="D89" s="3" t="s">
        <v>261</v>
      </c>
      <c r="E89" s="3" t="s">
        <v>326</v>
      </c>
      <c r="F89" s="3" t="s">
        <v>717</v>
      </c>
      <c r="G89" s="3" t="s">
        <v>718</v>
      </c>
      <c r="H89" s="3" t="s">
        <v>719</v>
      </c>
      <c r="I89" s="3" t="s">
        <v>720</v>
      </c>
      <c r="J89" s="14" t="n">
        <v>300</v>
      </c>
      <c r="K89" s="10" t="s">
        <v>267</v>
      </c>
      <c r="L89" s="10" t="s">
        <v>268</v>
      </c>
      <c r="M89" s="15" t="n">
        <v>1</v>
      </c>
      <c r="N89" s="10" t="s">
        <v>743</v>
      </c>
      <c r="O89" s="16" t="n">
        <f aca="false">IF(K89="USD",1,INDEX(Change_periodes!$D$1:$N$400,MATCH($N89,Change_periodes!$A$1:$A$400,0),MATCH($K89,Change_periodes!$D$1:$N$1,0)))</f>
        <v>589.998197165481</v>
      </c>
      <c r="P89" s="3" t="s">
        <v>270</v>
      </c>
      <c r="Q89" s="17" t="n">
        <f aca="false">INDEX(Change_periodes!$D$1:$D$400,MATCH($N89,Change_periodes!$A$1:$A$400,0))</f>
        <v>589.998197165481</v>
      </c>
      <c r="R89" s="18" t="n">
        <f aca="false">IFERROR(J89/M89/O89,"")</f>
        <v>0.508476129997152</v>
      </c>
      <c r="S89" s="9" t="n">
        <f aca="false">IFERROR(R89*Q89,"")</f>
        <v>300</v>
      </c>
      <c r="T89" s="21" t="n">
        <f aca="false">Parametres!$C$5</f>
        <v>0.451833520337499</v>
      </c>
      <c r="U89" s="3" t="s">
        <v>722</v>
      </c>
      <c r="V89" s="9" t="n">
        <f aca="false">IFERROR(S89/T89,"")</f>
        <v>663.961362972614</v>
      </c>
      <c r="W89" s="10" t="s">
        <v>744</v>
      </c>
      <c r="X89" s="9" t="n">
        <f aca="false">IF(W89="","",IFERROR(INDEX($V$1:$V$178,MATCH(W89,$A$1:$A$178,0)),""))</f>
        <v>1717.82001842425</v>
      </c>
      <c r="Y89" s="8" t="n">
        <f aca="false">IF(OR(X89="",V89=""),"",V89/X89)</f>
        <v>0.386513928031681</v>
      </c>
      <c r="Z89" s="10"/>
      <c r="AA89" s="9" t="str">
        <f aca="false">IF(Z89="","",IFERROR(INDEX($V$1:$V$178,MATCH(Z89,$A$1:$A$178,0)),""))</f>
        <v/>
      </c>
      <c r="AB89" s="8" t="str">
        <f aca="false">IF(OR(AA89="",V89=""),"",V89/AA89)</f>
        <v/>
      </c>
      <c r="AC89" s="3" t="s">
        <v>740</v>
      </c>
      <c r="AD89" s="3" t="s">
        <v>741</v>
      </c>
      <c r="AE89" s="10" t="s">
        <v>275</v>
      </c>
      <c r="AF89" s="7" t="s">
        <v>81</v>
      </c>
      <c r="AG89" s="3" t="s">
        <v>726</v>
      </c>
    </row>
    <row r="90" customFormat="false" ht="35.05" hidden="false" customHeight="false" outlineLevel="0" collapsed="false">
      <c r="A90" s="13" t="s">
        <v>745</v>
      </c>
      <c r="B90" s="3" t="s">
        <v>60</v>
      </c>
      <c r="C90" s="3" t="s">
        <v>716</v>
      </c>
      <c r="D90" s="3" t="s">
        <v>261</v>
      </c>
      <c r="E90" s="3" t="s">
        <v>337</v>
      </c>
      <c r="F90" s="3" t="s">
        <v>717</v>
      </c>
      <c r="G90" s="3" t="s">
        <v>718</v>
      </c>
      <c r="H90" s="3" t="s">
        <v>719</v>
      </c>
      <c r="I90" s="3" t="s">
        <v>720</v>
      </c>
      <c r="J90" s="14" t="n">
        <v>310</v>
      </c>
      <c r="K90" s="10" t="s">
        <v>267</v>
      </c>
      <c r="L90" s="10" t="s">
        <v>268</v>
      </c>
      <c r="M90" s="15" t="n">
        <v>1</v>
      </c>
      <c r="N90" s="10" t="s">
        <v>746</v>
      </c>
      <c r="O90" s="16" t="n">
        <f aca="false">IF(K90="USD",1,INDEX(Change_periodes!$D$1:$N$400,MATCH($N90,Change_periodes!$A$1:$A$400,0),MATCH($K90,Change_periodes!$D$1:$N$1,0)))</f>
        <v>622.838818466442</v>
      </c>
      <c r="P90" s="3" t="s">
        <v>270</v>
      </c>
      <c r="Q90" s="17" t="n">
        <f aca="false">INDEX(Change_periodes!$D$1:$D$400,MATCH($N90,Change_periodes!$A$1:$A$400,0))</f>
        <v>622.838818466442</v>
      </c>
      <c r="R90" s="18" t="n">
        <f aca="false">IFERROR(J90/M90/O90,"")</f>
        <v>0.497721064918985</v>
      </c>
      <c r="S90" s="9" t="n">
        <f aca="false">IFERROR(R90*Q90,"")</f>
        <v>310</v>
      </c>
      <c r="T90" s="21" t="n">
        <f aca="false">Parametres!$C$5</f>
        <v>0.451833520337499</v>
      </c>
      <c r="U90" s="3" t="s">
        <v>722</v>
      </c>
      <c r="V90" s="9" t="n">
        <f aca="false">IFERROR(S90/T90,"")</f>
        <v>686.093408405034</v>
      </c>
      <c r="W90" s="10" t="s">
        <v>747</v>
      </c>
      <c r="X90" s="9" t="n">
        <f aca="false">IF(W90="","",IFERROR(INDEX($V$1:$V$178,MATCH(W90,$A$1:$A$178,0)),""))</f>
        <v>1388.51326317179</v>
      </c>
      <c r="Y90" s="8" t="n">
        <f aca="false">IF(OR(X90="",V90=""),"",V90/X90)</f>
        <v>0.494120889301255</v>
      </c>
      <c r="Z90" s="10"/>
      <c r="AA90" s="9" t="str">
        <f aca="false">IF(Z90="","",IFERROR(INDEX($V$1:$V$178,MATCH(Z90,$A$1:$A$178,0)),""))</f>
        <v/>
      </c>
      <c r="AB90" s="8" t="str">
        <f aca="false">IF(OR(AA90="",V90=""),"",V90/AA90)</f>
        <v/>
      </c>
      <c r="AC90" s="3" t="s">
        <v>748</v>
      </c>
      <c r="AD90" s="3" t="s">
        <v>749</v>
      </c>
      <c r="AE90" s="10" t="s">
        <v>275</v>
      </c>
      <c r="AF90" s="7" t="s">
        <v>81</v>
      </c>
      <c r="AG90" s="3" t="s">
        <v>726</v>
      </c>
    </row>
    <row r="91" customFormat="false" ht="35.05" hidden="false" customHeight="false" outlineLevel="0" collapsed="false">
      <c r="A91" s="13" t="s">
        <v>750</v>
      </c>
      <c r="B91" s="3" t="s">
        <v>60</v>
      </c>
      <c r="C91" s="3" t="s">
        <v>716</v>
      </c>
      <c r="D91" s="3" t="s">
        <v>261</v>
      </c>
      <c r="E91" s="3" t="s">
        <v>348</v>
      </c>
      <c r="F91" s="3" t="s">
        <v>717</v>
      </c>
      <c r="G91" s="3" t="s">
        <v>718</v>
      </c>
      <c r="H91" s="3" t="s">
        <v>719</v>
      </c>
      <c r="I91" s="3" t="s">
        <v>720</v>
      </c>
      <c r="J91" s="14" t="n">
        <v>310</v>
      </c>
      <c r="K91" s="10" t="s">
        <v>267</v>
      </c>
      <c r="L91" s="10" t="s">
        <v>268</v>
      </c>
      <c r="M91" s="15" t="n">
        <v>1</v>
      </c>
      <c r="N91" s="10" t="s">
        <v>751</v>
      </c>
      <c r="O91" s="16" t="n">
        <f aca="false">IF(K91="USD",1,INDEX(Change_periodes!$D$1:$N$400,MATCH($N91,Change_periodes!$A$1:$A$400,0),MATCH($K91,Change_periodes!$D$1:$N$1,0)))</f>
        <v>607.505186986435</v>
      </c>
      <c r="P91" s="3" t="s">
        <v>270</v>
      </c>
      <c r="Q91" s="17" t="n">
        <f aca="false">INDEX(Change_periodes!$D$1:$D$400,MATCH($N91,Change_periodes!$A$1:$A$400,0))</f>
        <v>607.505186986435</v>
      </c>
      <c r="R91" s="18" t="n">
        <f aca="false">IFERROR(J91/M91/O91,"")</f>
        <v>0.510283708914113</v>
      </c>
      <c r="S91" s="9" t="n">
        <f aca="false">IFERROR(R91*Q91,"")</f>
        <v>310</v>
      </c>
      <c r="T91" s="21" t="n">
        <f aca="false">Parametres!$C$5</f>
        <v>0.451833520337499</v>
      </c>
      <c r="U91" s="3" t="s">
        <v>722</v>
      </c>
      <c r="V91" s="9" t="n">
        <f aca="false">IFERROR(S91/T91,"")</f>
        <v>686.093408405034</v>
      </c>
      <c r="W91" s="10" t="s">
        <v>752</v>
      </c>
      <c r="X91" s="9" t="n">
        <f aca="false">IF(W91="","",IFERROR(INDEX($V$1:$V$178,MATCH(W91,$A$1:$A$178,0)),""))</f>
        <v>1231.07883554323</v>
      </c>
      <c r="Y91" s="8" t="n">
        <f aca="false">IF(OR(X91="",V91=""),"",V91/X91)</f>
        <v>0.557310700660601</v>
      </c>
      <c r="Z91" s="10"/>
      <c r="AA91" s="9" t="str">
        <f aca="false">IF(Z91="","",IFERROR(INDEX($V$1:$V$178,MATCH(Z91,$A$1:$A$178,0)),""))</f>
        <v/>
      </c>
      <c r="AB91" s="8" t="str">
        <f aca="false">IF(OR(AA91="",V91=""),"",V91/AA91)</f>
        <v/>
      </c>
      <c r="AC91" s="3" t="s">
        <v>753</v>
      </c>
      <c r="AD91" s="3" t="s">
        <v>754</v>
      </c>
      <c r="AE91" s="10" t="s">
        <v>275</v>
      </c>
      <c r="AF91" s="7" t="s">
        <v>81</v>
      </c>
      <c r="AG91" s="3" t="s">
        <v>726</v>
      </c>
    </row>
    <row r="92" customFormat="false" ht="35.05" hidden="false" customHeight="false" outlineLevel="0" collapsed="false">
      <c r="A92" s="13" t="s">
        <v>755</v>
      </c>
      <c r="B92" s="3" t="s">
        <v>60</v>
      </c>
      <c r="C92" s="3" t="s">
        <v>716</v>
      </c>
      <c r="D92" s="3" t="s">
        <v>261</v>
      </c>
      <c r="E92" s="3" t="s">
        <v>359</v>
      </c>
      <c r="F92" s="3" t="s">
        <v>717</v>
      </c>
      <c r="G92" s="3" t="s">
        <v>718</v>
      </c>
      <c r="H92" s="3" t="s">
        <v>719</v>
      </c>
      <c r="I92" s="3" t="s">
        <v>720</v>
      </c>
      <c r="J92" s="14" t="n">
        <v>310</v>
      </c>
      <c r="K92" s="10" t="s">
        <v>267</v>
      </c>
      <c r="L92" s="10" t="s">
        <v>268</v>
      </c>
      <c r="M92" s="15" t="n">
        <v>1</v>
      </c>
      <c r="N92" s="10" t="s">
        <v>756</v>
      </c>
      <c r="O92" s="16" t="n">
        <f aca="false">IF(K92="USD",1,INDEX(Change_periodes!$D$1:$N$400,MATCH($N92,Change_periodes!$A$1:$A$400,0),MATCH($K92,Change_periodes!$D$1:$N$1,0)))</f>
        <v>599.944927889257</v>
      </c>
      <c r="P92" s="3" t="s">
        <v>270</v>
      </c>
      <c r="Q92" s="17" t="n">
        <f aca="false">INDEX(Change_periodes!$D$1:$D$400,MATCH($N92,Change_periodes!$A$1:$A$400,0))</f>
        <v>599.944927889257</v>
      </c>
      <c r="R92" s="18" t="n">
        <f aca="false">IFERROR(J92/M92/O92,"")</f>
        <v>0.516714094226366</v>
      </c>
      <c r="S92" s="9" t="n">
        <f aca="false">IFERROR(R92*Q92,"")</f>
        <v>310</v>
      </c>
      <c r="T92" s="21" t="n">
        <f aca="false">Parametres!$C$5</f>
        <v>0.451833520337499</v>
      </c>
      <c r="U92" s="3" t="s">
        <v>722</v>
      </c>
      <c r="V92" s="9" t="n">
        <f aca="false">IFERROR(S92/T92,"")</f>
        <v>686.093408405034</v>
      </c>
      <c r="W92" s="10" t="s">
        <v>757</v>
      </c>
      <c r="X92" s="9" t="n">
        <f aca="false">IF(W92="","",IFERROR(INDEX($V$1:$V$178,MATCH(W92,$A$1:$A$178,0)),""))</f>
        <v>1052.44414059876</v>
      </c>
      <c r="Y92" s="8" t="n">
        <f aca="false">IF(OR(X92="",V92=""),"",V92/X92)</f>
        <v>0.651904820349611</v>
      </c>
      <c r="Z92" s="10"/>
      <c r="AA92" s="9" t="str">
        <f aca="false">IF(Z92="","",IFERROR(INDEX($V$1:$V$178,MATCH(Z92,$A$1:$A$178,0)),""))</f>
        <v/>
      </c>
      <c r="AB92" s="8" t="str">
        <f aca="false">IF(OR(AA92="",V92=""),"",V92/AA92)</f>
        <v/>
      </c>
      <c r="AC92" s="3" t="s">
        <v>758</v>
      </c>
      <c r="AD92" s="3" t="s">
        <v>759</v>
      </c>
      <c r="AE92" s="10" t="s">
        <v>275</v>
      </c>
      <c r="AF92" s="7" t="s">
        <v>81</v>
      </c>
      <c r="AG92" s="3" t="s">
        <v>726</v>
      </c>
    </row>
    <row r="93" customFormat="false" ht="46.25" hidden="false" customHeight="false" outlineLevel="0" collapsed="false">
      <c r="A93" s="13" t="s">
        <v>153</v>
      </c>
      <c r="B93" s="3" t="s">
        <v>60</v>
      </c>
      <c r="C93" s="3" t="s">
        <v>716</v>
      </c>
      <c r="D93" s="3" t="s">
        <v>261</v>
      </c>
      <c r="E93" s="3" t="s">
        <v>369</v>
      </c>
      <c r="F93" s="3" t="s">
        <v>717</v>
      </c>
      <c r="G93" s="3" t="s">
        <v>718</v>
      </c>
      <c r="H93" s="3" t="s">
        <v>719</v>
      </c>
      <c r="I93" s="3" t="s">
        <v>720</v>
      </c>
      <c r="J93" s="14" t="n">
        <v>310</v>
      </c>
      <c r="K93" s="10" t="s">
        <v>267</v>
      </c>
      <c r="L93" s="10" t="s">
        <v>268</v>
      </c>
      <c r="M93" s="15" t="n">
        <v>1</v>
      </c>
      <c r="N93" s="10" t="s">
        <v>760</v>
      </c>
      <c r="O93" s="16" t="n">
        <f aca="false">IF(K93="USD",1,INDEX(Change_periodes!$D$1:$N$400,MATCH($N93,Change_periodes!$A$1:$A$400,0),MATCH($K93,Change_periodes!$D$1:$N$1,0)))</f>
        <v>563.510574475321</v>
      </c>
      <c r="P93" s="3" t="s">
        <v>270</v>
      </c>
      <c r="Q93" s="17" t="n">
        <f aca="false">INDEX(Change_periodes!$D$1:$D$400,MATCH($N93,Change_periodes!$A$1:$A$400,0))</f>
        <v>563.510574475321</v>
      </c>
      <c r="R93" s="18" t="n">
        <f aca="false">IFERROR(J93/M93/O93,"")</f>
        <v>0.55012277327473</v>
      </c>
      <c r="S93" s="9" t="n">
        <f aca="false">IFERROR(R93*Q93,"")</f>
        <v>310</v>
      </c>
      <c r="T93" s="21" t="n">
        <f aca="false">Parametres!$C$5</f>
        <v>0.451833520337499</v>
      </c>
      <c r="U93" s="3" t="s">
        <v>722</v>
      </c>
      <c r="V93" s="9" t="n">
        <f aca="false">IFERROR(S93/T93,"")</f>
        <v>686.093408405034</v>
      </c>
      <c r="W93" s="10" t="s">
        <v>761</v>
      </c>
      <c r="X93" s="9" t="n">
        <f aca="false">IF(W93="","",IFERROR(INDEX($V$1:$V$178,MATCH(W93,$A$1:$A$178,0)),""))</f>
        <v>942.500319143597</v>
      </c>
      <c r="Y93" s="8" t="n">
        <f aca="false">IF(OR(X93="",V93=""),"",V93/X93)</f>
        <v>0.727950319452892</v>
      </c>
      <c r="Z93" s="10"/>
      <c r="AA93" s="9" t="str">
        <f aca="false">IF(Z93="","",IFERROR(INDEX($V$1:$V$178,MATCH(Z93,$A$1:$A$178,0)),""))</f>
        <v/>
      </c>
      <c r="AB93" s="8" t="str">
        <f aca="false">IF(OR(AA93="",V93=""),"",V93/AA93)</f>
        <v/>
      </c>
      <c r="AC93" s="3" t="s">
        <v>762</v>
      </c>
      <c r="AD93" s="3" t="s">
        <v>763</v>
      </c>
      <c r="AE93" s="10" t="s">
        <v>275</v>
      </c>
      <c r="AF93" s="7" t="s">
        <v>81</v>
      </c>
      <c r="AG93" s="3" t="s">
        <v>726</v>
      </c>
    </row>
    <row r="94" customFormat="false" ht="35.05" hidden="false" customHeight="false" outlineLevel="0" collapsed="false">
      <c r="A94" s="13" t="s">
        <v>154</v>
      </c>
      <c r="B94" s="3" t="s">
        <v>60</v>
      </c>
      <c r="C94" s="3" t="s">
        <v>716</v>
      </c>
      <c r="D94" s="3" t="s">
        <v>83</v>
      </c>
      <c r="E94" s="3" t="s">
        <v>369</v>
      </c>
      <c r="F94" s="3" t="s">
        <v>764</v>
      </c>
      <c r="G94" s="3" t="s">
        <v>718</v>
      </c>
      <c r="H94" s="3" t="s">
        <v>265</v>
      </c>
      <c r="I94" s="3" t="s">
        <v>765</v>
      </c>
      <c r="J94" s="14" t="n">
        <v>325</v>
      </c>
      <c r="K94" s="10" t="s">
        <v>267</v>
      </c>
      <c r="L94" s="10" t="s">
        <v>268</v>
      </c>
      <c r="M94" s="15" t="n">
        <v>1</v>
      </c>
      <c r="N94" s="10" t="s">
        <v>760</v>
      </c>
      <c r="O94" s="16" t="n">
        <f aca="false">IF(K94="USD",1,INDEX(Change_periodes!$D$1:$N$400,MATCH($N94,Change_periodes!$A$1:$A$400,0),MATCH($K94,Change_periodes!$D$1:$N$1,0)))</f>
        <v>563.510574475321</v>
      </c>
      <c r="P94" s="3" t="s">
        <v>270</v>
      </c>
      <c r="Q94" s="17" t="n">
        <f aca="false">INDEX(Change_periodes!$D$1:$D$400,MATCH($N94,Change_periodes!$A$1:$A$400,0))</f>
        <v>563.510574475321</v>
      </c>
      <c r="R94" s="18" t="n">
        <f aca="false">IFERROR(J94/M94/O94,"")</f>
        <v>0.576741617142862</v>
      </c>
      <c r="S94" s="9" t="n">
        <f aca="false">IFERROR(R94*Q94,"")</f>
        <v>325</v>
      </c>
      <c r="T94" s="19" t="n">
        <v>1</v>
      </c>
      <c r="U94" s="3" t="s">
        <v>271</v>
      </c>
      <c r="V94" s="9" t="n">
        <f aca="false">IFERROR(S94/T94,"")</f>
        <v>325</v>
      </c>
      <c r="W94" s="10"/>
      <c r="X94" s="9" t="str">
        <f aca="false">IF(W94="","",IFERROR(INDEX($V$1:$V$178,MATCH(W94,$A$1:$A$178,0)),""))</f>
        <v/>
      </c>
      <c r="Y94" s="8" t="str">
        <f aca="false">IF(OR(X94="",V94=""),"",V94/X94)</f>
        <v/>
      </c>
      <c r="Z94" s="10"/>
      <c r="AA94" s="9" t="str">
        <f aca="false">IF(Z94="","",IFERROR(INDEX($V$1:$V$178,MATCH(Z94,$A$1:$A$178,0)),""))</f>
        <v/>
      </c>
      <c r="AB94" s="8" t="str">
        <f aca="false">IF(OR(AA94="",V94=""),"",V94/AA94)</f>
        <v/>
      </c>
      <c r="AC94" s="3" t="s">
        <v>766</v>
      </c>
      <c r="AD94" s="3" t="s">
        <v>767</v>
      </c>
      <c r="AE94" s="10" t="s">
        <v>275</v>
      </c>
      <c r="AF94" s="7" t="s">
        <v>401</v>
      </c>
      <c r="AG94" s="3" t="s">
        <v>768</v>
      </c>
    </row>
    <row r="95" customFormat="false" ht="23.85" hidden="false" customHeight="false" outlineLevel="0" collapsed="false">
      <c r="A95" s="13" t="s">
        <v>157</v>
      </c>
      <c r="B95" s="3" t="s">
        <v>60</v>
      </c>
      <c r="C95" s="3" t="s">
        <v>716</v>
      </c>
      <c r="D95" s="3" t="s">
        <v>662</v>
      </c>
      <c r="E95" s="3" t="s">
        <v>369</v>
      </c>
      <c r="F95" s="3" t="s">
        <v>764</v>
      </c>
      <c r="G95" s="3" t="s">
        <v>718</v>
      </c>
      <c r="H95" s="3" t="s">
        <v>265</v>
      </c>
      <c r="I95" s="3" t="s">
        <v>765</v>
      </c>
      <c r="J95" s="14" t="n">
        <v>300</v>
      </c>
      <c r="K95" s="10" t="s">
        <v>267</v>
      </c>
      <c r="L95" s="10" t="s">
        <v>268</v>
      </c>
      <c r="M95" s="15" t="n">
        <v>1</v>
      </c>
      <c r="N95" s="10" t="s">
        <v>760</v>
      </c>
      <c r="O95" s="16" t="n">
        <f aca="false">IF(K95="USD",1,INDEX(Change_periodes!$D$1:$N$400,MATCH($N95,Change_periodes!$A$1:$A$400,0),MATCH($K95,Change_periodes!$D$1:$N$1,0)))</f>
        <v>563.510574475321</v>
      </c>
      <c r="P95" s="3" t="s">
        <v>270</v>
      </c>
      <c r="Q95" s="17" t="n">
        <f aca="false">INDEX(Change_periodes!$D$1:$D$400,MATCH($N95,Change_periodes!$A$1:$A$400,0))</f>
        <v>563.510574475321</v>
      </c>
      <c r="R95" s="18" t="n">
        <f aca="false">IFERROR(J95/M95/O95,"")</f>
        <v>0.532376877362642</v>
      </c>
      <c r="S95" s="9" t="n">
        <f aca="false">IFERROR(R95*Q95,"")</f>
        <v>300</v>
      </c>
      <c r="T95" s="19" t="n">
        <v>1</v>
      </c>
      <c r="U95" s="3" t="s">
        <v>271</v>
      </c>
      <c r="V95" s="9" t="n">
        <f aca="false">IFERROR(S95/T95,"")</f>
        <v>300</v>
      </c>
      <c r="W95" s="10"/>
      <c r="X95" s="9" t="str">
        <f aca="false">IF(W95="","",IFERROR(INDEX($V$1:$V$178,MATCH(W95,$A$1:$A$178,0)),""))</f>
        <v/>
      </c>
      <c r="Y95" s="8" t="str">
        <f aca="false">IF(OR(X95="",V95=""),"",V95/X95)</f>
        <v/>
      </c>
      <c r="Z95" s="10"/>
      <c r="AA95" s="9" t="str">
        <f aca="false">IF(Z95="","",IFERROR(INDEX($V$1:$V$178,MATCH(Z95,$A$1:$A$178,0)),""))</f>
        <v/>
      </c>
      <c r="AB95" s="8" t="str">
        <f aca="false">IF(OR(AA95="",V95=""),"",V95/AA95)</f>
        <v/>
      </c>
      <c r="AC95" s="3" t="s">
        <v>769</v>
      </c>
      <c r="AD95" s="3" t="s">
        <v>770</v>
      </c>
      <c r="AE95" s="10" t="s">
        <v>275</v>
      </c>
      <c r="AF95" s="7" t="s">
        <v>81</v>
      </c>
      <c r="AG95" s="3" t="s">
        <v>771</v>
      </c>
    </row>
    <row r="96" customFormat="false" ht="46.25" hidden="false" customHeight="false" outlineLevel="0" collapsed="false">
      <c r="A96" s="13" t="s">
        <v>159</v>
      </c>
      <c r="B96" s="3" t="s">
        <v>60</v>
      </c>
      <c r="C96" s="3" t="s">
        <v>716</v>
      </c>
      <c r="D96" s="3" t="s">
        <v>772</v>
      </c>
      <c r="E96" s="3" t="s">
        <v>369</v>
      </c>
      <c r="F96" s="3" t="s">
        <v>764</v>
      </c>
      <c r="G96" s="3" t="s">
        <v>718</v>
      </c>
      <c r="H96" s="3" t="s">
        <v>265</v>
      </c>
      <c r="I96" s="3" t="s">
        <v>765</v>
      </c>
      <c r="J96" s="14" t="n">
        <v>300</v>
      </c>
      <c r="K96" s="10" t="s">
        <v>267</v>
      </c>
      <c r="L96" s="10" t="s">
        <v>268</v>
      </c>
      <c r="M96" s="15" t="n">
        <v>1</v>
      </c>
      <c r="N96" s="10" t="s">
        <v>760</v>
      </c>
      <c r="O96" s="16" t="n">
        <f aca="false">IF(K96="USD",1,INDEX(Change_periodes!$D$1:$N$400,MATCH($N96,Change_periodes!$A$1:$A$400,0),MATCH($K96,Change_periodes!$D$1:$N$1,0)))</f>
        <v>563.510574475321</v>
      </c>
      <c r="P96" s="3" t="s">
        <v>270</v>
      </c>
      <c r="Q96" s="17" t="n">
        <f aca="false">INDEX(Change_periodes!$D$1:$D$400,MATCH($N96,Change_periodes!$A$1:$A$400,0))</f>
        <v>563.510574475321</v>
      </c>
      <c r="R96" s="18" t="n">
        <f aca="false">IFERROR(J96/M96/O96,"")</f>
        <v>0.532376877362642</v>
      </c>
      <c r="S96" s="9" t="n">
        <f aca="false">IFERROR(R96*Q96,"")</f>
        <v>300</v>
      </c>
      <c r="T96" s="19" t="n">
        <v>1</v>
      </c>
      <c r="U96" s="3" t="s">
        <v>271</v>
      </c>
      <c r="V96" s="9" t="n">
        <f aca="false">IFERROR(S96/T96,"")</f>
        <v>300</v>
      </c>
      <c r="W96" s="10"/>
      <c r="X96" s="9" t="str">
        <f aca="false">IF(W96="","",IFERROR(INDEX($V$1:$V$178,MATCH(W96,$A$1:$A$178,0)),""))</f>
        <v/>
      </c>
      <c r="Y96" s="8" t="str">
        <f aca="false">IF(OR(X96="",V96=""),"",V96/X96)</f>
        <v/>
      </c>
      <c r="Z96" s="10"/>
      <c r="AA96" s="9" t="str">
        <f aca="false">IF(Z96="","",IFERROR(INDEX($V$1:$V$178,MATCH(Z96,$A$1:$A$178,0)),""))</f>
        <v/>
      </c>
      <c r="AB96" s="8" t="str">
        <f aca="false">IF(OR(AA96="",V96=""),"",V96/AA96)</f>
        <v/>
      </c>
      <c r="AC96" s="3" t="s">
        <v>773</v>
      </c>
      <c r="AD96" s="3" t="s">
        <v>774</v>
      </c>
      <c r="AE96" s="10" t="s">
        <v>275</v>
      </c>
      <c r="AF96" s="7" t="s">
        <v>81</v>
      </c>
      <c r="AG96" s="3" t="s">
        <v>775</v>
      </c>
    </row>
    <row r="97" customFormat="false" ht="35.05" hidden="false" customHeight="false" outlineLevel="0" collapsed="false">
      <c r="A97" s="13" t="s">
        <v>162</v>
      </c>
      <c r="B97" s="3" t="s">
        <v>60</v>
      </c>
      <c r="C97" s="3" t="s">
        <v>716</v>
      </c>
      <c r="D97" s="3" t="s">
        <v>776</v>
      </c>
      <c r="E97" s="3" t="s">
        <v>369</v>
      </c>
      <c r="F97" s="3" t="s">
        <v>764</v>
      </c>
      <c r="G97" s="3" t="s">
        <v>718</v>
      </c>
      <c r="H97" s="3" t="s">
        <v>265</v>
      </c>
      <c r="I97" s="3" t="s">
        <v>765</v>
      </c>
      <c r="J97" s="14" t="n">
        <v>300</v>
      </c>
      <c r="K97" s="10" t="s">
        <v>267</v>
      </c>
      <c r="L97" s="10" t="s">
        <v>268</v>
      </c>
      <c r="M97" s="15" t="n">
        <v>1</v>
      </c>
      <c r="N97" s="10" t="s">
        <v>760</v>
      </c>
      <c r="O97" s="16" t="n">
        <f aca="false">IF(K97="USD",1,INDEX(Change_periodes!$D$1:$N$400,MATCH($N97,Change_periodes!$A$1:$A$400,0),MATCH($K97,Change_periodes!$D$1:$N$1,0)))</f>
        <v>563.510574475321</v>
      </c>
      <c r="P97" s="3" t="s">
        <v>270</v>
      </c>
      <c r="Q97" s="17" t="n">
        <f aca="false">INDEX(Change_periodes!$D$1:$D$400,MATCH($N97,Change_periodes!$A$1:$A$400,0))</f>
        <v>563.510574475321</v>
      </c>
      <c r="R97" s="18" t="n">
        <f aca="false">IFERROR(J97/M97/O97,"")</f>
        <v>0.532376877362642</v>
      </c>
      <c r="S97" s="9" t="n">
        <f aca="false">IFERROR(R97*Q97,"")</f>
        <v>300</v>
      </c>
      <c r="T97" s="19" t="n">
        <v>1</v>
      </c>
      <c r="U97" s="3" t="s">
        <v>271</v>
      </c>
      <c r="V97" s="9" t="n">
        <f aca="false">IFERROR(S97/T97,"")</f>
        <v>300</v>
      </c>
      <c r="W97" s="10"/>
      <c r="X97" s="9" t="str">
        <f aca="false">IF(W97="","",IFERROR(INDEX($V$1:$V$178,MATCH(W97,$A$1:$A$178,0)),""))</f>
        <v/>
      </c>
      <c r="Y97" s="8" t="str">
        <f aca="false">IF(OR(X97="",V97=""),"",V97/X97)</f>
        <v/>
      </c>
      <c r="Z97" s="10"/>
      <c r="AA97" s="9" t="str">
        <f aca="false">IF(Z97="","",IFERROR(INDEX($V$1:$V$178,MATCH(Z97,$A$1:$A$178,0)),""))</f>
        <v/>
      </c>
      <c r="AB97" s="8" t="str">
        <f aca="false">IF(OR(AA97="",V97=""),"",V97/AA97)</f>
        <v/>
      </c>
      <c r="AC97" s="3" t="s">
        <v>777</v>
      </c>
      <c r="AD97" s="3" t="s">
        <v>778</v>
      </c>
      <c r="AE97" s="10" t="s">
        <v>275</v>
      </c>
      <c r="AF97" s="20" t="s">
        <v>484</v>
      </c>
      <c r="AG97" s="3" t="s">
        <v>779</v>
      </c>
    </row>
    <row r="98" customFormat="false" ht="35.05" hidden="false" customHeight="false" outlineLevel="0" collapsed="false">
      <c r="A98" s="13" t="s">
        <v>165</v>
      </c>
      <c r="B98" s="3" t="s">
        <v>60</v>
      </c>
      <c r="C98" s="3" t="s">
        <v>716</v>
      </c>
      <c r="D98" s="3" t="s">
        <v>780</v>
      </c>
      <c r="E98" s="3" t="s">
        <v>369</v>
      </c>
      <c r="F98" s="3" t="s">
        <v>764</v>
      </c>
      <c r="G98" s="3" t="s">
        <v>718</v>
      </c>
      <c r="H98" s="3" t="s">
        <v>265</v>
      </c>
      <c r="I98" s="3" t="s">
        <v>765</v>
      </c>
      <c r="J98" s="14" t="n">
        <v>350</v>
      </c>
      <c r="K98" s="10" t="s">
        <v>267</v>
      </c>
      <c r="L98" s="10" t="s">
        <v>268</v>
      </c>
      <c r="M98" s="15" t="n">
        <v>1</v>
      </c>
      <c r="N98" s="10" t="s">
        <v>760</v>
      </c>
      <c r="O98" s="16" t="n">
        <f aca="false">IF(K98="USD",1,INDEX(Change_periodes!$D$1:$N$400,MATCH($N98,Change_periodes!$A$1:$A$400,0),MATCH($K98,Change_periodes!$D$1:$N$1,0)))</f>
        <v>563.510574475321</v>
      </c>
      <c r="P98" s="3" t="s">
        <v>270</v>
      </c>
      <c r="Q98" s="17" t="n">
        <f aca="false">INDEX(Change_periodes!$D$1:$D$400,MATCH($N98,Change_periodes!$A$1:$A$400,0))</f>
        <v>563.510574475321</v>
      </c>
      <c r="R98" s="18" t="n">
        <f aca="false">IFERROR(J98/M98/O98,"")</f>
        <v>0.621106356923082</v>
      </c>
      <c r="S98" s="9" t="n">
        <f aca="false">IFERROR(R98*Q98,"")</f>
        <v>350</v>
      </c>
      <c r="T98" s="19" t="n">
        <v>1</v>
      </c>
      <c r="U98" s="3" t="s">
        <v>271</v>
      </c>
      <c r="V98" s="9" t="n">
        <f aca="false">IFERROR(S98/T98,"")</f>
        <v>350</v>
      </c>
      <c r="W98" s="10"/>
      <c r="X98" s="9" t="str">
        <f aca="false">IF(W98="","",IFERROR(INDEX($V$1:$V$178,MATCH(W98,$A$1:$A$178,0)),""))</f>
        <v/>
      </c>
      <c r="Y98" s="8" t="str">
        <f aca="false">IF(OR(X98="",V98=""),"",V98/X98)</f>
        <v/>
      </c>
      <c r="Z98" s="10"/>
      <c r="AA98" s="9" t="str">
        <f aca="false">IF(Z98="","",IFERROR(INDEX($V$1:$V$178,MATCH(Z98,$A$1:$A$178,0)),""))</f>
        <v/>
      </c>
      <c r="AB98" s="8" t="str">
        <f aca="false">IF(OR(AA98="",V98=""),"",V98/AA98)</f>
        <v/>
      </c>
      <c r="AC98" s="3" t="s">
        <v>777</v>
      </c>
      <c r="AD98" s="3" t="s">
        <v>778</v>
      </c>
      <c r="AE98" s="10" t="s">
        <v>275</v>
      </c>
      <c r="AF98" s="20" t="s">
        <v>484</v>
      </c>
      <c r="AG98" s="3" t="s">
        <v>781</v>
      </c>
    </row>
    <row r="99" customFormat="false" ht="35.05" hidden="false" customHeight="false" outlineLevel="0" collapsed="false">
      <c r="A99" s="13" t="s">
        <v>782</v>
      </c>
      <c r="B99" s="3" t="s">
        <v>60</v>
      </c>
      <c r="C99" s="3" t="s">
        <v>716</v>
      </c>
      <c r="D99" s="3" t="s">
        <v>83</v>
      </c>
      <c r="E99" s="3" t="s">
        <v>431</v>
      </c>
      <c r="F99" s="3" t="s">
        <v>764</v>
      </c>
      <c r="G99" s="3" t="s">
        <v>718</v>
      </c>
      <c r="H99" s="3" t="s">
        <v>265</v>
      </c>
      <c r="I99" s="3" t="s">
        <v>765</v>
      </c>
      <c r="J99" s="14" t="n">
        <v>310</v>
      </c>
      <c r="K99" s="10" t="s">
        <v>267</v>
      </c>
      <c r="L99" s="10" t="s">
        <v>268</v>
      </c>
      <c r="M99" s="15" t="n">
        <v>1</v>
      </c>
      <c r="N99" s="10" t="s">
        <v>783</v>
      </c>
      <c r="O99" s="16" t="n">
        <f aca="false">IF(K99="USD",1,INDEX(Change_periodes!$D$1:$N$400,MATCH($N99,Change_periodes!$A$1:$A$400,0),MATCH($K99,Change_periodes!$D$1:$N$1,0)))</f>
        <v>566.575152185652</v>
      </c>
      <c r="P99" s="3" t="s">
        <v>270</v>
      </c>
      <c r="Q99" s="17" t="n">
        <f aca="false">INDEX(Change_periodes!$D$1:$D$400,MATCH($N99,Change_periodes!$A$1:$A$400,0))</f>
        <v>566.575152185652</v>
      </c>
      <c r="R99" s="18" t="n">
        <f aca="false">IFERROR(J99/M99/O99,"")</f>
        <v>0.547147185689536</v>
      </c>
      <c r="S99" s="9" t="n">
        <f aca="false">IFERROR(R99*Q99,"")</f>
        <v>310</v>
      </c>
      <c r="T99" s="19" t="n">
        <v>1</v>
      </c>
      <c r="U99" s="3" t="s">
        <v>271</v>
      </c>
      <c r="V99" s="9" t="n">
        <f aca="false">IFERROR(S99/T99,"")</f>
        <v>310</v>
      </c>
      <c r="W99" s="10"/>
      <c r="X99" s="9" t="str">
        <f aca="false">IF(W99="","",IFERROR(INDEX($V$1:$V$178,MATCH(W99,$A$1:$A$178,0)),""))</f>
        <v/>
      </c>
      <c r="Y99" s="8" t="str">
        <f aca="false">IF(OR(X99="",V99=""),"",V99/X99)</f>
        <v/>
      </c>
      <c r="Z99" s="10"/>
      <c r="AA99" s="9" t="str">
        <f aca="false">IF(Z99="","",IFERROR(INDEX($V$1:$V$178,MATCH(Z99,$A$1:$A$178,0)),""))</f>
        <v/>
      </c>
      <c r="AB99" s="8" t="str">
        <f aca="false">IF(OR(AA99="",V99=""),"",V99/AA99)</f>
        <v/>
      </c>
      <c r="AC99" s="3" t="s">
        <v>777</v>
      </c>
      <c r="AD99" s="3" t="s">
        <v>778</v>
      </c>
      <c r="AE99" s="10" t="s">
        <v>275</v>
      </c>
      <c r="AF99" s="20" t="s">
        <v>484</v>
      </c>
      <c r="AG99" s="3" t="s">
        <v>784</v>
      </c>
    </row>
    <row r="100" customFormat="false" ht="46.25" hidden="false" customHeight="false" outlineLevel="0" collapsed="false">
      <c r="A100" s="13" t="s">
        <v>785</v>
      </c>
      <c r="B100" s="3" t="s">
        <v>60</v>
      </c>
      <c r="C100" s="3" t="s">
        <v>716</v>
      </c>
      <c r="D100" s="3" t="s">
        <v>772</v>
      </c>
      <c r="E100" s="3" t="s">
        <v>431</v>
      </c>
      <c r="F100" s="3" t="s">
        <v>764</v>
      </c>
      <c r="G100" s="3" t="s">
        <v>718</v>
      </c>
      <c r="H100" s="3" t="s">
        <v>265</v>
      </c>
      <c r="I100" s="3" t="s">
        <v>765</v>
      </c>
      <c r="J100" s="14" t="n">
        <v>300</v>
      </c>
      <c r="K100" s="10" t="s">
        <v>267</v>
      </c>
      <c r="L100" s="10" t="s">
        <v>268</v>
      </c>
      <c r="M100" s="15" t="n">
        <v>1</v>
      </c>
      <c r="N100" s="10" t="s">
        <v>783</v>
      </c>
      <c r="O100" s="16" t="n">
        <f aca="false">IF(K100="USD",1,INDEX(Change_periodes!$D$1:$N$400,MATCH($N100,Change_periodes!$A$1:$A$400,0),MATCH($K100,Change_periodes!$D$1:$N$1,0)))</f>
        <v>566.575152185652</v>
      </c>
      <c r="P100" s="3" t="s">
        <v>270</v>
      </c>
      <c r="Q100" s="17" t="n">
        <f aca="false">INDEX(Change_periodes!$D$1:$D$400,MATCH($N100,Change_periodes!$A$1:$A$400,0))</f>
        <v>566.575152185652</v>
      </c>
      <c r="R100" s="18" t="n">
        <f aca="false">IFERROR(J100/M100/O100,"")</f>
        <v>0.529497276473745</v>
      </c>
      <c r="S100" s="9" t="n">
        <f aca="false">IFERROR(R100*Q100,"")</f>
        <v>300</v>
      </c>
      <c r="T100" s="19" t="n">
        <v>1</v>
      </c>
      <c r="U100" s="3" t="s">
        <v>271</v>
      </c>
      <c r="V100" s="9" t="n">
        <f aca="false">IFERROR(S100/T100,"")</f>
        <v>300</v>
      </c>
      <c r="W100" s="10"/>
      <c r="X100" s="9" t="str">
        <f aca="false">IF(W100="","",IFERROR(INDEX($V$1:$V$178,MATCH(W100,$A$1:$A$178,0)),""))</f>
        <v/>
      </c>
      <c r="Y100" s="8" t="str">
        <f aca="false">IF(OR(X100="",V100=""),"",V100/X100)</f>
        <v/>
      </c>
      <c r="Z100" s="10"/>
      <c r="AA100" s="9" t="str">
        <f aca="false">IF(Z100="","",IFERROR(INDEX($V$1:$V$178,MATCH(Z100,$A$1:$A$178,0)),""))</f>
        <v/>
      </c>
      <c r="AB100" s="8" t="str">
        <f aca="false">IF(OR(AA100="",V100=""),"",V100/AA100)</f>
        <v/>
      </c>
      <c r="AC100" s="3" t="s">
        <v>786</v>
      </c>
      <c r="AD100" s="3" t="s">
        <v>787</v>
      </c>
      <c r="AE100" s="10" t="s">
        <v>275</v>
      </c>
      <c r="AF100" s="7" t="s">
        <v>81</v>
      </c>
      <c r="AG100" s="3" t="s">
        <v>788</v>
      </c>
    </row>
    <row r="101" customFormat="false" ht="23.85" hidden="false" customHeight="false" outlineLevel="0" collapsed="false">
      <c r="A101" s="13" t="s">
        <v>789</v>
      </c>
      <c r="B101" s="3" t="s">
        <v>64</v>
      </c>
      <c r="C101" s="3" t="s">
        <v>790</v>
      </c>
      <c r="D101" s="3" t="s">
        <v>261</v>
      </c>
      <c r="E101" s="3" t="s">
        <v>215</v>
      </c>
      <c r="F101" s="3" t="s">
        <v>791</v>
      </c>
      <c r="G101" s="3" t="s">
        <v>792</v>
      </c>
      <c r="H101" s="3" t="s">
        <v>265</v>
      </c>
      <c r="I101" s="3" t="s">
        <v>793</v>
      </c>
      <c r="J101" s="14" t="n">
        <v>442</v>
      </c>
      <c r="K101" s="10" t="s">
        <v>267</v>
      </c>
      <c r="L101" s="10" t="s">
        <v>268</v>
      </c>
      <c r="M101" s="15" t="n">
        <v>1</v>
      </c>
      <c r="N101" s="10" t="s">
        <v>794</v>
      </c>
      <c r="O101" s="16" t="n">
        <f aca="false">IF(K101="USD",1,INDEX(Change_periodes!$D$1:$N$400,MATCH($N101,Change_periodes!$A$1:$A$400,0),MATCH($K101,Change_periodes!$D$1:$N$1,0)))</f>
        <v>625.987832518192</v>
      </c>
      <c r="P101" s="3" t="s">
        <v>270</v>
      </c>
      <c r="Q101" s="17" t="n">
        <f aca="false">INDEX(Change_periodes!$D$1:$D$400,MATCH($N101,Change_periodes!$A$1:$A$400,0))</f>
        <v>625.987832518192</v>
      </c>
      <c r="R101" s="18" t="n">
        <f aca="false">IFERROR(J101/M101/O101,"")</f>
        <v>0.706084011604419</v>
      </c>
      <c r="S101" s="9" t="n">
        <f aca="false">IFERROR(R101*Q101,"")</f>
        <v>442</v>
      </c>
      <c r="T101" s="21" t="n">
        <f aca="false">Parametres!$C$6</f>
        <v>0.6</v>
      </c>
      <c r="U101" s="3" t="s">
        <v>795</v>
      </c>
      <c r="V101" s="9" t="n">
        <f aca="false">IFERROR(S101/T101,"")</f>
        <v>736.666666666667</v>
      </c>
      <c r="W101" s="10" t="s">
        <v>796</v>
      </c>
      <c r="X101" s="9" t="n">
        <f aca="false">IF(W101="","",IFERROR(INDEX($V$1:$V$178,MATCH(W101,$A$1:$A$178,0)),""))</f>
        <v>1248.03194169152</v>
      </c>
      <c r="Y101" s="8" t="n">
        <f aca="false">IF(OR(X101="",V101=""),"",V101/X101)</f>
        <v>0.590262670415491</v>
      </c>
      <c r="Z101" s="10"/>
      <c r="AA101" s="9" t="str">
        <f aca="false">IF(Z101="","",IFERROR(INDEX($V$1:$V$178,MATCH(Z101,$A$1:$A$178,0)),""))</f>
        <v/>
      </c>
      <c r="AB101" s="8" t="str">
        <f aca="false">IF(OR(AA101="",V101=""),"",V101/AA101)</f>
        <v/>
      </c>
      <c r="AC101" s="3" t="s">
        <v>797</v>
      </c>
      <c r="AD101" s="3" t="s">
        <v>798</v>
      </c>
      <c r="AE101" s="10" t="s">
        <v>275</v>
      </c>
      <c r="AF101" s="7" t="s">
        <v>81</v>
      </c>
      <c r="AG101" s="3" t="s">
        <v>799</v>
      </c>
    </row>
    <row r="102" customFormat="false" ht="23.85" hidden="false" customHeight="false" outlineLevel="0" collapsed="false">
      <c r="A102" s="13" t="s">
        <v>168</v>
      </c>
      <c r="B102" s="3" t="s">
        <v>64</v>
      </c>
      <c r="C102" s="3" t="s">
        <v>790</v>
      </c>
      <c r="D102" s="3" t="s">
        <v>261</v>
      </c>
      <c r="E102" s="3" t="s">
        <v>215</v>
      </c>
      <c r="F102" s="3" t="s">
        <v>800</v>
      </c>
      <c r="G102" s="3" t="s">
        <v>792</v>
      </c>
      <c r="H102" s="3" t="s">
        <v>265</v>
      </c>
      <c r="I102" s="3" t="s">
        <v>793</v>
      </c>
      <c r="J102" s="14" t="n">
        <v>438</v>
      </c>
      <c r="K102" s="10" t="s">
        <v>267</v>
      </c>
      <c r="L102" s="10" t="s">
        <v>268</v>
      </c>
      <c r="M102" s="15" t="n">
        <v>1</v>
      </c>
      <c r="N102" s="10" t="s">
        <v>801</v>
      </c>
      <c r="O102" s="16" t="n">
        <f aca="false">IF(K102="USD",1,INDEX(Change_periodes!$D$1:$N$400,MATCH($N102,Change_periodes!$A$1:$A$400,0),MATCH($K102,Change_periodes!$D$1:$N$1,0)))</f>
        <v>606.984854920185</v>
      </c>
      <c r="P102" s="3" t="s">
        <v>270</v>
      </c>
      <c r="Q102" s="17" t="n">
        <f aca="false">INDEX(Change_periodes!$D$1:$D$400,MATCH($N102,Change_periodes!$A$1:$A$400,0))</f>
        <v>606.984854920185</v>
      </c>
      <c r="R102" s="18" t="n">
        <f aca="false">IFERROR(J102/M102/O102,"")</f>
        <v>0.721599553019481</v>
      </c>
      <c r="S102" s="9" t="n">
        <f aca="false">IFERROR(R102*Q102,"")</f>
        <v>438</v>
      </c>
      <c r="T102" s="21" t="n">
        <f aca="false">Parametres!$C$6</f>
        <v>0.6</v>
      </c>
      <c r="U102" s="3" t="s">
        <v>795</v>
      </c>
      <c r="V102" s="9" t="n">
        <f aca="false">IFERROR(S102/T102,"")</f>
        <v>730</v>
      </c>
      <c r="W102" s="10" t="s">
        <v>802</v>
      </c>
      <c r="X102" s="9" t="n">
        <f aca="false">IF(W102="","",IFERROR(INDEX($V$1:$V$178,MATCH(W102,$A$1:$A$178,0)),""))</f>
        <v>1202.80118850984</v>
      </c>
      <c r="Y102" s="8" t="n">
        <f aca="false">IF(OR(X102="",V102=""),"",V102/X102)</f>
        <v>0.606916593509859</v>
      </c>
      <c r="Z102" s="10"/>
      <c r="AA102" s="9" t="str">
        <f aca="false">IF(Z102="","",IFERROR(INDEX($V$1:$V$178,MATCH(Z102,$A$1:$A$178,0)),""))</f>
        <v/>
      </c>
      <c r="AB102" s="8" t="str">
        <f aca="false">IF(OR(AA102="",V102=""),"",V102/AA102)</f>
        <v/>
      </c>
      <c r="AC102" s="3" t="s">
        <v>803</v>
      </c>
      <c r="AD102" s="3" t="s">
        <v>804</v>
      </c>
      <c r="AE102" s="10" t="s">
        <v>275</v>
      </c>
      <c r="AF102" s="7" t="s">
        <v>81</v>
      </c>
      <c r="AG102" s="3" t="s">
        <v>799</v>
      </c>
    </row>
    <row r="103" customFormat="false" ht="35.05" hidden="false" customHeight="false" outlineLevel="0" collapsed="false">
      <c r="A103" s="13" t="s">
        <v>805</v>
      </c>
      <c r="B103" s="3" t="s">
        <v>64</v>
      </c>
      <c r="C103" s="3" t="s">
        <v>790</v>
      </c>
      <c r="D103" s="3" t="s">
        <v>261</v>
      </c>
      <c r="E103" s="3" t="s">
        <v>633</v>
      </c>
      <c r="F103" s="3" t="s">
        <v>806</v>
      </c>
      <c r="G103" s="3" t="s">
        <v>792</v>
      </c>
      <c r="H103" s="3" t="s">
        <v>265</v>
      </c>
      <c r="I103" s="3" t="s">
        <v>793</v>
      </c>
      <c r="J103" s="14" t="n">
        <v>352</v>
      </c>
      <c r="K103" s="10" t="s">
        <v>267</v>
      </c>
      <c r="L103" s="10" t="s">
        <v>268</v>
      </c>
      <c r="M103" s="15" t="n">
        <v>1</v>
      </c>
      <c r="N103" s="10" t="s">
        <v>807</v>
      </c>
      <c r="O103" s="16" t="n">
        <f aca="false">IF(K103="USD",1,INDEX(Change_periodes!$D$1:$N$400,MATCH($N103,Change_periodes!$A$1:$A$400,0),MATCH($K103,Change_periodes!$D$1:$N$1,0)))</f>
        <v>560.229948474256</v>
      </c>
      <c r="P103" s="3" t="s">
        <v>270</v>
      </c>
      <c r="Q103" s="17" t="n">
        <f aca="false">INDEX(Change_periodes!$D$1:$D$400,MATCH($N103,Change_periodes!$A$1:$A$400,0))</f>
        <v>560.229948474256</v>
      </c>
      <c r="R103" s="18" t="n">
        <f aca="false">IFERROR(J103/M103/O103,"")</f>
        <v>0.62831342908148</v>
      </c>
      <c r="S103" s="9" t="n">
        <f aca="false">IFERROR(R103*Q103,"")</f>
        <v>352</v>
      </c>
      <c r="T103" s="21" t="n">
        <f aca="false">Parametres!$C$6</f>
        <v>0.6</v>
      </c>
      <c r="U103" s="3" t="s">
        <v>795</v>
      </c>
      <c r="V103" s="9" t="n">
        <f aca="false">IFERROR(S103/T103,"")</f>
        <v>586.666666666667</v>
      </c>
      <c r="W103" s="10" t="s">
        <v>808</v>
      </c>
      <c r="X103" s="9" t="n">
        <f aca="false">IF(W103="","",IFERROR(INDEX($V$1:$V$178,MATCH(W103,$A$1:$A$178,0)),""))</f>
        <v>974.856133340052</v>
      </c>
      <c r="Y103" s="8" t="n">
        <f aca="false">IF(OR(X103="",V103=""),"",V103/X103)</f>
        <v>0.601798200373043</v>
      </c>
      <c r="Z103" s="10"/>
      <c r="AA103" s="9" t="str">
        <f aca="false">IF(Z103="","",IFERROR(INDEX($V$1:$V$178,MATCH(Z103,$A$1:$A$178,0)),""))</f>
        <v/>
      </c>
      <c r="AB103" s="8" t="str">
        <f aca="false">IF(OR(AA103="",V103=""),"",V103/AA103)</f>
        <v/>
      </c>
      <c r="AC103" s="3" t="s">
        <v>809</v>
      </c>
      <c r="AD103" s="3" t="s">
        <v>810</v>
      </c>
      <c r="AE103" s="10" t="s">
        <v>275</v>
      </c>
      <c r="AF103" s="7" t="s">
        <v>81</v>
      </c>
      <c r="AG103" s="3" t="s">
        <v>799</v>
      </c>
    </row>
    <row r="104" customFormat="false" ht="35.05" hidden="false" customHeight="false" outlineLevel="0" collapsed="false">
      <c r="A104" s="13" t="s">
        <v>811</v>
      </c>
      <c r="B104" s="3" t="s">
        <v>64</v>
      </c>
      <c r="C104" s="3" t="s">
        <v>790</v>
      </c>
      <c r="D104" s="3" t="s">
        <v>261</v>
      </c>
      <c r="E104" s="3" t="s">
        <v>633</v>
      </c>
      <c r="F104" s="3" t="s">
        <v>812</v>
      </c>
      <c r="G104" s="3" t="s">
        <v>792</v>
      </c>
      <c r="H104" s="3" t="s">
        <v>265</v>
      </c>
      <c r="I104" s="3" t="s">
        <v>793</v>
      </c>
      <c r="J104" s="14" t="n">
        <v>368</v>
      </c>
      <c r="K104" s="10" t="s">
        <v>267</v>
      </c>
      <c r="L104" s="10" t="s">
        <v>268</v>
      </c>
      <c r="M104" s="15" t="n">
        <v>1</v>
      </c>
      <c r="N104" s="10" t="s">
        <v>493</v>
      </c>
      <c r="O104" s="16" t="n">
        <f aca="false">IF(K104="USD",1,INDEX(Change_periodes!$D$1:$N$400,MATCH($N104,Change_periodes!$A$1:$A$400,0),MATCH($K104,Change_periodes!$D$1:$N$1,0)))</f>
        <v>558.820572760482</v>
      </c>
      <c r="P104" s="3" t="s">
        <v>270</v>
      </c>
      <c r="Q104" s="17" t="n">
        <f aca="false">INDEX(Change_periodes!$D$1:$D$400,MATCH($N104,Change_periodes!$A$1:$A$400,0))</f>
        <v>558.820572760482</v>
      </c>
      <c r="R104" s="18" t="n">
        <f aca="false">IFERROR(J104/M104/O104,"")</f>
        <v>0.658529799971644</v>
      </c>
      <c r="S104" s="9" t="n">
        <f aca="false">IFERROR(R104*Q104,"")</f>
        <v>368</v>
      </c>
      <c r="T104" s="21" t="n">
        <f aca="false">Parametres!$C$6</f>
        <v>0.6</v>
      </c>
      <c r="U104" s="3" t="s">
        <v>795</v>
      </c>
      <c r="V104" s="9" t="n">
        <f aca="false">IFERROR(S104/T104,"")</f>
        <v>613.333333333333</v>
      </c>
      <c r="W104" s="10" t="s">
        <v>813</v>
      </c>
      <c r="X104" s="9" t="n">
        <f aca="false">IF(W104="","",IFERROR(INDEX($V$1:$V$178,MATCH(W104,$A$1:$A$178,0)),""))</f>
        <v>1029.96219765484</v>
      </c>
      <c r="Y104" s="8" t="n">
        <f aca="false">IF(OR(X104="",V104=""),"",V104/X104)</f>
        <v>0.5954911109649</v>
      </c>
      <c r="Z104" s="10"/>
      <c r="AA104" s="9" t="str">
        <f aca="false">IF(Z104="","",IFERROR(INDEX($V$1:$V$178,MATCH(Z104,$A$1:$A$178,0)),""))</f>
        <v/>
      </c>
      <c r="AB104" s="8" t="str">
        <f aca="false">IF(OR(AA104="",V104=""),"",V104/AA104)</f>
        <v/>
      </c>
      <c r="AC104" s="3" t="s">
        <v>809</v>
      </c>
      <c r="AD104" s="3" t="s">
        <v>810</v>
      </c>
      <c r="AE104" s="10" t="s">
        <v>275</v>
      </c>
      <c r="AF104" s="7" t="s">
        <v>81</v>
      </c>
      <c r="AG104" s="3" t="s">
        <v>799</v>
      </c>
    </row>
    <row r="105" customFormat="false" ht="35.05" hidden="false" customHeight="false" outlineLevel="0" collapsed="false">
      <c r="A105" s="13" t="s">
        <v>814</v>
      </c>
      <c r="B105" s="3" t="s">
        <v>64</v>
      </c>
      <c r="C105" s="3" t="s">
        <v>790</v>
      </c>
      <c r="D105" s="3" t="s">
        <v>261</v>
      </c>
      <c r="E105" s="3" t="s">
        <v>633</v>
      </c>
      <c r="F105" s="3" t="s">
        <v>815</v>
      </c>
      <c r="G105" s="3" t="s">
        <v>792</v>
      </c>
      <c r="H105" s="3" t="s">
        <v>265</v>
      </c>
      <c r="I105" s="3" t="s">
        <v>793</v>
      </c>
      <c r="J105" s="14" t="n">
        <v>401</v>
      </c>
      <c r="K105" s="10" t="s">
        <v>267</v>
      </c>
      <c r="L105" s="10" t="s">
        <v>268</v>
      </c>
      <c r="M105" s="15" t="n">
        <v>1</v>
      </c>
      <c r="N105" s="10" t="s">
        <v>816</v>
      </c>
      <c r="O105" s="16" t="n">
        <f aca="false">IF(K105="USD",1,INDEX(Change_periodes!$D$1:$N$400,MATCH($N105,Change_periodes!$A$1:$A$400,0),MATCH($K105,Change_periodes!$D$1:$N$1,0)))</f>
        <v>567.519328068439</v>
      </c>
      <c r="P105" s="3" t="s">
        <v>270</v>
      </c>
      <c r="Q105" s="17" t="n">
        <f aca="false">INDEX(Change_periodes!$D$1:$D$400,MATCH($N105,Change_periodes!$A$1:$A$400,0))</f>
        <v>567.519328068439</v>
      </c>
      <c r="R105" s="18" t="n">
        <f aca="false">IFERROR(J105/M105/O105,"")</f>
        <v>0.706583864491118</v>
      </c>
      <c r="S105" s="9" t="n">
        <f aca="false">IFERROR(R105*Q105,"")</f>
        <v>401</v>
      </c>
      <c r="T105" s="21" t="n">
        <f aca="false">Parametres!$C$6</f>
        <v>0.6</v>
      </c>
      <c r="U105" s="3" t="s">
        <v>795</v>
      </c>
      <c r="V105" s="9" t="n">
        <f aca="false">IFERROR(S105/T105,"")</f>
        <v>668.333333333333</v>
      </c>
      <c r="W105" s="10" t="s">
        <v>817</v>
      </c>
      <c r="X105" s="9" t="n">
        <f aca="false">IF(W105="","",IFERROR(INDEX($V$1:$V$178,MATCH(W105,$A$1:$A$178,0)),""))</f>
        <v>1115.17547965448</v>
      </c>
      <c r="Y105" s="8" t="n">
        <f aca="false">IF(OR(X105="",V105=""),"",V105/X105)</f>
        <v>0.599307773105274</v>
      </c>
      <c r="Z105" s="10"/>
      <c r="AA105" s="9" t="str">
        <f aca="false">IF(Z105="","",IFERROR(INDEX($V$1:$V$178,MATCH(Z105,$A$1:$A$178,0)),""))</f>
        <v/>
      </c>
      <c r="AB105" s="8" t="str">
        <f aca="false">IF(OR(AA105="",V105=""),"",V105/AA105)</f>
        <v/>
      </c>
      <c r="AC105" s="3" t="s">
        <v>809</v>
      </c>
      <c r="AD105" s="3" t="s">
        <v>810</v>
      </c>
      <c r="AE105" s="10" t="s">
        <v>275</v>
      </c>
      <c r="AF105" s="7" t="s">
        <v>81</v>
      </c>
      <c r="AG105" s="3" t="s">
        <v>799</v>
      </c>
    </row>
    <row r="106" customFormat="false" ht="35.05" hidden="false" customHeight="false" outlineLevel="0" collapsed="false">
      <c r="A106" s="13" t="s">
        <v>818</v>
      </c>
      <c r="B106" s="3" t="s">
        <v>64</v>
      </c>
      <c r="C106" s="3" t="s">
        <v>790</v>
      </c>
      <c r="D106" s="3" t="s">
        <v>261</v>
      </c>
      <c r="E106" s="3" t="s">
        <v>633</v>
      </c>
      <c r="F106" s="3" t="s">
        <v>819</v>
      </c>
      <c r="G106" s="3" t="s">
        <v>792</v>
      </c>
      <c r="H106" s="3" t="s">
        <v>265</v>
      </c>
      <c r="I106" s="3" t="s">
        <v>793</v>
      </c>
      <c r="J106" s="14" t="n">
        <v>439</v>
      </c>
      <c r="K106" s="10" t="s">
        <v>267</v>
      </c>
      <c r="L106" s="10" t="s">
        <v>268</v>
      </c>
      <c r="M106" s="15" t="n">
        <v>1</v>
      </c>
      <c r="N106" s="10" t="s">
        <v>463</v>
      </c>
      <c r="O106" s="16" t="n">
        <f aca="false">IF(K106="USD",1,INDEX(Change_periodes!$D$1:$N$400,MATCH($N106,Change_periodes!$A$1:$A$400,0),MATCH($K106,Change_periodes!$D$1:$N$1,0)))</f>
        <v>561.934174005414</v>
      </c>
      <c r="P106" s="3" t="s">
        <v>270</v>
      </c>
      <c r="Q106" s="17" t="n">
        <f aca="false">INDEX(Change_periodes!$D$1:$D$400,MATCH($N106,Change_periodes!$A$1:$A$400,0))</f>
        <v>561.934174005414</v>
      </c>
      <c r="R106" s="18" t="n">
        <f aca="false">IFERROR(J106/M106/O106,"")</f>
        <v>0.781230294058909</v>
      </c>
      <c r="S106" s="9" t="n">
        <f aca="false">IFERROR(R106*Q106,"")</f>
        <v>439</v>
      </c>
      <c r="T106" s="21" t="n">
        <f aca="false">Parametres!$C$6</f>
        <v>0.6</v>
      </c>
      <c r="U106" s="3" t="s">
        <v>795</v>
      </c>
      <c r="V106" s="9" t="n">
        <f aca="false">IFERROR(S106/T106,"")</f>
        <v>731.666666666667</v>
      </c>
      <c r="W106" s="10"/>
      <c r="X106" s="9" t="str">
        <f aca="false">IF(W106="","",IFERROR(INDEX($V$1:$V$178,MATCH(W106,$A$1:$A$178,0)),""))</f>
        <v/>
      </c>
      <c r="Y106" s="8" t="str">
        <f aca="false">IF(OR(X106="",V106=""),"",V106/X106)</f>
        <v/>
      </c>
      <c r="Z106" s="10"/>
      <c r="AA106" s="9" t="str">
        <f aca="false">IF(Z106="","",IFERROR(INDEX($V$1:$V$178,MATCH(Z106,$A$1:$A$178,0)),""))</f>
        <v/>
      </c>
      <c r="AB106" s="8" t="str">
        <f aca="false">IF(OR(AA106="",V106=""),"",V106/AA106)</f>
        <v/>
      </c>
      <c r="AC106" s="3" t="s">
        <v>809</v>
      </c>
      <c r="AD106" s="3" t="s">
        <v>810</v>
      </c>
      <c r="AE106" s="10" t="s">
        <v>275</v>
      </c>
      <c r="AF106" s="7" t="s">
        <v>81</v>
      </c>
      <c r="AG106" s="3" t="s">
        <v>799</v>
      </c>
    </row>
    <row r="107" customFormat="false" ht="35.05" hidden="false" customHeight="false" outlineLevel="0" collapsed="false">
      <c r="A107" s="13" t="s">
        <v>820</v>
      </c>
      <c r="B107" s="3" t="s">
        <v>64</v>
      </c>
      <c r="C107" s="3" t="s">
        <v>790</v>
      </c>
      <c r="D107" s="3" t="s">
        <v>261</v>
      </c>
      <c r="E107" s="3" t="s">
        <v>633</v>
      </c>
      <c r="F107" s="3" t="s">
        <v>821</v>
      </c>
      <c r="G107" s="3" t="s">
        <v>792</v>
      </c>
      <c r="H107" s="3" t="s">
        <v>265</v>
      </c>
      <c r="I107" s="3" t="s">
        <v>793</v>
      </c>
      <c r="J107" s="14" t="n">
        <v>493</v>
      </c>
      <c r="K107" s="10" t="s">
        <v>267</v>
      </c>
      <c r="L107" s="10" t="s">
        <v>268</v>
      </c>
      <c r="M107" s="15" t="n">
        <v>1</v>
      </c>
      <c r="N107" s="10" t="s">
        <v>565</v>
      </c>
      <c r="O107" s="16" t="n">
        <f aca="false">IF(K107="USD",1,INDEX(Change_periodes!$D$1:$N$400,MATCH($N107,Change_periodes!$A$1:$A$400,0),MATCH($K107,Change_periodes!$D$1:$N$1,0)))</f>
        <v>574.519946608183</v>
      </c>
      <c r="P107" s="3" t="s">
        <v>270</v>
      </c>
      <c r="Q107" s="17" t="n">
        <f aca="false">INDEX(Change_periodes!$D$1:$D$400,MATCH($N107,Change_periodes!$A$1:$A$400,0))</f>
        <v>574.519946608183</v>
      </c>
      <c r="R107" s="18" t="n">
        <f aca="false">IFERROR(J107/M107/O107,"")</f>
        <v>0.8581077174266</v>
      </c>
      <c r="S107" s="9" t="n">
        <f aca="false">IFERROR(R107*Q107,"")</f>
        <v>493</v>
      </c>
      <c r="T107" s="21" t="n">
        <f aca="false">Parametres!$C$6</f>
        <v>0.6</v>
      </c>
      <c r="U107" s="3" t="s">
        <v>795</v>
      </c>
      <c r="V107" s="9" t="n">
        <f aca="false">IFERROR(S107/T107,"")</f>
        <v>821.666666666667</v>
      </c>
      <c r="W107" s="10"/>
      <c r="X107" s="9" t="str">
        <f aca="false">IF(W107="","",IFERROR(INDEX($V$1:$V$178,MATCH(W107,$A$1:$A$178,0)),""))</f>
        <v/>
      </c>
      <c r="Y107" s="8" t="str">
        <f aca="false">IF(OR(X107="",V107=""),"",V107/X107)</f>
        <v/>
      </c>
      <c r="Z107" s="10"/>
      <c r="AA107" s="9" t="str">
        <f aca="false">IF(Z107="","",IFERROR(INDEX($V$1:$V$178,MATCH(Z107,$A$1:$A$178,0)),""))</f>
        <v/>
      </c>
      <c r="AB107" s="8" t="str">
        <f aca="false">IF(OR(AA107="",V107=""),"",V107/AA107)</f>
        <v/>
      </c>
      <c r="AC107" s="3" t="s">
        <v>809</v>
      </c>
      <c r="AD107" s="3" t="s">
        <v>810</v>
      </c>
      <c r="AE107" s="10" t="s">
        <v>275</v>
      </c>
      <c r="AF107" s="7" t="s">
        <v>81</v>
      </c>
      <c r="AG107" s="3" t="s">
        <v>799</v>
      </c>
    </row>
    <row r="108" customFormat="false" ht="23.85" hidden="false" customHeight="false" outlineLevel="0" collapsed="false">
      <c r="A108" s="13" t="s">
        <v>172</v>
      </c>
      <c r="B108" s="3" t="s">
        <v>64</v>
      </c>
      <c r="C108" s="3" t="s">
        <v>790</v>
      </c>
      <c r="D108" s="3" t="s">
        <v>261</v>
      </c>
      <c r="E108" s="3" t="s">
        <v>633</v>
      </c>
      <c r="F108" s="3" t="s">
        <v>822</v>
      </c>
      <c r="G108" s="3" t="s">
        <v>792</v>
      </c>
      <c r="H108" s="3" t="s">
        <v>265</v>
      </c>
      <c r="I108" s="3" t="s">
        <v>793</v>
      </c>
      <c r="J108" s="14" t="n">
        <v>484</v>
      </c>
      <c r="K108" s="10" t="s">
        <v>267</v>
      </c>
      <c r="L108" s="10" t="s">
        <v>268</v>
      </c>
      <c r="M108" s="15" t="n">
        <v>1</v>
      </c>
      <c r="N108" s="10" t="s">
        <v>434</v>
      </c>
      <c r="O108" s="16" t="n">
        <f aca="false">IF(K108="USD",1,INDEX(Change_periodes!$D$1:$N$400,MATCH($N108,Change_periodes!$A$1:$A$400,0),MATCH($K108,Change_periodes!$D$1:$N$1,0)))</f>
        <v>565.226794885052</v>
      </c>
      <c r="P108" s="3" t="s">
        <v>270</v>
      </c>
      <c r="Q108" s="17" t="n">
        <f aca="false">INDEX(Change_periodes!$D$1:$D$400,MATCH($N108,Change_periodes!$A$1:$A$400,0))</f>
        <v>565.226794885052</v>
      </c>
      <c r="R108" s="18" t="n">
        <f aca="false">IFERROR(J108/M108/O108,"")</f>
        <v>0.8562934460643</v>
      </c>
      <c r="S108" s="9" t="n">
        <f aca="false">IFERROR(R108*Q108,"")</f>
        <v>484</v>
      </c>
      <c r="T108" s="21" t="n">
        <f aca="false">Parametres!$C$6</f>
        <v>0.6</v>
      </c>
      <c r="U108" s="3" t="s">
        <v>795</v>
      </c>
      <c r="V108" s="9" t="n">
        <f aca="false">IFERROR(S108/T108,"")</f>
        <v>806.666666666667</v>
      </c>
      <c r="W108" s="10"/>
      <c r="X108" s="9" t="str">
        <f aca="false">IF(W108="","",IFERROR(INDEX($V$1:$V$178,MATCH(W108,$A$1:$A$178,0)),""))</f>
        <v/>
      </c>
      <c r="Y108" s="8" t="str">
        <f aca="false">IF(OR(X108="",V108=""),"",V108/X108)</f>
        <v/>
      </c>
      <c r="Z108" s="10"/>
      <c r="AA108" s="9" t="str">
        <f aca="false">IF(Z108="","",IFERROR(INDEX($V$1:$V$178,MATCH(Z108,$A$1:$A$178,0)),""))</f>
        <v/>
      </c>
      <c r="AB108" s="8" t="str">
        <f aca="false">IF(OR(AA108="",V108=""),"",V108/AA108)</f>
        <v/>
      </c>
      <c r="AC108" s="3" t="s">
        <v>823</v>
      </c>
      <c r="AD108" s="3" t="s">
        <v>824</v>
      </c>
      <c r="AE108" s="10" t="s">
        <v>275</v>
      </c>
      <c r="AF108" s="7" t="s">
        <v>81</v>
      </c>
      <c r="AG108" s="3" t="s">
        <v>799</v>
      </c>
    </row>
    <row r="109" customFormat="false" ht="23.85" hidden="false" customHeight="false" outlineLevel="0" collapsed="false">
      <c r="A109" s="13" t="s">
        <v>169</v>
      </c>
      <c r="B109" s="3" t="s">
        <v>64</v>
      </c>
      <c r="C109" s="3" t="s">
        <v>825</v>
      </c>
      <c r="D109" s="3" t="s">
        <v>826</v>
      </c>
      <c r="E109" s="3" t="s">
        <v>215</v>
      </c>
      <c r="F109" s="3" t="s">
        <v>827</v>
      </c>
      <c r="G109" s="3" t="s">
        <v>574</v>
      </c>
      <c r="H109" s="3" t="s">
        <v>828</v>
      </c>
      <c r="I109" s="3" t="s">
        <v>829</v>
      </c>
      <c r="J109" s="14" t="n">
        <v>58</v>
      </c>
      <c r="K109" s="10" t="s">
        <v>830</v>
      </c>
      <c r="L109" s="10" t="s">
        <v>268</v>
      </c>
      <c r="M109" s="15" t="n">
        <v>1</v>
      </c>
      <c r="N109" s="10" t="s">
        <v>831</v>
      </c>
      <c r="O109" s="16" t="n">
        <f aca="false">IF(K109="USD",1,INDEX(Change_periodes!$D$1:$N$400,MATCH($N109,Change_periodes!$A$1:$A$400,0),MATCH($K109,Change_periodes!$D$1:$N$1,0)))</f>
        <v>33.7818520681829</v>
      </c>
      <c r="P109" s="3" t="s">
        <v>832</v>
      </c>
      <c r="Q109" s="17" t="n">
        <f aca="false">INDEX(Change_periodes!$D$1:$D$400,MATCH($N109,Change_periodes!$A$1:$A$400,0))</f>
        <v>584.947320079009</v>
      </c>
      <c r="R109" s="18" t="n">
        <f aca="false">IFERROR(J109/M109/O109,"")</f>
        <v>1.71689817014582</v>
      </c>
      <c r="S109" s="9" t="n">
        <f aca="false">IFERROR(R109*Q109,"")</f>
        <v>1004.29498347535</v>
      </c>
      <c r="T109" s="19" t="n">
        <v>1</v>
      </c>
      <c r="U109" s="3" t="s">
        <v>271</v>
      </c>
      <c r="V109" s="9" t="n">
        <f aca="false">IFERROR(S109/T109,"")</f>
        <v>1004.29498347535</v>
      </c>
      <c r="W109" s="10" t="s">
        <v>833</v>
      </c>
      <c r="X109" s="9" t="n">
        <f aca="false">IF(W109="","",IFERROR(INDEX($V$1:$V$178,MATCH(W109,$A$1:$A$178,0)),""))</f>
        <v>998.212601714829</v>
      </c>
      <c r="Y109" s="8" t="n">
        <f aca="false">IF(OR(X109="",V109=""),"",V109/X109)</f>
        <v>1.00609327286599</v>
      </c>
      <c r="Z109" s="10"/>
      <c r="AA109" s="9" t="str">
        <f aca="false">IF(Z109="","",IFERROR(INDEX($V$1:$V$178,MATCH(Z109,$A$1:$A$178,0)),""))</f>
        <v/>
      </c>
      <c r="AB109" s="8" t="str">
        <f aca="false">IF(OR(AA109="",V109=""),"",V109/AA109)</f>
        <v/>
      </c>
      <c r="AC109" s="3" t="s">
        <v>834</v>
      </c>
      <c r="AD109" s="3" t="s">
        <v>835</v>
      </c>
      <c r="AE109" s="10" t="s">
        <v>275</v>
      </c>
      <c r="AF109" s="7" t="s">
        <v>81</v>
      </c>
      <c r="AG109" s="3" t="s">
        <v>836</v>
      </c>
    </row>
    <row r="110" customFormat="false" ht="35.05" hidden="false" customHeight="false" outlineLevel="0" collapsed="false">
      <c r="A110" s="13" t="s">
        <v>173</v>
      </c>
      <c r="B110" s="3" t="s">
        <v>64</v>
      </c>
      <c r="C110" s="3" t="s">
        <v>837</v>
      </c>
      <c r="D110" s="3" t="s">
        <v>838</v>
      </c>
      <c r="E110" s="3" t="s">
        <v>633</v>
      </c>
      <c r="F110" s="3" t="s">
        <v>839</v>
      </c>
      <c r="G110" s="3" t="s">
        <v>840</v>
      </c>
      <c r="H110" s="3" t="s">
        <v>841</v>
      </c>
      <c r="I110" s="3" t="s">
        <v>842</v>
      </c>
      <c r="J110" s="14" t="n">
        <f aca="false">(38835+39076+41446+42238)/4</f>
        <v>40398.75</v>
      </c>
      <c r="K110" s="10" t="s">
        <v>843</v>
      </c>
      <c r="L110" s="10" t="s">
        <v>268</v>
      </c>
      <c r="M110" s="15" t="n">
        <v>1</v>
      </c>
      <c r="N110" s="10" t="s">
        <v>844</v>
      </c>
      <c r="O110" s="16" t="n">
        <f aca="false">IF(K110="USD",1,INDEX(Change_periodes!$D$1:$N$400,MATCH($N110,Change_periodes!$A$1:$A$400,0),MATCH($K110,Change_periodes!$D$1:$N$1,0)))</f>
        <v>17804.6551828243</v>
      </c>
      <c r="P110" s="3" t="s">
        <v>832</v>
      </c>
      <c r="Q110" s="17" t="n">
        <f aca="false">INDEX(Change_periodes!$D$1:$D$400,MATCH($N110,Change_periodes!$A$1:$A$400,0))</f>
        <v>565.816735816995</v>
      </c>
      <c r="R110" s="18" t="n">
        <f aca="false">IFERROR(J110/M110/O110,"")</f>
        <v>2.2689992917679</v>
      </c>
      <c r="S110" s="9" t="n">
        <f aca="false">IFERROR(R110*Q110,"")</f>
        <v>1283.83777283919</v>
      </c>
      <c r="T110" s="19" t="n">
        <v>1</v>
      </c>
      <c r="U110" s="3" t="s">
        <v>271</v>
      </c>
      <c r="V110" s="9" t="n">
        <f aca="false">IFERROR(S110/T110,"")</f>
        <v>1283.83777283919</v>
      </c>
      <c r="W110" s="10"/>
      <c r="X110" s="9" t="str">
        <f aca="false">IF(W110="","",IFERROR(INDEX($V$1:$V$178,MATCH(W110,$A$1:$A$178,0)),""))</f>
        <v/>
      </c>
      <c r="Y110" s="8" t="str">
        <f aca="false">IF(OR(X110="",V110=""),"",V110/X110)</f>
        <v/>
      </c>
      <c r="Z110" s="10"/>
      <c r="AA110" s="9" t="str">
        <f aca="false">IF(Z110="","",IFERROR(INDEX($V$1:$V$178,MATCH(Z110,$A$1:$A$178,0)),""))</f>
        <v/>
      </c>
      <c r="AB110" s="8" t="str">
        <f aca="false">IF(OR(AA110="",V110=""),"",V110/AA110)</f>
        <v/>
      </c>
      <c r="AC110" s="3" t="s">
        <v>845</v>
      </c>
      <c r="AD110" s="3" t="s">
        <v>846</v>
      </c>
      <c r="AE110" s="10" t="s">
        <v>275</v>
      </c>
      <c r="AF110" s="7" t="s">
        <v>81</v>
      </c>
      <c r="AG110" s="3" t="s">
        <v>847</v>
      </c>
    </row>
    <row r="111" customFormat="false" ht="35.05" hidden="false" customHeight="false" outlineLevel="0" collapsed="false">
      <c r="A111" s="13" t="s">
        <v>176</v>
      </c>
      <c r="B111" s="3" t="s">
        <v>69</v>
      </c>
      <c r="C111" s="3" t="s">
        <v>848</v>
      </c>
      <c r="D111" s="3" t="s">
        <v>261</v>
      </c>
      <c r="E111" s="3" t="s">
        <v>633</v>
      </c>
      <c r="F111" s="3" t="s">
        <v>489</v>
      </c>
      <c r="G111" s="3" t="s">
        <v>849</v>
      </c>
      <c r="H111" s="3" t="s">
        <v>265</v>
      </c>
      <c r="I111" s="3" t="s">
        <v>850</v>
      </c>
      <c r="J111" s="14" t="n">
        <v>80000</v>
      </c>
      <c r="K111" s="10" t="s">
        <v>267</v>
      </c>
      <c r="L111" s="10" t="s">
        <v>384</v>
      </c>
      <c r="M111" s="15" t="n">
        <v>1000</v>
      </c>
      <c r="N111" s="10" t="s">
        <v>493</v>
      </c>
      <c r="O111" s="16" t="n">
        <f aca="false">IF(K111="USD",1,INDEX(Change_periodes!$D$1:$N$400,MATCH($N111,Change_periodes!$A$1:$A$400,0),MATCH($K111,Change_periodes!$D$1:$N$1,0)))</f>
        <v>558.820572760482</v>
      </c>
      <c r="P111" s="3" t="s">
        <v>270</v>
      </c>
      <c r="Q111" s="17" t="n">
        <f aca="false">INDEX(Change_periodes!$D$1:$D$400,MATCH($N111,Change_periodes!$A$1:$A$400,0))</f>
        <v>558.820572760482</v>
      </c>
      <c r="R111" s="18" t="n">
        <f aca="false">IFERROR(J111/M111/O111,"")</f>
        <v>0.143158652167749</v>
      </c>
      <c r="S111" s="9" t="n">
        <f aca="false">IFERROR(R111*Q111,"")</f>
        <v>80</v>
      </c>
      <c r="T111" s="19" t="n">
        <v>1</v>
      </c>
      <c r="U111" s="3" t="s">
        <v>271</v>
      </c>
      <c r="V111" s="9" t="n">
        <f aca="false">IFERROR(S111/T111,"")</f>
        <v>80</v>
      </c>
      <c r="W111" s="10" t="s">
        <v>851</v>
      </c>
      <c r="X111" s="9" t="n">
        <f aca="false">IF(W111="","",IFERROR(INDEX($V$1:$V$178,MATCH(W111,$A$1:$A$178,0)),""))</f>
        <v>557.602343911864</v>
      </c>
      <c r="Y111" s="8" t="n">
        <f aca="false">IF(OR(X111="",V111=""),"",V111/X111)</f>
        <v>0.14347141986305</v>
      </c>
      <c r="Z111" s="10"/>
      <c r="AA111" s="9" t="str">
        <f aca="false">IF(Z111="","",IFERROR(INDEX($V$1:$V$178,MATCH(Z111,$A$1:$A$178,0)),""))</f>
        <v/>
      </c>
      <c r="AB111" s="8" t="str">
        <f aca="false">IF(OR(AA111="",V111=""),"",V111/AA111)</f>
        <v/>
      </c>
      <c r="AC111" s="3" t="s">
        <v>852</v>
      </c>
      <c r="AD111" s="3" t="s">
        <v>853</v>
      </c>
      <c r="AE111" s="10" t="s">
        <v>275</v>
      </c>
      <c r="AF111" s="7" t="s">
        <v>81</v>
      </c>
      <c r="AG111" s="3" t="s">
        <v>854</v>
      </c>
    </row>
    <row r="112" customFormat="false" ht="35.05" hidden="false" customHeight="false" outlineLevel="0" collapsed="false">
      <c r="A112" s="13" t="s">
        <v>855</v>
      </c>
      <c r="B112" s="3" t="s">
        <v>69</v>
      </c>
      <c r="C112" s="3" t="s">
        <v>856</v>
      </c>
      <c r="D112" s="3" t="s">
        <v>261</v>
      </c>
      <c r="E112" s="3" t="s">
        <v>633</v>
      </c>
      <c r="F112" s="3" t="s">
        <v>489</v>
      </c>
      <c r="G112" s="3" t="s">
        <v>857</v>
      </c>
      <c r="H112" s="3" t="s">
        <v>858</v>
      </c>
      <c r="I112" s="3" t="s">
        <v>859</v>
      </c>
      <c r="J112" s="14" t="n">
        <v>620000</v>
      </c>
      <c r="K112" s="10" t="s">
        <v>267</v>
      </c>
      <c r="L112" s="10" t="s">
        <v>384</v>
      </c>
      <c r="M112" s="15" t="n">
        <v>1000</v>
      </c>
      <c r="N112" s="10" t="s">
        <v>493</v>
      </c>
      <c r="O112" s="16" t="n">
        <f aca="false">IF(K112="USD",1,INDEX(Change_periodes!$D$1:$N$400,MATCH($N112,Change_periodes!$A$1:$A$400,0),MATCH($K112,Change_periodes!$D$1:$N$1,0)))</f>
        <v>558.820572760482</v>
      </c>
      <c r="P112" s="3" t="s">
        <v>270</v>
      </c>
      <c r="Q112" s="17" t="n">
        <f aca="false">INDEX(Change_periodes!$D$1:$D$400,MATCH($N112,Change_periodes!$A$1:$A$400,0))</f>
        <v>558.820572760482</v>
      </c>
      <c r="R112" s="18" t="n">
        <f aca="false">IFERROR(J112/M112/O112,"")</f>
        <v>1.10947955430005</v>
      </c>
      <c r="S112" s="9" t="n">
        <f aca="false">IFERROR(R112*Q112,"")</f>
        <v>620</v>
      </c>
      <c r="T112" s="19" t="n">
        <v>1</v>
      </c>
      <c r="U112" s="3" t="s">
        <v>271</v>
      </c>
      <c r="V112" s="9" t="n">
        <f aca="false">IFERROR(S112/T112,"")</f>
        <v>620</v>
      </c>
      <c r="W112" s="10" t="s">
        <v>851</v>
      </c>
      <c r="X112" s="9" t="n">
        <f aca="false">IF(W112="","",IFERROR(INDEX($V$1:$V$178,MATCH(W112,$A$1:$A$178,0)),""))</f>
        <v>557.602343911864</v>
      </c>
      <c r="Y112" s="8" t="n">
        <f aca="false">IF(OR(X112="",V112=""),"",V112/X112)</f>
        <v>1.11190350393864</v>
      </c>
      <c r="Z112" s="10"/>
      <c r="AA112" s="9" t="str">
        <f aca="false">IF(Z112="","",IFERROR(INDEX($V$1:$V$178,MATCH(Z112,$A$1:$A$178,0)),""))</f>
        <v/>
      </c>
      <c r="AB112" s="8" t="str">
        <f aca="false">IF(OR(AA112="",V112=""),"",V112/AA112)</f>
        <v/>
      </c>
      <c r="AC112" s="3" t="s">
        <v>852</v>
      </c>
      <c r="AD112" s="3" t="s">
        <v>853</v>
      </c>
      <c r="AE112" s="10" t="s">
        <v>275</v>
      </c>
      <c r="AF112" s="7" t="s">
        <v>81</v>
      </c>
      <c r="AG112" s="3" t="s">
        <v>860</v>
      </c>
    </row>
    <row r="113" customFormat="false" ht="35.05" hidden="false" customHeight="false" outlineLevel="0" collapsed="false">
      <c r="A113" s="13" t="s">
        <v>861</v>
      </c>
      <c r="B113" s="3" t="s">
        <v>69</v>
      </c>
      <c r="C113" s="3" t="s">
        <v>848</v>
      </c>
      <c r="D113" s="3" t="s">
        <v>261</v>
      </c>
      <c r="E113" s="3" t="s">
        <v>626</v>
      </c>
      <c r="F113" s="3" t="s">
        <v>862</v>
      </c>
      <c r="G113" s="3" t="s">
        <v>863</v>
      </c>
      <c r="H113" s="3" t="s">
        <v>265</v>
      </c>
      <c r="I113" s="3" t="s">
        <v>864</v>
      </c>
      <c r="J113" s="14" t="n">
        <v>75000</v>
      </c>
      <c r="K113" s="10" t="s">
        <v>267</v>
      </c>
      <c r="L113" s="10" t="s">
        <v>384</v>
      </c>
      <c r="M113" s="15" t="n">
        <v>1000</v>
      </c>
      <c r="N113" s="10" t="s">
        <v>865</v>
      </c>
      <c r="O113" s="16" t="n">
        <f aca="false">IF(K113="USD",1,INDEX(Change_periodes!$D$1:$N$400,MATCH($N113,Change_periodes!$A$1:$A$400,0),MATCH($K113,Change_periodes!$D$1:$N$1,0)))</f>
        <v>614.871983732814</v>
      </c>
      <c r="P113" s="3" t="s">
        <v>270</v>
      </c>
      <c r="Q113" s="17" t="n">
        <f aca="false">INDEX(Change_periodes!$D$1:$D$400,MATCH($N113,Change_periodes!$A$1:$A$400,0))</f>
        <v>614.871983732814</v>
      </c>
      <c r="R113" s="18" t="n">
        <f aca="false">IFERROR(J113/M113/O113,"")</f>
        <v>0.121976609740265</v>
      </c>
      <c r="S113" s="9" t="n">
        <f aca="false">IFERROR(R113*Q113,"")</f>
        <v>75</v>
      </c>
      <c r="T113" s="19" t="n">
        <v>1</v>
      </c>
      <c r="U113" s="3" t="s">
        <v>271</v>
      </c>
      <c r="V113" s="9" t="n">
        <f aca="false">IFERROR(S113/T113,"")</f>
        <v>75</v>
      </c>
      <c r="W113" s="10" t="s">
        <v>866</v>
      </c>
      <c r="X113" s="9" t="n">
        <f aca="false">IF(W113="","",IFERROR(INDEX($V$1:$V$178,MATCH(W113,$A$1:$A$178,0)),""))</f>
        <v>704.144818690166</v>
      </c>
      <c r="Y113" s="8" t="n">
        <f aca="false">IF(OR(X113="",V113=""),"",V113/X113)</f>
        <v>0.106512180462413</v>
      </c>
      <c r="Z113" s="10"/>
      <c r="AA113" s="9" t="str">
        <f aca="false">IF(Z113="","",IFERROR(INDEX($V$1:$V$178,MATCH(Z113,$A$1:$A$178,0)),""))</f>
        <v/>
      </c>
      <c r="AB113" s="8" t="str">
        <f aca="false">IF(OR(AA113="",V113=""),"",V113/AA113)</f>
        <v/>
      </c>
      <c r="AC113" s="3" t="s">
        <v>867</v>
      </c>
      <c r="AD113" s="3" t="s">
        <v>868</v>
      </c>
      <c r="AE113" s="10" t="s">
        <v>275</v>
      </c>
      <c r="AF113" s="7" t="s">
        <v>81</v>
      </c>
      <c r="AG113" s="3"/>
    </row>
    <row r="114" customFormat="false" ht="35.05" hidden="false" customHeight="false" outlineLevel="0" collapsed="false">
      <c r="A114" s="13" t="s">
        <v>177</v>
      </c>
      <c r="B114" s="3" t="s">
        <v>69</v>
      </c>
      <c r="C114" s="3" t="s">
        <v>869</v>
      </c>
      <c r="D114" s="3" t="s">
        <v>838</v>
      </c>
      <c r="E114" s="3" t="s">
        <v>633</v>
      </c>
      <c r="F114" s="3" t="s">
        <v>870</v>
      </c>
      <c r="G114" s="3" t="s">
        <v>871</v>
      </c>
      <c r="H114" s="3" t="s">
        <v>872</v>
      </c>
      <c r="I114" s="3" t="s">
        <v>873</v>
      </c>
      <c r="J114" s="14" t="n">
        <f aca="false">(3496.91+3430.63+3449.84)/3</f>
        <v>3459.12666666667</v>
      </c>
      <c r="K114" s="10" t="s">
        <v>843</v>
      </c>
      <c r="L114" s="10" t="s">
        <v>268</v>
      </c>
      <c r="M114" s="15" t="n">
        <v>1</v>
      </c>
      <c r="N114" s="10" t="s">
        <v>493</v>
      </c>
      <c r="O114" s="16" t="n">
        <f aca="false">IF(K114="USD",1,INDEX(Change_periodes!$D$1:$N$400,MATCH($N114,Change_periodes!$A$1:$A$400,0),MATCH($K114,Change_periodes!$D$1:$N$1,0)))</f>
        <v>16831.329909765</v>
      </c>
      <c r="P114" s="3" t="s">
        <v>832</v>
      </c>
      <c r="Q114" s="17" t="n">
        <f aca="false">INDEX(Change_periodes!$D$1:$D$400,MATCH($N114,Change_periodes!$A$1:$A$400,0))</f>
        <v>558.820572760482</v>
      </c>
      <c r="R114" s="18" t="n">
        <f aca="false">IFERROR(J114/M114/O114,"")</f>
        <v>0.205517132942643</v>
      </c>
      <c r="S114" s="9" t="n">
        <f aca="false">IFERROR(R114*Q114,"")</f>
        <v>114.8472019431</v>
      </c>
      <c r="T114" s="19" t="n">
        <v>1</v>
      </c>
      <c r="U114" s="3" t="s">
        <v>271</v>
      </c>
      <c r="V114" s="9" t="n">
        <f aca="false">IFERROR(S114/T114,"")</f>
        <v>114.8472019431</v>
      </c>
      <c r="W114" s="10" t="s">
        <v>851</v>
      </c>
      <c r="X114" s="9" t="n">
        <f aca="false">IF(W114="","",IFERROR(INDEX($V$1:$V$178,MATCH(W114,$A$1:$A$178,0)),""))</f>
        <v>557.602343911864</v>
      </c>
      <c r="Y114" s="8" t="n">
        <f aca="false">IF(OR(X114="",V114=""),"",V114/X114)</f>
        <v>0.205966139125938</v>
      </c>
      <c r="Z114" s="10"/>
      <c r="AA114" s="9" t="str">
        <f aca="false">IF(Z114="","",IFERROR(INDEX($V$1:$V$178,MATCH(Z114,$A$1:$A$178,0)),""))</f>
        <v/>
      </c>
      <c r="AB114" s="8" t="str">
        <f aca="false">IF(OR(AA114="",V114=""),"",V114/AA114)</f>
        <v/>
      </c>
      <c r="AC114" s="3" t="s">
        <v>874</v>
      </c>
      <c r="AD114" s="3" t="s">
        <v>875</v>
      </c>
      <c r="AE114" s="10" t="s">
        <v>275</v>
      </c>
      <c r="AF114" s="7" t="s">
        <v>81</v>
      </c>
      <c r="AG114" s="3" t="s">
        <v>876</v>
      </c>
    </row>
    <row r="115" customFormat="false" ht="35.05" hidden="false" customHeight="false" outlineLevel="0" collapsed="false">
      <c r="A115" s="13" t="s">
        <v>180</v>
      </c>
      <c r="B115" s="3" t="s">
        <v>69</v>
      </c>
      <c r="C115" s="3" t="s">
        <v>848</v>
      </c>
      <c r="D115" s="3" t="s">
        <v>877</v>
      </c>
      <c r="E115" s="3" t="s">
        <v>215</v>
      </c>
      <c r="F115" s="3" t="s">
        <v>878</v>
      </c>
      <c r="G115" s="3" t="s">
        <v>879</v>
      </c>
      <c r="H115" s="3" t="s">
        <v>880</v>
      </c>
      <c r="I115" s="3" t="s">
        <v>881</v>
      </c>
      <c r="J115" s="14" t="n">
        <f aca="false">47.39*19.74</f>
        <v>935.4786</v>
      </c>
      <c r="K115" s="10" t="s">
        <v>882</v>
      </c>
      <c r="L115" s="10" t="s">
        <v>384</v>
      </c>
      <c r="M115" s="15" t="n">
        <v>1000</v>
      </c>
      <c r="N115" s="10" t="s">
        <v>883</v>
      </c>
      <c r="O115" s="16" t="n">
        <f aca="false">IF(K115="USD",1,INDEX(Change_periodes!$D$1:$N$400,MATCH($N115,Change_periodes!$A$1:$A$400,0),MATCH($K115,Change_periodes!$D$1:$N$1,0)))</f>
        <v>4.28340389613855</v>
      </c>
      <c r="P115" s="3" t="s">
        <v>832</v>
      </c>
      <c r="Q115" s="17" t="n">
        <f aca="false">INDEX(Change_periodes!$D$1:$D$400,MATCH($N115,Change_periodes!$A$1:$A$400,0))</f>
        <v>581.928485535284</v>
      </c>
      <c r="R115" s="18" t="n">
        <f aca="false">IFERROR(J115/M115/O115,"")</f>
        <v>0.218396075337029</v>
      </c>
      <c r="S115" s="9" t="n">
        <f aca="false">IFERROR(R115*Q115,"")</f>
        <v>127.090897367727</v>
      </c>
      <c r="T115" s="19" t="n">
        <v>1</v>
      </c>
      <c r="U115" s="3" t="s">
        <v>271</v>
      </c>
      <c r="V115" s="9" t="n">
        <f aca="false">IFERROR(S115/T115,"")</f>
        <v>127.090897367727</v>
      </c>
      <c r="W115" s="10" t="s">
        <v>884</v>
      </c>
      <c r="X115" s="9" t="n">
        <f aca="false">IF(W115="","",IFERROR(INDEX($V$1:$V$178,MATCH(W115,$A$1:$A$178,0)),""))</f>
        <v>585.971668690661</v>
      </c>
      <c r="Y115" s="8" t="n">
        <f aca="false">IF(OR(X115="",V115=""),"",V115/X115)</f>
        <v>0.216889150377712</v>
      </c>
      <c r="Z115" s="10"/>
      <c r="AA115" s="9" t="str">
        <f aca="false">IF(Z115="","",IFERROR(INDEX($V$1:$V$178,MATCH(Z115,$A$1:$A$178,0)),""))</f>
        <v/>
      </c>
      <c r="AB115" s="8" t="str">
        <f aca="false">IF(OR(AA115="",V115=""),"",V115/AA115)</f>
        <v/>
      </c>
      <c r="AC115" s="3" t="s">
        <v>885</v>
      </c>
      <c r="AD115" s="3" t="s">
        <v>886</v>
      </c>
      <c r="AE115" s="10" t="s">
        <v>275</v>
      </c>
      <c r="AF115" s="7" t="s">
        <v>401</v>
      </c>
      <c r="AG115" s="3" t="s">
        <v>887</v>
      </c>
    </row>
    <row r="116" customFormat="false" ht="46.25" hidden="false" customHeight="false" outlineLevel="0" collapsed="false">
      <c r="A116" s="13" t="s">
        <v>183</v>
      </c>
      <c r="B116" s="3" t="s">
        <v>73</v>
      </c>
      <c r="C116" s="3" t="s">
        <v>888</v>
      </c>
      <c r="D116" s="3" t="s">
        <v>261</v>
      </c>
      <c r="E116" s="3" t="s">
        <v>215</v>
      </c>
      <c r="F116" s="3" t="s">
        <v>889</v>
      </c>
      <c r="G116" s="3" t="s">
        <v>890</v>
      </c>
      <c r="H116" s="3" t="s">
        <v>265</v>
      </c>
      <c r="I116" s="3" t="s">
        <v>891</v>
      </c>
      <c r="J116" s="14" t="n">
        <v>233</v>
      </c>
      <c r="K116" s="10" t="s">
        <v>267</v>
      </c>
      <c r="L116" s="10" t="s">
        <v>268</v>
      </c>
      <c r="M116" s="15" t="n">
        <v>1</v>
      </c>
      <c r="N116" s="10" t="s">
        <v>883</v>
      </c>
      <c r="O116" s="16" t="n">
        <f aca="false">IF(K116="USD",1,INDEX(Change_periodes!$D$1:$N$400,MATCH($N116,Change_periodes!$A$1:$A$400,0),MATCH($K116,Change_periodes!$D$1:$N$1,0)))</f>
        <v>581.928485535284</v>
      </c>
      <c r="P116" s="3" t="s">
        <v>270</v>
      </c>
      <c r="Q116" s="17" t="n">
        <f aca="false">INDEX(Change_periodes!$D$1:$D$400,MATCH($N116,Change_periodes!$A$1:$A$400,0))</f>
        <v>581.928485535284</v>
      </c>
      <c r="R116" s="18" t="n">
        <f aca="false">IFERROR(J116/M116/O116,"")</f>
        <v>0.400392841717786</v>
      </c>
      <c r="S116" s="9" t="n">
        <f aca="false">IFERROR(R116*Q116,"")</f>
        <v>233</v>
      </c>
      <c r="T116" s="19" t="n">
        <v>1</v>
      </c>
      <c r="U116" s="3" t="s">
        <v>271</v>
      </c>
      <c r="V116" s="9" t="n">
        <f aca="false">IFERROR(S116/T116,"")</f>
        <v>233</v>
      </c>
      <c r="W116" s="10" t="s">
        <v>892</v>
      </c>
      <c r="X116" s="9" t="n">
        <f aca="false">IF(W116="","",IFERROR(INDEX($V$1:$V$178,MATCH(W116,$A$1:$A$178,0)),""))</f>
        <v>154.264392111358</v>
      </c>
      <c r="Y116" s="8" t="n">
        <f aca="false">IF(OR(X116="",V116=""),"",V116/X116)</f>
        <v>1.51039392053486</v>
      </c>
      <c r="Z116" s="10"/>
      <c r="AA116" s="9" t="str">
        <f aca="false">IF(Z116="","",IFERROR(INDEX($V$1:$V$178,MATCH(Z116,$A$1:$A$178,0)),""))</f>
        <v/>
      </c>
      <c r="AB116" s="8" t="str">
        <f aca="false">IF(OR(AA116="",V116=""),"",V116/AA116)</f>
        <v/>
      </c>
      <c r="AC116" s="3" t="s">
        <v>893</v>
      </c>
      <c r="AD116" s="3" t="s">
        <v>894</v>
      </c>
      <c r="AE116" s="10" t="s">
        <v>275</v>
      </c>
      <c r="AF116" s="7" t="s">
        <v>401</v>
      </c>
      <c r="AG116" s="3" t="s">
        <v>895</v>
      </c>
    </row>
    <row r="117" customFormat="false" ht="46.25" hidden="false" customHeight="false" outlineLevel="0" collapsed="false">
      <c r="A117" s="13" t="s">
        <v>184</v>
      </c>
      <c r="B117" s="3" t="s">
        <v>73</v>
      </c>
      <c r="C117" s="3" t="s">
        <v>888</v>
      </c>
      <c r="D117" s="3" t="s">
        <v>780</v>
      </c>
      <c r="E117" s="3" t="s">
        <v>215</v>
      </c>
      <c r="F117" s="3" t="s">
        <v>764</v>
      </c>
      <c r="G117" s="3" t="s">
        <v>896</v>
      </c>
      <c r="H117" s="3" t="s">
        <v>265</v>
      </c>
      <c r="I117" s="3" t="s">
        <v>897</v>
      </c>
      <c r="J117" s="14" t="n">
        <v>130</v>
      </c>
      <c r="K117" s="10" t="s">
        <v>267</v>
      </c>
      <c r="L117" s="10" t="s">
        <v>268</v>
      </c>
      <c r="M117" s="15" t="n">
        <v>1</v>
      </c>
      <c r="N117" s="10" t="s">
        <v>883</v>
      </c>
      <c r="O117" s="16" t="n">
        <f aca="false">IF(K117="USD",1,INDEX(Change_periodes!$D$1:$N$400,MATCH($N117,Change_periodes!$A$1:$A$400,0),MATCH($K117,Change_periodes!$D$1:$N$1,0)))</f>
        <v>581.928485535284</v>
      </c>
      <c r="P117" s="3" t="s">
        <v>270</v>
      </c>
      <c r="Q117" s="17" t="n">
        <f aca="false">INDEX(Change_periodes!$D$1:$D$400,MATCH($N117,Change_periodes!$A$1:$A$400,0))</f>
        <v>581.928485535284</v>
      </c>
      <c r="R117" s="18" t="n">
        <f aca="false">IFERROR(J117/M117/O117,"")</f>
        <v>0.223395147739537</v>
      </c>
      <c r="S117" s="9" t="n">
        <f aca="false">IFERROR(R117*Q117,"")</f>
        <v>130</v>
      </c>
      <c r="T117" s="19" t="n">
        <v>1</v>
      </c>
      <c r="U117" s="3" t="s">
        <v>271</v>
      </c>
      <c r="V117" s="9" t="n">
        <f aca="false">IFERROR(S117/T117,"")</f>
        <v>130</v>
      </c>
      <c r="W117" s="10" t="s">
        <v>892</v>
      </c>
      <c r="X117" s="9" t="n">
        <f aca="false">IF(W117="","",IFERROR(INDEX($V$1:$V$178,MATCH(W117,$A$1:$A$178,0)),""))</f>
        <v>154.264392111358</v>
      </c>
      <c r="Y117" s="8" t="n">
        <f aca="false">IF(OR(X117="",V117=""),"",V117/X117)</f>
        <v>0.842709054375671</v>
      </c>
      <c r="Z117" s="10"/>
      <c r="AA117" s="9" t="str">
        <f aca="false">IF(Z117="","",IFERROR(INDEX($V$1:$V$178,MATCH(Z117,$A$1:$A$178,0)),""))</f>
        <v/>
      </c>
      <c r="AB117" s="8" t="str">
        <f aca="false">IF(OR(AA117="",V117=""),"",V117/AA117)</f>
        <v/>
      </c>
      <c r="AC117" s="3" t="s">
        <v>898</v>
      </c>
      <c r="AD117" s="3" t="s">
        <v>899</v>
      </c>
      <c r="AE117" s="10" t="s">
        <v>275</v>
      </c>
      <c r="AF117" s="7" t="s">
        <v>401</v>
      </c>
      <c r="AG117" s="3" t="s">
        <v>900</v>
      </c>
    </row>
    <row r="118" customFormat="false" ht="35.05" hidden="false" customHeight="false" outlineLevel="0" collapsed="false">
      <c r="A118" s="13" t="s">
        <v>187</v>
      </c>
      <c r="B118" s="3" t="s">
        <v>73</v>
      </c>
      <c r="C118" s="3" t="s">
        <v>901</v>
      </c>
      <c r="D118" s="3" t="s">
        <v>572</v>
      </c>
      <c r="E118" s="3" t="s">
        <v>215</v>
      </c>
      <c r="F118" s="3" t="s">
        <v>902</v>
      </c>
      <c r="G118" s="3" t="s">
        <v>903</v>
      </c>
      <c r="H118" s="3" t="s">
        <v>904</v>
      </c>
      <c r="I118" s="3" t="s">
        <v>905</v>
      </c>
      <c r="J118" s="14" t="n">
        <f aca="false">(5450+5650)/2</f>
        <v>5550</v>
      </c>
      <c r="K118" s="10" t="s">
        <v>577</v>
      </c>
      <c r="L118" s="10" t="s">
        <v>268</v>
      </c>
      <c r="M118" s="15" t="n">
        <v>1</v>
      </c>
      <c r="N118" s="10" t="s">
        <v>906</v>
      </c>
      <c r="O118" s="16" t="n">
        <f aca="false">IF(K118="USD",1,INDEX(Change_periodes!$D$1:$N$400,MATCH($N118,Change_periodes!$A$1:$A$400,0),MATCH($K118,Change_periodes!$D$1:$N$1,0)))</f>
        <v>25196.815</v>
      </c>
      <c r="P118" s="3" t="s">
        <v>578</v>
      </c>
      <c r="Q118" s="17" t="n">
        <f aca="false">INDEX(Change_periodes!$D$1:$D$400,MATCH($N118,Change_periodes!$A$1:$A$400,0))</f>
        <v>561.553739803588</v>
      </c>
      <c r="R118" s="18" t="n">
        <f aca="false">IFERROR(J118/M118/O118,"")</f>
        <v>0.220265934404805</v>
      </c>
      <c r="S118" s="9" t="n">
        <f aca="false">IFERROR(R118*Q118,"")</f>
        <v>123.69115921635</v>
      </c>
      <c r="T118" s="19" t="n">
        <v>1</v>
      </c>
      <c r="U118" s="3" t="s">
        <v>271</v>
      </c>
      <c r="V118" s="9" t="n">
        <f aca="false">IFERROR(S118/T118,"")</f>
        <v>123.69115921635</v>
      </c>
      <c r="W118" s="10" t="s">
        <v>892</v>
      </c>
      <c r="X118" s="9" t="n">
        <f aca="false">IF(W118="","",IFERROR(INDEX($V$1:$V$178,MATCH(W118,$A$1:$A$178,0)),""))</f>
        <v>154.264392111358</v>
      </c>
      <c r="Y118" s="8" t="n">
        <f aca="false">IF(OR(X118="",V118=""),"",V118/X118)</f>
        <v>0.801812767829545</v>
      </c>
      <c r="Z118" s="10"/>
      <c r="AA118" s="9" t="str">
        <f aca="false">IF(Z118="","",IFERROR(INDEX($V$1:$V$178,MATCH(Z118,$A$1:$A$178,0)),""))</f>
        <v/>
      </c>
      <c r="AB118" s="8" t="str">
        <f aca="false">IF(OR(AA118="",V118=""),"",V118/AA118)</f>
        <v/>
      </c>
      <c r="AC118" s="3" t="s">
        <v>907</v>
      </c>
      <c r="AD118" s="3" t="s">
        <v>908</v>
      </c>
      <c r="AE118" s="10" t="s">
        <v>275</v>
      </c>
      <c r="AF118" s="7" t="s">
        <v>81</v>
      </c>
      <c r="AG118" s="3" t="s">
        <v>909</v>
      </c>
    </row>
    <row r="119" customFormat="false" ht="35.05" hidden="false" customHeight="false" outlineLevel="0" collapsed="false">
      <c r="A119" s="13" t="s">
        <v>910</v>
      </c>
      <c r="B119" s="3" t="s">
        <v>77</v>
      </c>
      <c r="C119" s="3" t="s">
        <v>911</v>
      </c>
      <c r="D119" s="3" t="s">
        <v>488</v>
      </c>
      <c r="E119" s="3" t="s">
        <v>633</v>
      </c>
      <c r="F119" s="3" t="s">
        <v>912</v>
      </c>
      <c r="G119" s="3" t="s">
        <v>913</v>
      </c>
      <c r="H119" s="3" t="s">
        <v>914</v>
      </c>
      <c r="I119" s="3" t="s">
        <v>915</v>
      </c>
      <c r="J119" s="14" t="n">
        <v>7.5</v>
      </c>
      <c r="K119" s="10" t="s">
        <v>491</v>
      </c>
      <c r="L119" s="10" t="s">
        <v>916</v>
      </c>
      <c r="M119" s="15" t="n">
        <v>19.5045</v>
      </c>
      <c r="N119" s="10" t="s">
        <v>917</v>
      </c>
      <c r="O119" s="16" t="n">
        <f aca="false">IF(K119="USD",1,INDEX(Change_periodes!$D$1:$N$400,MATCH($N119,Change_periodes!$A$1:$A$400,0),MATCH($K119,Change_periodes!$D$1:$N$1,0)))</f>
        <v>1</v>
      </c>
      <c r="P119" s="3" t="s">
        <v>87</v>
      </c>
      <c r="Q119" s="17" t="n">
        <f aca="false">INDEX(Change_periodes!$D$1:$D$400,MATCH($N119,Change_periodes!$A$1:$A$400,0))</f>
        <v>564.153376691077</v>
      </c>
      <c r="R119" s="18" t="n">
        <f aca="false">IFERROR(J119/M119/O119,"")</f>
        <v>0.384526647696685</v>
      </c>
      <c r="S119" s="9" t="n">
        <f aca="false">IFERROR(R119*Q119,"")</f>
        <v>216.932006725785</v>
      </c>
      <c r="T119" s="19" t="n">
        <v>1</v>
      </c>
      <c r="U119" s="3" t="s">
        <v>271</v>
      </c>
      <c r="V119" s="9" t="n">
        <f aca="false">IFERROR(S119/T119,"")</f>
        <v>216.932006725785</v>
      </c>
      <c r="W119" s="10"/>
      <c r="X119" s="9" t="str">
        <f aca="false">IF(W119="","",IFERROR(INDEX($V$1:$V$178,MATCH(W119,$A$1:$A$178,0)),""))</f>
        <v/>
      </c>
      <c r="Y119" s="8" t="str">
        <f aca="false">IF(OR(X119="",V119=""),"",V119/X119)</f>
        <v/>
      </c>
      <c r="Z119" s="10"/>
      <c r="AA119" s="9" t="str">
        <f aca="false">IF(Z119="","",IFERROR(INDEX($V$1:$V$178,MATCH(Z119,$A$1:$A$178,0)),""))</f>
        <v/>
      </c>
      <c r="AB119" s="8" t="str">
        <f aca="false">IF(OR(AA119="",V119=""),"",V119/AA119)</f>
        <v/>
      </c>
      <c r="AC119" s="3" t="s">
        <v>918</v>
      </c>
      <c r="AD119" s="3" t="s">
        <v>919</v>
      </c>
      <c r="AE119" s="10" t="s">
        <v>275</v>
      </c>
      <c r="AF119" s="7" t="s">
        <v>81</v>
      </c>
      <c r="AG119" s="3" t="s">
        <v>920</v>
      </c>
    </row>
    <row r="120" customFormat="false" ht="35.05" hidden="false" customHeight="false" outlineLevel="0" collapsed="false">
      <c r="A120" s="13" t="s">
        <v>921</v>
      </c>
      <c r="B120" s="3" t="s">
        <v>82</v>
      </c>
      <c r="C120" s="3" t="s">
        <v>922</v>
      </c>
      <c r="D120" s="3" t="s">
        <v>261</v>
      </c>
      <c r="E120" s="3" t="s">
        <v>633</v>
      </c>
      <c r="F120" s="3" t="s">
        <v>206</v>
      </c>
      <c r="G120" s="3" t="s">
        <v>923</v>
      </c>
      <c r="H120" s="3" t="s">
        <v>924</v>
      </c>
      <c r="I120" s="3" t="s">
        <v>925</v>
      </c>
      <c r="J120" s="14" t="n">
        <v>220</v>
      </c>
      <c r="K120" s="10" t="s">
        <v>267</v>
      </c>
      <c r="L120" s="10" t="s">
        <v>268</v>
      </c>
      <c r="M120" s="15" t="n">
        <v>1</v>
      </c>
      <c r="N120" s="10" t="s">
        <v>926</v>
      </c>
      <c r="O120" s="16" t="n">
        <f aca="false">IF(K120="USD",1,INDEX(Change_periodes!$D$1:$N$400,MATCH($N120,Change_periodes!$A$1:$A$400,0),MATCH($K120,Change_periodes!$D$1:$N$1,0)))</f>
        <v>564.824997550716</v>
      </c>
      <c r="P120" s="3" t="s">
        <v>270</v>
      </c>
      <c r="Q120" s="17" t="n">
        <f aca="false">INDEX(Change_periodes!$D$1:$D$400,MATCH($N120,Change_periodes!$A$1:$A$400,0))</f>
        <v>564.824997550716</v>
      </c>
      <c r="R120" s="18" t="n">
        <f aca="false">IFERROR(J120/M120/O120,"")</f>
        <v>0.389501174618686</v>
      </c>
      <c r="S120" s="9" t="n">
        <f aca="false">IFERROR(R120*Q120,"")</f>
        <v>220</v>
      </c>
      <c r="T120" s="19" t="n">
        <v>1</v>
      </c>
      <c r="U120" s="3" t="s">
        <v>271</v>
      </c>
      <c r="V120" s="9" t="n">
        <f aca="false">IFERROR(S120/T120,"")</f>
        <v>220</v>
      </c>
      <c r="W120" s="10"/>
      <c r="X120" s="9" t="str">
        <f aca="false">IF(W120="","",IFERROR(INDEX($V$1:$V$178,MATCH(W120,$A$1:$A$178,0)),""))</f>
        <v/>
      </c>
      <c r="Y120" s="8" t="str">
        <f aca="false">IF(OR(X120="",V120=""),"",V120/X120)</f>
        <v/>
      </c>
      <c r="Z120" s="10"/>
      <c r="AA120" s="9" t="str">
        <f aca="false">IF(Z120="","",IFERROR(INDEX($V$1:$V$178,MATCH(Z120,$A$1:$A$178,0)),""))</f>
        <v/>
      </c>
      <c r="AB120" s="8" t="str">
        <f aca="false">IF(OR(AA120="",V120=""),"",V120/AA120)</f>
        <v/>
      </c>
      <c r="AC120" s="3" t="s">
        <v>927</v>
      </c>
      <c r="AD120" s="3" t="s">
        <v>928</v>
      </c>
      <c r="AE120" s="10" t="s">
        <v>275</v>
      </c>
      <c r="AF120" s="7" t="s">
        <v>81</v>
      </c>
      <c r="AG120" s="3" t="s">
        <v>929</v>
      </c>
    </row>
    <row r="121" customFormat="false" ht="35.05" hidden="false" customHeight="false" outlineLevel="0" collapsed="false">
      <c r="A121" s="13" t="s">
        <v>930</v>
      </c>
      <c r="B121" s="3" t="s">
        <v>82</v>
      </c>
      <c r="C121" s="3" t="s">
        <v>82</v>
      </c>
      <c r="D121" s="3" t="s">
        <v>83</v>
      </c>
      <c r="E121" s="3" t="s">
        <v>633</v>
      </c>
      <c r="F121" s="3" t="s">
        <v>206</v>
      </c>
      <c r="G121" s="3" t="s">
        <v>651</v>
      </c>
      <c r="H121" s="3" t="s">
        <v>265</v>
      </c>
      <c r="I121" s="3" t="s">
        <v>82</v>
      </c>
      <c r="J121" s="14" t="n">
        <v>95</v>
      </c>
      <c r="K121" s="10" t="s">
        <v>267</v>
      </c>
      <c r="L121" s="10" t="s">
        <v>268</v>
      </c>
      <c r="M121" s="15" t="n">
        <v>1</v>
      </c>
      <c r="N121" s="10" t="s">
        <v>926</v>
      </c>
      <c r="O121" s="16" t="n">
        <f aca="false">IF(K121="USD",1,INDEX(Change_periodes!$D$1:$N$400,MATCH($N121,Change_periodes!$A$1:$A$400,0),MATCH($K121,Change_periodes!$D$1:$N$1,0)))</f>
        <v>564.824997550716</v>
      </c>
      <c r="P121" s="3" t="s">
        <v>270</v>
      </c>
      <c r="Q121" s="17" t="n">
        <f aca="false">INDEX(Change_periodes!$D$1:$D$400,MATCH($N121,Change_periodes!$A$1:$A$400,0))</f>
        <v>564.824997550716</v>
      </c>
      <c r="R121" s="18" t="n">
        <f aca="false">IFERROR(J121/M121/O121,"")</f>
        <v>0.168193689039887</v>
      </c>
      <c r="S121" s="9" t="n">
        <f aca="false">IFERROR(R121*Q121,"")</f>
        <v>95</v>
      </c>
      <c r="T121" s="19" t="n">
        <v>1</v>
      </c>
      <c r="U121" s="3" t="s">
        <v>271</v>
      </c>
      <c r="V121" s="9" t="n">
        <f aca="false">IFERROR(S121/T121,"")</f>
        <v>95</v>
      </c>
      <c r="W121" s="10"/>
      <c r="X121" s="9" t="str">
        <f aca="false">IF(W121="","",IFERROR(INDEX($V$1:$V$178,MATCH(W121,$A$1:$A$178,0)),""))</f>
        <v/>
      </c>
      <c r="Y121" s="8" t="str">
        <f aca="false">IF(OR(X121="",V121=""),"",V121/X121)</f>
        <v/>
      </c>
      <c r="Z121" s="10"/>
      <c r="AA121" s="9" t="str">
        <f aca="false">IF(Z121="","",IFERROR(INDEX($V$1:$V$178,MATCH(Z121,$A$1:$A$178,0)),""))</f>
        <v/>
      </c>
      <c r="AB121" s="8" t="str">
        <f aca="false">IF(OR(AA121="",V121=""),"",V121/AA121)</f>
        <v/>
      </c>
      <c r="AC121" s="3" t="s">
        <v>931</v>
      </c>
      <c r="AD121" s="3" t="s">
        <v>932</v>
      </c>
      <c r="AE121" s="10" t="s">
        <v>275</v>
      </c>
      <c r="AF121" s="7" t="s">
        <v>81</v>
      </c>
      <c r="AG121" s="3" t="s">
        <v>933</v>
      </c>
    </row>
    <row r="122" customFormat="false" ht="35.05" hidden="false" customHeight="false" outlineLevel="0" collapsed="false">
      <c r="A122" s="13" t="s">
        <v>272</v>
      </c>
      <c r="B122" s="3" t="s">
        <v>45</v>
      </c>
      <c r="C122" s="3" t="s">
        <v>474</v>
      </c>
      <c r="D122" s="3" t="s">
        <v>934</v>
      </c>
      <c r="E122" s="3" t="s">
        <v>935</v>
      </c>
      <c r="F122" s="3" t="s">
        <v>936</v>
      </c>
      <c r="G122" s="3" t="s">
        <v>937</v>
      </c>
      <c r="H122" s="3" t="s">
        <v>938</v>
      </c>
      <c r="I122" s="3" t="s">
        <v>939</v>
      </c>
      <c r="J122" s="16" t="n">
        <f aca="false">INDEX(Cours_periodes!$E$1:$E$400,MATCH("cacao:2016-10:2017-03",Cours_periodes!$A$1:$A$400,0))</f>
        <v>2.29619666666667</v>
      </c>
      <c r="K122" s="10" t="s">
        <v>491</v>
      </c>
      <c r="L122" s="10" t="s">
        <v>268</v>
      </c>
      <c r="M122" s="15" t="n">
        <v>1</v>
      </c>
      <c r="N122" s="10" t="s">
        <v>269</v>
      </c>
      <c r="O122" s="16" t="n">
        <f aca="false">IF(K122="USD",1,INDEX(Change_periodes!$D$1:$N$400,MATCH($N122,Change_periodes!$A$1:$A$400,0),MATCH($K122,Change_periodes!$D$1:$N$1,0)))</f>
        <v>1</v>
      </c>
      <c r="P122" s="3" t="s">
        <v>87</v>
      </c>
      <c r="Q122" s="17" t="n">
        <f aca="false">INDEX(Change_periodes!$D$1:$D$400,MATCH($N122,Change_periodes!$A$1:$A$400,0))</f>
        <v>612.129614326912</v>
      </c>
      <c r="R122" s="18" t="n">
        <f aca="false">IFERROR(J122/M122/O122,"")</f>
        <v>2.29619666666667</v>
      </c>
      <c r="S122" s="9" t="n">
        <f aca="false">IFERROR(R122*Q122,"")</f>
        <v>1405.56997998541</v>
      </c>
      <c r="T122" s="19" t="n">
        <v>1</v>
      </c>
      <c r="U122" s="3" t="s">
        <v>271</v>
      </c>
      <c r="V122" s="9" t="n">
        <f aca="false">IFERROR(S122/T122,"")</f>
        <v>1405.56997998541</v>
      </c>
      <c r="W122" s="10"/>
      <c r="X122" s="9" t="str">
        <f aca="false">IF(W122="","",IFERROR(INDEX($V$1:$V$178,MATCH(W122,$A$1:$A$178,0)),""))</f>
        <v/>
      </c>
      <c r="Y122" s="8" t="str">
        <f aca="false">IF(OR(X122="",V122=""),"",V122/X122)</f>
        <v/>
      </c>
      <c r="Z122" s="10"/>
      <c r="AA122" s="9" t="str">
        <f aca="false">IF(Z122="","",IFERROR(INDEX($V$1:$V$178,MATCH(Z122,$A$1:$A$178,0)),""))</f>
        <v/>
      </c>
      <c r="AB122" s="8" t="str">
        <f aca="false">IF(OR(AA122="",V122=""),"",V122/AA122)</f>
        <v/>
      </c>
      <c r="AC122" s="3" t="s">
        <v>940</v>
      </c>
      <c r="AD122" s="3" t="s">
        <v>941</v>
      </c>
      <c r="AE122" s="10" t="s">
        <v>275</v>
      </c>
      <c r="AF122" s="7" t="s">
        <v>401</v>
      </c>
      <c r="AG122" s="3" t="s">
        <v>942</v>
      </c>
    </row>
    <row r="123" customFormat="false" ht="35.05" hidden="false" customHeight="false" outlineLevel="0" collapsed="false">
      <c r="A123" s="13" t="s">
        <v>280</v>
      </c>
      <c r="B123" s="3" t="s">
        <v>45</v>
      </c>
      <c r="C123" s="3" t="s">
        <v>474</v>
      </c>
      <c r="D123" s="3" t="s">
        <v>934</v>
      </c>
      <c r="E123" s="3" t="s">
        <v>943</v>
      </c>
      <c r="F123" s="3" t="s">
        <v>944</v>
      </c>
      <c r="G123" s="3" t="s">
        <v>937</v>
      </c>
      <c r="H123" s="3" t="s">
        <v>938</v>
      </c>
      <c r="I123" s="3" t="s">
        <v>939</v>
      </c>
      <c r="J123" s="16" t="n">
        <f aca="false">INDEX(Cours_periodes!$E$1:$E$400,MATCH("cacao:2017-04:2017-09",Cours_periodes!$A$1:$A$400,0))</f>
        <v>1.98638833333333</v>
      </c>
      <c r="K123" s="10" t="s">
        <v>491</v>
      </c>
      <c r="L123" s="10" t="s">
        <v>268</v>
      </c>
      <c r="M123" s="15" t="n">
        <v>1</v>
      </c>
      <c r="N123" s="10" t="s">
        <v>279</v>
      </c>
      <c r="O123" s="16" t="n">
        <f aca="false">IF(K123="USD",1,INDEX(Change_periodes!$D$1:$N$400,MATCH($N123,Change_periodes!$A$1:$A$400,0),MATCH($K123,Change_periodes!$D$1:$N$1,0)))</f>
        <v>1</v>
      </c>
      <c r="P123" s="3" t="s">
        <v>87</v>
      </c>
      <c r="Q123" s="17" t="n">
        <f aca="false">INDEX(Change_periodes!$D$1:$D$400,MATCH($N123,Change_periodes!$A$1:$A$400,0))</f>
        <v>577.514240499801</v>
      </c>
      <c r="R123" s="18" t="n">
        <f aca="false">IFERROR(J123/M123/O123,"")</f>
        <v>1.98638833333333</v>
      </c>
      <c r="S123" s="9" t="n">
        <f aca="false">IFERROR(R123*Q123,"")</f>
        <v>1147.16754966267</v>
      </c>
      <c r="T123" s="19" t="n">
        <v>1</v>
      </c>
      <c r="U123" s="3" t="s">
        <v>271</v>
      </c>
      <c r="V123" s="9" t="n">
        <f aca="false">IFERROR(S123/T123,"")</f>
        <v>1147.16754966267</v>
      </c>
      <c r="W123" s="10"/>
      <c r="X123" s="9" t="str">
        <f aca="false">IF(W123="","",IFERROR(INDEX($V$1:$V$178,MATCH(W123,$A$1:$A$178,0)),""))</f>
        <v/>
      </c>
      <c r="Y123" s="8" t="str">
        <f aca="false">IF(OR(X123="",V123=""),"",V123/X123)</f>
        <v/>
      </c>
      <c r="Z123" s="10"/>
      <c r="AA123" s="9" t="str">
        <f aca="false">IF(Z123="","",IFERROR(INDEX($V$1:$V$178,MATCH(Z123,$A$1:$A$178,0)),""))</f>
        <v/>
      </c>
      <c r="AB123" s="8" t="str">
        <f aca="false">IF(OR(AA123="",V123=""),"",V123/AA123)</f>
        <v/>
      </c>
      <c r="AC123" s="3" t="s">
        <v>940</v>
      </c>
      <c r="AD123" s="3" t="s">
        <v>941</v>
      </c>
      <c r="AE123" s="10" t="s">
        <v>275</v>
      </c>
      <c r="AF123" s="7" t="s">
        <v>401</v>
      </c>
      <c r="AG123" s="3" t="s">
        <v>942</v>
      </c>
    </row>
    <row r="124" customFormat="false" ht="35.05" hidden="false" customHeight="false" outlineLevel="0" collapsed="false">
      <c r="A124" s="13" t="s">
        <v>286</v>
      </c>
      <c r="B124" s="3" t="s">
        <v>45</v>
      </c>
      <c r="C124" s="3" t="s">
        <v>474</v>
      </c>
      <c r="D124" s="3" t="s">
        <v>934</v>
      </c>
      <c r="E124" s="3" t="s">
        <v>945</v>
      </c>
      <c r="F124" s="3" t="s">
        <v>946</v>
      </c>
      <c r="G124" s="3" t="s">
        <v>937</v>
      </c>
      <c r="H124" s="3" t="s">
        <v>938</v>
      </c>
      <c r="I124" s="3" t="s">
        <v>939</v>
      </c>
      <c r="J124" s="16" t="n">
        <f aca="false">INDEX(Cours_periodes!$E$1:$E$400,MATCH("cacao:2017-10:2018-03",Cours_periodes!$A$1:$A$400,0))</f>
        <v>2.12020166666667</v>
      </c>
      <c r="K124" s="10" t="s">
        <v>491</v>
      </c>
      <c r="L124" s="10" t="s">
        <v>268</v>
      </c>
      <c r="M124" s="15" t="n">
        <v>1</v>
      </c>
      <c r="N124" s="10" t="s">
        <v>285</v>
      </c>
      <c r="O124" s="16" t="n">
        <f aca="false">IF(K124="USD",1,INDEX(Change_periodes!$D$1:$N$400,MATCH($N124,Change_periodes!$A$1:$A$400,0),MATCH($K124,Change_periodes!$D$1:$N$1,0)))</f>
        <v>1</v>
      </c>
      <c r="P124" s="3" t="s">
        <v>87</v>
      </c>
      <c r="Q124" s="17" t="n">
        <f aca="false">INDEX(Change_periodes!$D$1:$D$400,MATCH($N124,Change_periodes!$A$1:$A$400,0))</f>
        <v>545.278268301567</v>
      </c>
      <c r="R124" s="18" t="n">
        <f aca="false">IFERROR(J124/M124/O124,"")</f>
        <v>2.12020166666667</v>
      </c>
      <c r="S124" s="9" t="n">
        <f aca="false">IFERROR(R124*Q124,"")</f>
        <v>1156.0998932501</v>
      </c>
      <c r="T124" s="19" t="n">
        <v>1</v>
      </c>
      <c r="U124" s="3" t="s">
        <v>271</v>
      </c>
      <c r="V124" s="9" t="n">
        <f aca="false">IFERROR(S124/T124,"")</f>
        <v>1156.0998932501</v>
      </c>
      <c r="W124" s="10"/>
      <c r="X124" s="9" t="str">
        <f aca="false">IF(W124="","",IFERROR(INDEX($V$1:$V$178,MATCH(W124,$A$1:$A$178,0)),""))</f>
        <v/>
      </c>
      <c r="Y124" s="8" t="str">
        <f aca="false">IF(OR(X124="",V124=""),"",V124/X124)</f>
        <v/>
      </c>
      <c r="Z124" s="10"/>
      <c r="AA124" s="9" t="str">
        <f aca="false">IF(Z124="","",IFERROR(INDEX($V$1:$V$178,MATCH(Z124,$A$1:$A$178,0)),""))</f>
        <v/>
      </c>
      <c r="AB124" s="8" t="str">
        <f aca="false">IF(OR(AA124="",V124=""),"",V124/AA124)</f>
        <v/>
      </c>
      <c r="AC124" s="3" t="s">
        <v>940</v>
      </c>
      <c r="AD124" s="3" t="s">
        <v>941</v>
      </c>
      <c r="AE124" s="10" t="s">
        <v>275</v>
      </c>
      <c r="AF124" s="7" t="s">
        <v>401</v>
      </c>
      <c r="AG124" s="3" t="s">
        <v>942</v>
      </c>
    </row>
    <row r="125" customFormat="false" ht="35.05" hidden="false" customHeight="false" outlineLevel="0" collapsed="false">
      <c r="A125" s="13" t="s">
        <v>291</v>
      </c>
      <c r="B125" s="3" t="s">
        <v>45</v>
      </c>
      <c r="C125" s="3" t="s">
        <v>474</v>
      </c>
      <c r="D125" s="3" t="s">
        <v>934</v>
      </c>
      <c r="E125" s="3" t="s">
        <v>947</v>
      </c>
      <c r="F125" s="3" t="s">
        <v>948</v>
      </c>
      <c r="G125" s="3" t="s">
        <v>937</v>
      </c>
      <c r="H125" s="3" t="s">
        <v>938</v>
      </c>
      <c r="I125" s="3" t="s">
        <v>939</v>
      </c>
      <c r="J125" s="16" t="n">
        <f aca="false">INDEX(Cours_periodes!$E$1:$E$400,MATCH("cacao:2018-04:2018-09",Cours_periodes!$A$1:$A$400,0))</f>
        <v>2.403165</v>
      </c>
      <c r="K125" s="10" t="s">
        <v>491</v>
      </c>
      <c r="L125" s="10" t="s">
        <v>268</v>
      </c>
      <c r="M125" s="15" t="n">
        <v>1</v>
      </c>
      <c r="N125" s="10" t="s">
        <v>290</v>
      </c>
      <c r="O125" s="16" t="n">
        <f aca="false">IF(K125="USD",1,INDEX(Change_periodes!$D$1:$N$400,MATCH($N125,Change_periodes!$A$1:$A$400,0),MATCH($K125,Change_periodes!$D$1:$N$1,0)))</f>
        <v>1</v>
      </c>
      <c r="P125" s="3" t="s">
        <v>87</v>
      </c>
      <c r="Q125" s="17" t="n">
        <f aca="false">INDEX(Change_periodes!$D$1:$D$400,MATCH($N125,Change_periodes!$A$1:$A$400,0))</f>
        <v>557.213561790484</v>
      </c>
      <c r="R125" s="18" t="n">
        <f aca="false">IFERROR(J125/M125/O125,"")</f>
        <v>2.403165</v>
      </c>
      <c r="S125" s="9" t="n">
        <f aca="false">IFERROR(R125*Q125,"")</f>
        <v>1339.07612922023</v>
      </c>
      <c r="T125" s="19" t="n">
        <v>1</v>
      </c>
      <c r="U125" s="3" t="s">
        <v>271</v>
      </c>
      <c r="V125" s="9" t="n">
        <f aca="false">IFERROR(S125/T125,"")</f>
        <v>1339.07612922023</v>
      </c>
      <c r="W125" s="10"/>
      <c r="X125" s="9" t="str">
        <f aca="false">IF(W125="","",IFERROR(INDEX($V$1:$V$178,MATCH(W125,$A$1:$A$178,0)),""))</f>
        <v/>
      </c>
      <c r="Y125" s="8" t="str">
        <f aca="false">IF(OR(X125="",V125=""),"",V125/X125)</f>
        <v/>
      </c>
      <c r="Z125" s="10"/>
      <c r="AA125" s="9" t="str">
        <f aca="false">IF(Z125="","",IFERROR(INDEX($V$1:$V$178,MATCH(Z125,$A$1:$A$178,0)),""))</f>
        <v/>
      </c>
      <c r="AB125" s="8" t="str">
        <f aca="false">IF(OR(AA125="",V125=""),"",V125/AA125)</f>
        <v/>
      </c>
      <c r="AC125" s="3" t="s">
        <v>940</v>
      </c>
      <c r="AD125" s="3" t="s">
        <v>941</v>
      </c>
      <c r="AE125" s="10" t="s">
        <v>275</v>
      </c>
      <c r="AF125" s="7" t="s">
        <v>401</v>
      </c>
      <c r="AG125" s="3" t="s">
        <v>942</v>
      </c>
    </row>
    <row r="126" customFormat="false" ht="35.05" hidden="false" customHeight="false" outlineLevel="0" collapsed="false">
      <c r="A126" s="13" t="s">
        <v>295</v>
      </c>
      <c r="B126" s="3" t="s">
        <v>45</v>
      </c>
      <c r="C126" s="3" t="s">
        <v>474</v>
      </c>
      <c r="D126" s="3" t="s">
        <v>934</v>
      </c>
      <c r="E126" s="3" t="s">
        <v>949</v>
      </c>
      <c r="F126" s="3" t="s">
        <v>950</v>
      </c>
      <c r="G126" s="3" t="s">
        <v>937</v>
      </c>
      <c r="H126" s="3" t="s">
        <v>938</v>
      </c>
      <c r="I126" s="3" t="s">
        <v>939</v>
      </c>
      <c r="J126" s="16" t="n">
        <f aca="false">INDEX(Cours_periodes!$E$1:$E$400,MATCH("cacao:2018-10:2019-03",Cours_periodes!$A$1:$A$400,0))</f>
        <v>2.20788</v>
      </c>
      <c r="K126" s="10" t="s">
        <v>491</v>
      </c>
      <c r="L126" s="10" t="s">
        <v>268</v>
      </c>
      <c r="M126" s="15" t="n">
        <v>1</v>
      </c>
      <c r="N126" s="10" t="s">
        <v>294</v>
      </c>
      <c r="O126" s="16" t="n">
        <f aca="false">IF(K126="USD",1,INDEX(Change_periodes!$D$1:$N$400,MATCH($N126,Change_periodes!$A$1:$A$400,0),MATCH($K126,Change_periodes!$D$1:$N$1,0)))</f>
        <v>1</v>
      </c>
      <c r="P126" s="3" t="s">
        <v>87</v>
      </c>
      <c r="Q126" s="17" t="n">
        <f aca="false">INDEX(Change_periodes!$D$1:$D$400,MATCH($N126,Change_periodes!$A$1:$A$400,0))</f>
        <v>576.213999056325</v>
      </c>
      <c r="R126" s="18" t="n">
        <f aca="false">IFERROR(J126/M126/O126,"")</f>
        <v>2.20788</v>
      </c>
      <c r="S126" s="9" t="n">
        <f aca="false">IFERROR(R126*Q126,"")</f>
        <v>1272.21136423648</v>
      </c>
      <c r="T126" s="19" t="n">
        <v>1</v>
      </c>
      <c r="U126" s="3" t="s">
        <v>271</v>
      </c>
      <c r="V126" s="9" t="n">
        <f aca="false">IFERROR(S126/T126,"")</f>
        <v>1272.21136423648</v>
      </c>
      <c r="W126" s="10"/>
      <c r="X126" s="9" t="str">
        <f aca="false">IF(W126="","",IFERROR(INDEX($V$1:$V$178,MATCH(W126,$A$1:$A$178,0)),""))</f>
        <v/>
      </c>
      <c r="Y126" s="8" t="str">
        <f aca="false">IF(OR(X126="",V126=""),"",V126/X126)</f>
        <v/>
      </c>
      <c r="Z126" s="10"/>
      <c r="AA126" s="9" t="str">
        <f aca="false">IF(Z126="","",IFERROR(INDEX($V$1:$V$178,MATCH(Z126,$A$1:$A$178,0)),""))</f>
        <v/>
      </c>
      <c r="AB126" s="8" t="str">
        <f aca="false">IF(OR(AA126="",V126=""),"",V126/AA126)</f>
        <v/>
      </c>
      <c r="AC126" s="3" t="s">
        <v>940</v>
      </c>
      <c r="AD126" s="3" t="s">
        <v>941</v>
      </c>
      <c r="AE126" s="10" t="s">
        <v>275</v>
      </c>
      <c r="AF126" s="7" t="s">
        <v>401</v>
      </c>
      <c r="AG126" s="3" t="s">
        <v>942</v>
      </c>
    </row>
    <row r="127" customFormat="false" ht="35.05" hidden="false" customHeight="false" outlineLevel="0" collapsed="false">
      <c r="A127" s="13" t="s">
        <v>300</v>
      </c>
      <c r="B127" s="3" t="s">
        <v>45</v>
      </c>
      <c r="C127" s="3" t="s">
        <v>474</v>
      </c>
      <c r="D127" s="3" t="s">
        <v>934</v>
      </c>
      <c r="E127" s="3" t="s">
        <v>951</v>
      </c>
      <c r="F127" s="3" t="s">
        <v>952</v>
      </c>
      <c r="G127" s="3" t="s">
        <v>937</v>
      </c>
      <c r="H127" s="3" t="s">
        <v>938</v>
      </c>
      <c r="I127" s="3" t="s">
        <v>939</v>
      </c>
      <c r="J127" s="16" t="n">
        <f aca="false">INDEX(Cours_periodes!$E$1:$E$400,MATCH("cacao:2019-04:2019-09",Cours_periodes!$A$1:$A$400,0))</f>
        <v>2.32843166666667</v>
      </c>
      <c r="K127" s="10" t="s">
        <v>491</v>
      </c>
      <c r="L127" s="10" t="s">
        <v>268</v>
      </c>
      <c r="M127" s="15" t="n">
        <v>1</v>
      </c>
      <c r="N127" s="10" t="s">
        <v>299</v>
      </c>
      <c r="O127" s="16" t="n">
        <f aca="false">IF(K127="USD",1,INDEX(Change_periodes!$D$1:$N$400,MATCH($N127,Change_periodes!$A$1:$A$400,0),MATCH($K127,Change_periodes!$D$1:$N$1,0)))</f>
        <v>1</v>
      </c>
      <c r="P127" s="3" t="s">
        <v>87</v>
      </c>
      <c r="Q127" s="17" t="n">
        <f aca="false">INDEX(Change_periodes!$D$1:$D$400,MATCH($N127,Change_periodes!$A$1:$A$400,0))</f>
        <v>586.897600710289</v>
      </c>
      <c r="R127" s="18" t="n">
        <f aca="false">IFERROR(J127/M127/O127,"")</f>
        <v>2.32843166666667</v>
      </c>
      <c r="S127" s="9" t="n">
        <f aca="false">IFERROR(R127*Q127,"")</f>
        <v>1366.55095858453</v>
      </c>
      <c r="T127" s="19" t="n">
        <v>1</v>
      </c>
      <c r="U127" s="3" t="s">
        <v>271</v>
      </c>
      <c r="V127" s="9" t="n">
        <f aca="false">IFERROR(S127/T127,"")</f>
        <v>1366.55095858453</v>
      </c>
      <c r="W127" s="10"/>
      <c r="X127" s="9" t="str">
        <f aca="false">IF(W127="","",IFERROR(INDEX($V$1:$V$178,MATCH(W127,$A$1:$A$178,0)),""))</f>
        <v/>
      </c>
      <c r="Y127" s="8" t="str">
        <f aca="false">IF(OR(X127="",V127=""),"",V127/X127)</f>
        <v/>
      </c>
      <c r="Z127" s="10"/>
      <c r="AA127" s="9" t="str">
        <f aca="false">IF(Z127="","",IFERROR(INDEX($V$1:$V$178,MATCH(Z127,$A$1:$A$178,0)),""))</f>
        <v/>
      </c>
      <c r="AB127" s="8" t="str">
        <f aca="false">IF(OR(AA127="",V127=""),"",V127/AA127)</f>
        <v/>
      </c>
      <c r="AC127" s="3" t="s">
        <v>940</v>
      </c>
      <c r="AD127" s="3" t="s">
        <v>941</v>
      </c>
      <c r="AE127" s="10" t="s">
        <v>275</v>
      </c>
      <c r="AF127" s="7" t="s">
        <v>401</v>
      </c>
      <c r="AG127" s="3" t="s">
        <v>942</v>
      </c>
    </row>
    <row r="128" customFormat="false" ht="35.05" hidden="false" customHeight="false" outlineLevel="0" collapsed="false">
      <c r="A128" s="13" t="s">
        <v>306</v>
      </c>
      <c r="B128" s="3" t="s">
        <v>45</v>
      </c>
      <c r="C128" s="3" t="s">
        <v>474</v>
      </c>
      <c r="D128" s="3" t="s">
        <v>934</v>
      </c>
      <c r="E128" s="3" t="s">
        <v>953</v>
      </c>
      <c r="F128" s="3" t="s">
        <v>954</v>
      </c>
      <c r="G128" s="3" t="s">
        <v>937</v>
      </c>
      <c r="H128" s="3" t="s">
        <v>938</v>
      </c>
      <c r="I128" s="3" t="s">
        <v>939</v>
      </c>
      <c r="J128" s="16" t="n">
        <f aca="false">INDEX(Cours_periodes!$E$1:$E$400,MATCH("cacao:2019-10:2020-03",Cours_periodes!$A$1:$A$400,0))</f>
        <v>2.509565</v>
      </c>
      <c r="K128" s="10" t="s">
        <v>491</v>
      </c>
      <c r="L128" s="10" t="s">
        <v>268</v>
      </c>
      <c r="M128" s="15" t="n">
        <v>1</v>
      </c>
      <c r="N128" s="10" t="s">
        <v>305</v>
      </c>
      <c r="O128" s="16" t="n">
        <f aca="false">IF(K128="USD",1,INDEX(Change_periodes!$D$1:$N$400,MATCH($N128,Change_periodes!$A$1:$A$400,0),MATCH($K128,Change_periodes!$D$1:$N$1,0)))</f>
        <v>1</v>
      </c>
      <c r="P128" s="3" t="s">
        <v>87</v>
      </c>
      <c r="Q128" s="17" t="n">
        <f aca="false">INDEX(Change_periodes!$D$1:$D$400,MATCH($N128,Change_periodes!$A$1:$A$400,0))</f>
        <v>593.776626757643</v>
      </c>
      <c r="R128" s="18" t="n">
        <f aca="false">IFERROR(J128/M128/O128,"")</f>
        <v>2.509565</v>
      </c>
      <c r="S128" s="9" t="n">
        <f aca="false">IFERROR(R128*Q128,"")</f>
        <v>1490.12104032904</v>
      </c>
      <c r="T128" s="19" t="n">
        <v>1</v>
      </c>
      <c r="U128" s="3" t="s">
        <v>271</v>
      </c>
      <c r="V128" s="9" t="n">
        <f aca="false">IFERROR(S128/T128,"")</f>
        <v>1490.12104032904</v>
      </c>
      <c r="W128" s="10"/>
      <c r="X128" s="9" t="str">
        <f aca="false">IF(W128="","",IFERROR(INDEX($V$1:$V$178,MATCH(W128,$A$1:$A$178,0)),""))</f>
        <v/>
      </c>
      <c r="Y128" s="8" t="str">
        <f aca="false">IF(OR(X128="",V128=""),"",V128/X128)</f>
        <v/>
      </c>
      <c r="Z128" s="10"/>
      <c r="AA128" s="9" t="str">
        <f aca="false">IF(Z128="","",IFERROR(INDEX($V$1:$V$178,MATCH(Z128,$A$1:$A$178,0)),""))</f>
        <v/>
      </c>
      <c r="AB128" s="8" t="str">
        <f aca="false">IF(OR(AA128="",V128=""),"",V128/AA128)</f>
        <v/>
      </c>
      <c r="AC128" s="3" t="s">
        <v>940</v>
      </c>
      <c r="AD128" s="3" t="s">
        <v>941</v>
      </c>
      <c r="AE128" s="10" t="s">
        <v>275</v>
      </c>
      <c r="AF128" s="7" t="s">
        <v>401</v>
      </c>
      <c r="AG128" s="3" t="s">
        <v>942</v>
      </c>
    </row>
    <row r="129" customFormat="false" ht="35.05" hidden="false" customHeight="false" outlineLevel="0" collapsed="false">
      <c r="A129" s="13" t="s">
        <v>311</v>
      </c>
      <c r="B129" s="3" t="s">
        <v>45</v>
      </c>
      <c r="C129" s="3" t="s">
        <v>474</v>
      </c>
      <c r="D129" s="3" t="s">
        <v>934</v>
      </c>
      <c r="E129" s="3" t="s">
        <v>955</v>
      </c>
      <c r="F129" s="3" t="s">
        <v>956</v>
      </c>
      <c r="G129" s="3" t="s">
        <v>937</v>
      </c>
      <c r="H129" s="3" t="s">
        <v>938</v>
      </c>
      <c r="I129" s="3" t="s">
        <v>939</v>
      </c>
      <c r="J129" s="16" t="n">
        <f aca="false">INDEX(Cours_periodes!$E$1:$E$400,MATCH("cacao:2020-04:2020-09",Cours_periodes!$A$1:$A$400,0))</f>
        <v>2.28719666666667</v>
      </c>
      <c r="K129" s="10" t="s">
        <v>491</v>
      </c>
      <c r="L129" s="10" t="s">
        <v>268</v>
      </c>
      <c r="M129" s="15" t="n">
        <v>1</v>
      </c>
      <c r="N129" s="10" t="s">
        <v>310</v>
      </c>
      <c r="O129" s="16" t="n">
        <f aca="false">IF(K129="USD",1,INDEX(Change_periodes!$D$1:$N$400,MATCH($N129,Change_periodes!$A$1:$A$400,0),MATCH($K129,Change_periodes!$D$1:$N$1,0)))</f>
        <v>1</v>
      </c>
      <c r="P129" s="3" t="s">
        <v>87</v>
      </c>
      <c r="Q129" s="17" t="n">
        <f aca="false">INDEX(Change_periodes!$D$1:$D$400,MATCH($N129,Change_periodes!$A$1:$A$400,0))</f>
        <v>578.580402322302</v>
      </c>
      <c r="R129" s="18" t="n">
        <f aca="false">IFERROR(J129/M129/O129,"")</f>
        <v>2.28719666666667</v>
      </c>
      <c r="S129" s="9" t="n">
        <f aca="false">IFERROR(R129*Q129,"")</f>
        <v>1323.32716759023</v>
      </c>
      <c r="T129" s="19" t="n">
        <v>1</v>
      </c>
      <c r="U129" s="3" t="s">
        <v>271</v>
      </c>
      <c r="V129" s="9" t="n">
        <f aca="false">IFERROR(S129/T129,"")</f>
        <v>1323.32716759023</v>
      </c>
      <c r="W129" s="10"/>
      <c r="X129" s="9" t="str">
        <f aca="false">IF(W129="","",IFERROR(INDEX($V$1:$V$178,MATCH(W129,$A$1:$A$178,0)),""))</f>
        <v/>
      </c>
      <c r="Y129" s="8" t="str">
        <f aca="false">IF(OR(X129="",V129=""),"",V129/X129)</f>
        <v/>
      </c>
      <c r="Z129" s="10"/>
      <c r="AA129" s="9" t="str">
        <f aca="false">IF(Z129="","",IFERROR(INDEX($V$1:$V$178,MATCH(Z129,$A$1:$A$178,0)),""))</f>
        <v/>
      </c>
      <c r="AB129" s="8" t="str">
        <f aca="false">IF(OR(AA129="",V129=""),"",V129/AA129)</f>
        <v/>
      </c>
      <c r="AC129" s="3" t="s">
        <v>940</v>
      </c>
      <c r="AD129" s="3" t="s">
        <v>941</v>
      </c>
      <c r="AE129" s="10" t="s">
        <v>275</v>
      </c>
      <c r="AF129" s="7" t="s">
        <v>401</v>
      </c>
      <c r="AG129" s="3" t="s">
        <v>942</v>
      </c>
    </row>
    <row r="130" customFormat="false" ht="35.05" hidden="false" customHeight="false" outlineLevel="0" collapsed="false">
      <c r="A130" s="13" t="s">
        <v>317</v>
      </c>
      <c r="B130" s="3" t="s">
        <v>45</v>
      </c>
      <c r="C130" s="3" t="s">
        <v>474</v>
      </c>
      <c r="D130" s="3" t="s">
        <v>934</v>
      </c>
      <c r="E130" s="3" t="s">
        <v>957</v>
      </c>
      <c r="F130" s="3" t="s">
        <v>958</v>
      </c>
      <c r="G130" s="3" t="s">
        <v>937</v>
      </c>
      <c r="H130" s="3" t="s">
        <v>938</v>
      </c>
      <c r="I130" s="3" t="s">
        <v>939</v>
      </c>
      <c r="J130" s="16" t="n">
        <f aca="false">INDEX(Cours_periodes!$E$1:$E$400,MATCH("cacao:2020-10:2021-03",Cours_periodes!$A$1:$A$400,0))</f>
        <v>2.385935</v>
      </c>
      <c r="K130" s="10" t="s">
        <v>491</v>
      </c>
      <c r="L130" s="10" t="s">
        <v>268</v>
      </c>
      <c r="M130" s="15" t="n">
        <v>1</v>
      </c>
      <c r="N130" s="10" t="s">
        <v>316</v>
      </c>
      <c r="O130" s="16" t="n">
        <f aca="false">IF(K130="USD",1,INDEX(Change_periodes!$D$1:$N$400,MATCH($N130,Change_periodes!$A$1:$A$400,0),MATCH($K130,Change_periodes!$D$1:$N$1,0)))</f>
        <v>1</v>
      </c>
      <c r="P130" s="3" t="s">
        <v>87</v>
      </c>
      <c r="Q130" s="17" t="n">
        <f aca="false">INDEX(Change_periodes!$D$1:$D$400,MATCH($N130,Change_periodes!$A$1:$A$400,0))</f>
        <v>547.103635955358</v>
      </c>
      <c r="R130" s="18" t="n">
        <f aca="false">IFERROR(J130/M130/O130,"")</f>
        <v>2.385935</v>
      </c>
      <c r="S130" s="9" t="n">
        <f aca="false">IFERROR(R130*Q130,"")</f>
        <v>1305.35371365315</v>
      </c>
      <c r="T130" s="19" t="n">
        <v>1</v>
      </c>
      <c r="U130" s="3" t="s">
        <v>271</v>
      </c>
      <c r="V130" s="9" t="n">
        <f aca="false">IFERROR(S130/T130,"")</f>
        <v>1305.35371365315</v>
      </c>
      <c r="W130" s="10"/>
      <c r="X130" s="9" t="str">
        <f aca="false">IF(W130="","",IFERROR(INDEX($V$1:$V$178,MATCH(W130,$A$1:$A$178,0)),""))</f>
        <v/>
      </c>
      <c r="Y130" s="8" t="str">
        <f aca="false">IF(OR(X130="",V130=""),"",V130/X130)</f>
        <v/>
      </c>
      <c r="Z130" s="10"/>
      <c r="AA130" s="9" t="str">
        <f aca="false">IF(Z130="","",IFERROR(INDEX($V$1:$V$178,MATCH(Z130,$A$1:$A$178,0)),""))</f>
        <v/>
      </c>
      <c r="AB130" s="8" t="str">
        <f aca="false">IF(OR(AA130="",V130=""),"",V130/AA130)</f>
        <v/>
      </c>
      <c r="AC130" s="3" t="s">
        <v>940</v>
      </c>
      <c r="AD130" s="3" t="s">
        <v>941</v>
      </c>
      <c r="AE130" s="10" t="s">
        <v>275</v>
      </c>
      <c r="AF130" s="7" t="s">
        <v>401</v>
      </c>
      <c r="AG130" s="3" t="s">
        <v>942</v>
      </c>
    </row>
    <row r="131" customFormat="false" ht="35.05" hidden="false" customHeight="false" outlineLevel="0" collapsed="false">
      <c r="A131" s="13" t="s">
        <v>322</v>
      </c>
      <c r="B131" s="3" t="s">
        <v>45</v>
      </c>
      <c r="C131" s="3" t="s">
        <v>474</v>
      </c>
      <c r="D131" s="3" t="s">
        <v>934</v>
      </c>
      <c r="E131" s="3" t="s">
        <v>959</v>
      </c>
      <c r="F131" s="3" t="s">
        <v>960</v>
      </c>
      <c r="G131" s="3" t="s">
        <v>937</v>
      </c>
      <c r="H131" s="3" t="s">
        <v>938</v>
      </c>
      <c r="I131" s="3" t="s">
        <v>939</v>
      </c>
      <c r="J131" s="16" t="n">
        <f aca="false">INDEX(Cours_periodes!$E$1:$E$400,MATCH("cacao:2021-04:2021-09",Cours_periodes!$A$1:$A$400,0))</f>
        <v>2.41948666666667</v>
      </c>
      <c r="K131" s="10" t="s">
        <v>491</v>
      </c>
      <c r="L131" s="10" t="s">
        <v>268</v>
      </c>
      <c r="M131" s="15" t="n">
        <v>1</v>
      </c>
      <c r="N131" s="10" t="s">
        <v>321</v>
      </c>
      <c r="O131" s="16" t="n">
        <f aca="false">IF(K131="USD",1,INDEX(Change_periodes!$D$1:$N$400,MATCH($N131,Change_periodes!$A$1:$A$400,0),MATCH($K131,Change_periodes!$D$1:$N$1,0)))</f>
        <v>1</v>
      </c>
      <c r="P131" s="3" t="s">
        <v>87</v>
      </c>
      <c r="Q131" s="17" t="n">
        <f aca="false">INDEX(Change_periodes!$D$1:$D$400,MATCH($N131,Change_periodes!$A$1:$A$400,0))</f>
        <v>550.256160979698</v>
      </c>
      <c r="R131" s="18" t="n">
        <f aca="false">IFERROR(J131/M131/O131,"")</f>
        <v>2.41948666666667</v>
      </c>
      <c r="S131" s="9" t="n">
        <f aca="false">IFERROR(R131*Q131,"")</f>
        <v>1331.33744474157</v>
      </c>
      <c r="T131" s="19" t="n">
        <v>1</v>
      </c>
      <c r="U131" s="3" t="s">
        <v>271</v>
      </c>
      <c r="V131" s="9" t="n">
        <f aca="false">IFERROR(S131/T131,"")</f>
        <v>1331.33744474157</v>
      </c>
      <c r="W131" s="10"/>
      <c r="X131" s="9" t="str">
        <f aca="false">IF(W131="","",IFERROR(INDEX($V$1:$V$178,MATCH(W131,$A$1:$A$178,0)),""))</f>
        <v/>
      </c>
      <c r="Y131" s="8" t="str">
        <f aca="false">IF(OR(X131="",V131=""),"",V131/X131)</f>
        <v/>
      </c>
      <c r="Z131" s="10"/>
      <c r="AA131" s="9" t="str">
        <f aca="false">IF(Z131="","",IFERROR(INDEX($V$1:$V$178,MATCH(Z131,$A$1:$A$178,0)),""))</f>
        <v/>
      </c>
      <c r="AB131" s="8" t="str">
        <f aca="false">IF(OR(AA131="",V131=""),"",V131/AA131)</f>
        <v/>
      </c>
      <c r="AC131" s="3" t="s">
        <v>940</v>
      </c>
      <c r="AD131" s="3" t="s">
        <v>941</v>
      </c>
      <c r="AE131" s="10" t="s">
        <v>275</v>
      </c>
      <c r="AF131" s="7" t="s">
        <v>401</v>
      </c>
      <c r="AG131" s="3" t="s">
        <v>942</v>
      </c>
    </row>
    <row r="132" customFormat="false" ht="35.05" hidden="false" customHeight="false" outlineLevel="0" collapsed="false">
      <c r="A132" s="13" t="s">
        <v>328</v>
      </c>
      <c r="B132" s="3" t="s">
        <v>45</v>
      </c>
      <c r="C132" s="3" t="s">
        <v>474</v>
      </c>
      <c r="D132" s="3" t="s">
        <v>934</v>
      </c>
      <c r="E132" s="3" t="s">
        <v>961</v>
      </c>
      <c r="F132" s="3" t="s">
        <v>962</v>
      </c>
      <c r="G132" s="3" t="s">
        <v>937</v>
      </c>
      <c r="H132" s="3" t="s">
        <v>938</v>
      </c>
      <c r="I132" s="3" t="s">
        <v>939</v>
      </c>
      <c r="J132" s="16" t="n">
        <f aca="false">INDEX(Cours_periodes!$E$1:$E$400,MATCH("cacao:2021-10:2022-03",Cours_periodes!$A$1:$A$400,0))</f>
        <v>2.4701</v>
      </c>
      <c r="K132" s="10" t="s">
        <v>491</v>
      </c>
      <c r="L132" s="10" t="s">
        <v>268</v>
      </c>
      <c r="M132" s="15" t="n">
        <v>1</v>
      </c>
      <c r="N132" s="10" t="s">
        <v>327</v>
      </c>
      <c r="O132" s="16" t="n">
        <f aca="false">IF(K132="USD",1,INDEX(Change_periodes!$D$1:$N$400,MATCH($N132,Change_periodes!$A$1:$A$400,0),MATCH($K132,Change_periodes!$D$1:$N$1,0)))</f>
        <v>1</v>
      </c>
      <c r="P132" s="3" t="s">
        <v>87</v>
      </c>
      <c r="Q132" s="17" t="n">
        <f aca="false">INDEX(Change_periodes!$D$1:$D$400,MATCH($N132,Change_periodes!$A$1:$A$400,0))</f>
        <v>578.966057050983</v>
      </c>
      <c r="R132" s="18" t="n">
        <f aca="false">IFERROR(J132/M132/O132,"")</f>
        <v>2.4701</v>
      </c>
      <c r="S132" s="9" t="n">
        <f aca="false">IFERROR(R132*Q132,"")</f>
        <v>1430.10405752163</v>
      </c>
      <c r="T132" s="19" t="n">
        <v>1</v>
      </c>
      <c r="U132" s="3" t="s">
        <v>271</v>
      </c>
      <c r="V132" s="9" t="n">
        <f aca="false">IFERROR(S132/T132,"")</f>
        <v>1430.10405752163</v>
      </c>
      <c r="W132" s="10"/>
      <c r="X132" s="9" t="str">
        <f aca="false">IF(W132="","",IFERROR(INDEX($V$1:$V$178,MATCH(W132,$A$1:$A$178,0)),""))</f>
        <v/>
      </c>
      <c r="Y132" s="8" t="str">
        <f aca="false">IF(OR(X132="",V132=""),"",V132/X132)</f>
        <v/>
      </c>
      <c r="Z132" s="10"/>
      <c r="AA132" s="9" t="str">
        <f aca="false">IF(Z132="","",IFERROR(INDEX($V$1:$V$178,MATCH(Z132,$A$1:$A$178,0)),""))</f>
        <v/>
      </c>
      <c r="AB132" s="8" t="str">
        <f aca="false">IF(OR(AA132="",V132=""),"",V132/AA132)</f>
        <v/>
      </c>
      <c r="AC132" s="3" t="s">
        <v>940</v>
      </c>
      <c r="AD132" s="3" t="s">
        <v>941</v>
      </c>
      <c r="AE132" s="10" t="s">
        <v>275</v>
      </c>
      <c r="AF132" s="7" t="s">
        <v>401</v>
      </c>
      <c r="AG132" s="3" t="s">
        <v>942</v>
      </c>
    </row>
    <row r="133" customFormat="false" ht="35.05" hidden="false" customHeight="false" outlineLevel="0" collapsed="false">
      <c r="A133" s="13" t="s">
        <v>333</v>
      </c>
      <c r="B133" s="3" t="s">
        <v>45</v>
      </c>
      <c r="C133" s="3" t="s">
        <v>474</v>
      </c>
      <c r="D133" s="3" t="s">
        <v>934</v>
      </c>
      <c r="E133" s="3" t="s">
        <v>963</v>
      </c>
      <c r="F133" s="3" t="s">
        <v>964</v>
      </c>
      <c r="G133" s="3" t="s">
        <v>937</v>
      </c>
      <c r="H133" s="3" t="s">
        <v>938</v>
      </c>
      <c r="I133" s="3" t="s">
        <v>939</v>
      </c>
      <c r="J133" s="16" t="n">
        <f aca="false">INDEX(Cours_periodes!$E$1:$E$400,MATCH("cacao:2022-04:2022-09",Cours_periodes!$A$1:$A$400,0))</f>
        <v>2.33417833333333</v>
      </c>
      <c r="K133" s="10" t="s">
        <v>491</v>
      </c>
      <c r="L133" s="10" t="s">
        <v>268</v>
      </c>
      <c r="M133" s="15" t="n">
        <v>1</v>
      </c>
      <c r="N133" s="10" t="s">
        <v>332</v>
      </c>
      <c r="O133" s="16" t="n">
        <f aca="false">IF(K133="USD",1,INDEX(Change_periodes!$D$1:$N$400,MATCH($N133,Change_periodes!$A$1:$A$400,0),MATCH($K133,Change_periodes!$D$1:$N$1,0)))</f>
        <v>1</v>
      </c>
      <c r="P133" s="3" t="s">
        <v>87</v>
      </c>
      <c r="Q133" s="17" t="n">
        <f aca="false">INDEX(Change_periodes!$D$1:$D$400,MATCH($N133,Change_periodes!$A$1:$A$400,0))</f>
        <v>633.60466599156</v>
      </c>
      <c r="R133" s="18" t="n">
        <f aca="false">IFERROR(J133/M133/O133,"")</f>
        <v>2.33417833333333</v>
      </c>
      <c r="S133" s="9" t="n">
        <f aca="false">IFERROR(R133*Q133,"")</f>
        <v>1478.9462832564</v>
      </c>
      <c r="T133" s="19" t="n">
        <v>1</v>
      </c>
      <c r="U133" s="3" t="s">
        <v>271</v>
      </c>
      <c r="V133" s="9" t="n">
        <f aca="false">IFERROR(S133/T133,"")</f>
        <v>1478.9462832564</v>
      </c>
      <c r="W133" s="10"/>
      <c r="X133" s="9" t="str">
        <f aca="false">IF(W133="","",IFERROR(INDEX($V$1:$V$178,MATCH(W133,$A$1:$A$178,0)),""))</f>
        <v/>
      </c>
      <c r="Y133" s="8" t="str">
        <f aca="false">IF(OR(X133="",V133=""),"",V133/X133)</f>
        <v/>
      </c>
      <c r="Z133" s="10"/>
      <c r="AA133" s="9" t="str">
        <f aca="false">IF(Z133="","",IFERROR(INDEX($V$1:$V$178,MATCH(Z133,$A$1:$A$178,0)),""))</f>
        <v/>
      </c>
      <c r="AB133" s="8" t="str">
        <f aca="false">IF(OR(AA133="",V133=""),"",V133/AA133)</f>
        <v/>
      </c>
      <c r="AC133" s="3" t="s">
        <v>940</v>
      </c>
      <c r="AD133" s="3" t="s">
        <v>941</v>
      </c>
      <c r="AE133" s="10" t="s">
        <v>275</v>
      </c>
      <c r="AF133" s="7" t="s">
        <v>401</v>
      </c>
      <c r="AG133" s="3" t="s">
        <v>942</v>
      </c>
    </row>
    <row r="134" customFormat="false" ht="35.05" hidden="false" customHeight="false" outlineLevel="0" collapsed="false">
      <c r="A134" s="13" t="s">
        <v>339</v>
      </c>
      <c r="B134" s="3" t="s">
        <v>45</v>
      </c>
      <c r="C134" s="3" t="s">
        <v>474</v>
      </c>
      <c r="D134" s="3" t="s">
        <v>934</v>
      </c>
      <c r="E134" s="3" t="s">
        <v>965</v>
      </c>
      <c r="F134" s="3" t="s">
        <v>966</v>
      </c>
      <c r="G134" s="3" t="s">
        <v>937</v>
      </c>
      <c r="H134" s="3" t="s">
        <v>938</v>
      </c>
      <c r="I134" s="3" t="s">
        <v>939</v>
      </c>
      <c r="J134" s="16" t="n">
        <f aca="false">INDEX(Cours_periodes!$E$1:$E$400,MATCH("cacao:2022-10:2023-03",Cours_periodes!$A$1:$A$400,0))</f>
        <v>2.543065</v>
      </c>
      <c r="K134" s="10" t="s">
        <v>491</v>
      </c>
      <c r="L134" s="10" t="s">
        <v>268</v>
      </c>
      <c r="M134" s="15" t="n">
        <v>1</v>
      </c>
      <c r="N134" s="10" t="s">
        <v>338</v>
      </c>
      <c r="O134" s="16" t="n">
        <f aca="false">IF(K134="USD",1,INDEX(Change_periodes!$D$1:$N$400,MATCH($N134,Change_periodes!$A$1:$A$400,0),MATCH($K134,Change_periodes!$D$1:$N$1,0)))</f>
        <v>1</v>
      </c>
      <c r="P134" s="3" t="s">
        <v>87</v>
      </c>
      <c r="Q134" s="17" t="n">
        <f aca="false">INDEX(Change_periodes!$D$1:$D$400,MATCH($N134,Change_periodes!$A$1:$A$400,0))</f>
        <v>627.349602745408</v>
      </c>
      <c r="R134" s="18" t="n">
        <f aca="false">IFERROR(J134/M134/O134,"")</f>
        <v>2.543065</v>
      </c>
      <c r="S134" s="9" t="n">
        <f aca="false">IFERROR(R134*Q134,"")</f>
        <v>1595.39081750575</v>
      </c>
      <c r="T134" s="19" t="n">
        <v>1</v>
      </c>
      <c r="U134" s="3" t="s">
        <v>271</v>
      </c>
      <c r="V134" s="9" t="n">
        <f aca="false">IFERROR(S134/T134,"")</f>
        <v>1595.39081750575</v>
      </c>
      <c r="W134" s="10"/>
      <c r="X134" s="9" t="str">
        <f aca="false">IF(W134="","",IFERROR(INDEX($V$1:$V$178,MATCH(W134,$A$1:$A$178,0)),""))</f>
        <v/>
      </c>
      <c r="Y134" s="8" t="str">
        <f aca="false">IF(OR(X134="",V134=""),"",V134/X134)</f>
        <v/>
      </c>
      <c r="Z134" s="10"/>
      <c r="AA134" s="9" t="str">
        <f aca="false">IF(Z134="","",IFERROR(INDEX($V$1:$V$178,MATCH(Z134,$A$1:$A$178,0)),""))</f>
        <v/>
      </c>
      <c r="AB134" s="8" t="str">
        <f aca="false">IF(OR(AA134="",V134=""),"",V134/AA134)</f>
        <v/>
      </c>
      <c r="AC134" s="3" t="s">
        <v>940</v>
      </c>
      <c r="AD134" s="3" t="s">
        <v>941</v>
      </c>
      <c r="AE134" s="10" t="s">
        <v>275</v>
      </c>
      <c r="AF134" s="7" t="s">
        <v>401</v>
      </c>
      <c r="AG134" s="3" t="s">
        <v>942</v>
      </c>
    </row>
    <row r="135" customFormat="false" ht="35.05" hidden="false" customHeight="false" outlineLevel="0" collapsed="false">
      <c r="A135" s="13" t="s">
        <v>344</v>
      </c>
      <c r="B135" s="3" t="s">
        <v>45</v>
      </c>
      <c r="C135" s="3" t="s">
        <v>474</v>
      </c>
      <c r="D135" s="3" t="s">
        <v>934</v>
      </c>
      <c r="E135" s="3" t="s">
        <v>967</v>
      </c>
      <c r="F135" s="3" t="s">
        <v>968</v>
      </c>
      <c r="G135" s="3" t="s">
        <v>937</v>
      </c>
      <c r="H135" s="3" t="s">
        <v>938</v>
      </c>
      <c r="I135" s="3" t="s">
        <v>939</v>
      </c>
      <c r="J135" s="16" t="n">
        <f aca="false">INDEX(Cours_periodes!$E$1:$E$400,MATCH("cacao:2023-04:2023-09",Cours_periodes!$A$1:$A$400,0))</f>
        <v>3.24604</v>
      </c>
      <c r="K135" s="10" t="s">
        <v>491</v>
      </c>
      <c r="L135" s="10" t="s">
        <v>268</v>
      </c>
      <c r="M135" s="15" t="n">
        <v>1</v>
      </c>
      <c r="N135" s="10" t="s">
        <v>343</v>
      </c>
      <c r="O135" s="16" t="n">
        <f aca="false">IF(K135="USD",1,INDEX(Change_periodes!$D$1:$N$400,MATCH($N135,Change_periodes!$A$1:$A$400,0),MATCH($K135,Change_periodes!$D$1:$N$1,0)))</f>
        <v>1</v>
      </c>
      <c r="P135" s="3" t="s">
        <v>87</v>
      </c>
      <c r="Q135" s="17" t="n">
        <f aca="false">INDEX(Change_periodes!$D$1:$D$400,MATCH($N135,Change_periodes!$A$1:$A$400,0))</f>
        <v>602.546206850614</v>
      </c>
      <c r="R135" s="18" t="n">
        <f aca="false">IFERROR(J135/M135/O135,"")</f>
        <v>3.24604</v>
      </c>
      <c r="S135" s="9" t="n">
        <f aca="false">IFERROR(R135*Q135,"")</f>
        <v>1955.88908928537</v>
      </c>
      <c r="T135" s="19" t="n">
        <v>1</v>
      </c>
      <c r="U135" s="3" t="s">
        <v>271</v>
      </c>
      <c r="V135" s="9" t="n">
        <f aca="false">IFERROR(S135/T135,"")</f>
        <v>1955.88908928537</v>
      </c>
      <c r="W135" s="10"/>
      <c r="X135" s="9" t="str">
        <f aca="false">IF(W135="","",IFERROR(INDEX($V$1:$V$178,MATCH(W135,$A$1:$A$178,0)),""))</f>
        <v/>
      </c>
      <c r="Y135" s="8" t="str">
        <f aca="false">IF(OR(X135="",V135=""),"",V135/X135)</f>
        <v/>
      </c>
      <c r="Z135" s="10"/>
      <c r="AA135" s="9" t="str">
        <f aca="false">IF(Z135="","",IFERROR(INDEX($V$1:$V$178,MATCH(Z135,$A$1:$A$178,0)),""))</f>
        <v/>
      </c>
      <c r="AB135" s="8" t="str">
        <f aca="false">IF(OR(AA135="",V135=""),"",V135/AA135)</f>
        <v/>
      </c>
      <c r="AC135" s="3" t="s">
        <v>940</v>
      </c>
      <c r="AD135" s="3" t="s">
        <v>941</v>
      </c>
      <c r="AE135" s="10" t="s">
        <v>275</v>
      </c>
      <c r="AF135" s="7" t="s">
        <v>401</v>
      </c>
      <c r="AG135" s="3" t="s">
        <v>942</v>
      </c>
    </row>
    <row r="136" customFormat="false" ht="35.05" hidden="false" customHeight="false" outlineLevel="0" collapsed="false">
      <c r="A136" s="13" t="s">
        <v>350</v>
      </c>
      <c r="B136" s="3" t="s">
        <v>45</v>
      </c>
      <c r="C136" s="3" t="s">
        <v>474</v>
      </c>
      <c r="D136" s="3" t="s">
        <v>934</v>
      </c>
      <c r="E136" s="3" t="s">
        <v>969</v>
      </c>
      <c r="F136" s="3" t="s">
        <v>970</v>
      </c>
      <c r="G136" s="3" t="s">
        <v>937</v>
      </c>
      <c r="H136" s="3" t="s">
        <v>938</v>
      </c>
      <c r="I136" s="3" t="s">
        <v>939</v>
      </c>
      <c r="J136" s="16" t="n">
        <f aca="false">INDEX(Cours_periodes!$E$1:$E$400,MATCH("cacao:2023-10:2024-03",Cours_periodes!$A$1:$A$400,0))</f>
        <v>4.81815833333333</v>
      </c>
      <c r="K136" s="10" t="s">
        <v>491</v>
      </c>
      <c r="L136" s="10" t="s">
        <v>268</v>
      </c>
      <c r="M136" s="15" t="n">
        <v>1</v>
      </c>
      <c r="N136" s="10" t="s">
        <v>349</v>
      </c>
      <c r="O136" s="16" t="n">
        <f aca="false">IF(K136="USD",1,INDEX(Change_periodes!$D$1:$N$400,MATCH($N136,Change_periodes!$A$1:$A$400,0),MATCH($K136,Change_periodes!$D$1:$N$1,0)))</f>
        <v>1</v>
      </c>
      <c r="P136" s="3" t="s">
        <v>87</v>
      </c>
      <c r="Q136" s="17" t="n">
        <f aca="false">INDEX(Change_periodes!$D$1:$D$400,MATCH($N136,Change_periodes!$A$1:$A$400,0))</f>
        <v>607.010801170996</v>
      </c>
      <c r="R136" s="18" t="n">
        <f aca="false">IFERROR(J136/M136/O136,"")</f>
        <v>4.81815833333333</v>
      </c>
      <c r="S136" s="9" t="n">
        <f aca="false">IFERROR(R136*Q136,"")</f>
        <v>2924.67415008538</v>
      </c>
      <c r="T136" s="19" t="n">
        <v>1</v>
      </c>
      <c r="U136" s="3" t="s">
        <v>271</v>
      </c>
      <c r="V136" s="9" t="n">
        <f aca="false">IFERROR(S136/T136,"")</f>
        <v>2924.67415008538</v>
      </c>
      <c r="W136" s="10"/>
      <c r="X136" s="9" t="str">
        <f aca="false">IF(W136="","",IFERROR(INDEX($V$1:$V$178,MATCH(W136,$A$1:$A$178,0)),""))</f>
        <v/>
      </c>
      <c r="Y136" s="8" t="str">
        <f aca="false">IF(OR(X136="",V136=""),"",V136/X136)</f>
        <v/>
      </c>
      <c r="Z136" s="10"/>
      <c r="AA136" s="9" t="str">
        <f aca="false">IF(Z136="","",IFERROR(INDEX($V$1:$V$178,MATCH(Z136,$A$1:$A$178,0)),""))</f>
        <v/>
      </c>
      <c r="AB136" s="8" t="str">
        <f aca="false">IF(OR(AA136="",V136=""),"",V136/AA136)</f>
        <v/>
      </c>
      <c r="AC136" s="3" t="s">
        <v>940</v>
      </c>
      <c r="AD136" s="3" t="s">
        <v>941</v>
      </c>
      <c r="AE136" s="10" t="s">
        <v>275</v>
      </c>
      <c r="AF136" s="7" t="s">
        <v>401</v>
      </c>
      <c r="AG136" s="3" t="s">
        <v>942</v>
      </c>
    </row>
    <row r="137" customFormat="false" ht="35.05" hidden="false" customHeight="false" outlineLevel="0" collapsed="false">
      <c r="A137" s="13" t="s">
        <v>355</v>
      </c>
      <c r="B137" s="3" t="s">
        <v>45</v>
      </c>
      <c r="C137" s="3" t="s">
        <v>474</v>
      </c>
      <c r="D137" s="3" t="s">
        <v>934</v>
      </c>
      <c r="E137" s="3" t="s">
        <v>971</v>
      </c>
      <c r="F137" s="3" t="s">
        <v>972</v>
      </c>
      <c r="G137" s="3" t="s">
        <v>937</v>
      </c>
      <c r="H137" s="3" t="s">
        <v>938</v>
      </c>
      <c r="I137" s="3" t="s">
        <v>939</v>
      </c>
      <c r="J137" s="16" t="n">
        <f aca="false">INDEX(Cours_periodes!$E$1:$E$400,MATCH("cacao:2024-04:2024-09",Cours_periodes!$A$1:$A$400,0))</f>
        <v>7.67346333333333</v>
      </c>
      <c r="K137" s="10" t="s">
        <v>491</v>
      </c>
      <c r="L137" s="10" t="s">
        <v>268</v>
      </c>
      <c r="M137" s="15" t="n">
        <v>1</v>
      </c>
      <c r="N137" s="10" t="s">
        <v>354</v>
      </c>
      <c r="O137" s="16" t="n">
        <f aca="false">IF(K137="USD",1,INDEX(Change_periodes!$D$1:$N$400,MATCH($N137,Change_periodes!$A$1:$A$400,0),MATCH($K137,Change_periodes!$D$1:$N$1,0)))</f>
        <v>1</v>
      </c>
      <c r="P137" s="3" t="s">
        <v>87</v>
      </c>
      <c r="Q137" s="17" t="n">
        <f aca="false">INDEX(Change_periodes!$D$1:$D$400,MATCH($N137,Change_periodes!$A$1:$A$400,0))</f>
        <v>603.169399806111</v>
      </c>
      <c r="R137" s="18" t="n">
        <f aca="false">IFERROR(J137/M137/O137,"")</f>
        <v>7.67346333333333</v>
      </c>
      <c r="S137" s="9" t="n">
        <f aca="false">IFERROR(R137*Q137,"")</f>
        <v>4628.39827320086</v>
      </c>
      <c r="T137" s="19" t="n">
        <v>1</v>
      </c>
      <c r="U137" s="3" t="s">
        <v>271</v>
      </c>
      <c r="V137" s="9" t="n">
        <f aca="false">IFERROR(S137/T137,"")</f>
        <v>4628.39827320086</v>
      </c>
      <c r="W137" s="10"/>
      <c r="X137" s="9" t="str">
        <f aca="false">IF(W137="","",IFERROR(INDEX($V$1:$V$178,MATCH(W137,$A$1:$A$178,0)),""))</f>
        <v/>
      </c>
      <c r="Y137" s="8" t="str">
        <f aca="false">IF(OR(X137="",V137=""),"",V137/X137)</f>
        <v/>
      </c>
      <c r="Z137" s="10"/>
      <c r="AA137" s="9" t="str">
        <f aca="false">IF(Z137="","",IFERROR(INDEX($V$1:$V$178,MATCH(Z137,$A$1:$A$178,0)),""))</f>
        <v/>
      </c>
      <c r="AB137" s="8" t="str">
        <f aca="false">IF(OR(AA137="",V137=""),"",V137/AA137)</f>
        <v/>
      </c>
      <c r="AC137" s="3" t="s">
        <v>940</v>
      </c>
      <c r="AD137" s="3" t="s">
        <v>941</v>
      </c>
      <c r="AE137" s="10" t="s">
        <v>275</v>
      </c>
      <c r="AF137" s="7" t="s">
        <v>401</v>
      </c>
      <c r="AG137" s="3" t="s">
        <v>942</v>
      </c>
    </row>
    <row r="138" customFormat="false" ht="35.05" hidden="false" customHeight="false" outlineLevel="0" collapsed="false">
      <c r="A138" s="13" t="s">
        <v>361</v>
      </c>
      <c r="B138" s="3" t="s">
        <v>45</v>
      </c>
      <c r="C138" s="3" t="s">
        <v>474</v>
      </c>
      <c r="D138" s="3" t="s">
        <v>934</v>
      </c>
      <c r="E138" s="3" t="s">
        <v>973</v>
      </c>
      <c r="F138" s="3" t="s">
        <v>974</v>
      </c>
      <c r="G138" s="3" t="s">
        <v>937</v>
      </c>
      <c r="H138" s="3" t="s">
        <v>938</v>
      </c>
      <c r="I138" s="3" t="s">
        <v>939</v>
      </c>
      <c r="J138" s="16" t="n">
        <f aca="false">INDEX(Cours_periodes!$E$1:$E$400,MATCH("cacao:2024-10:2025-03",Cours_periodes!$A$1:$A$400,0))</f>
        <v>8.92626333333333</v>
      </c>
      <c r="K138" s="10" t="s">
        <v>491</v>
      </c>
      <c r="L138" s="10" t="s">
        <v>268</v>
      </c>
      <c r="M138" s="15" t="n">
        <v>1</v>
      </c>
      <c r="N138" s="10" t="s">
        <v>360</v>
      </c>
      <c r="O138" s="16" t="n">
        <f aca="false">IF(K138="USD",1,INDEX(Change_periodes!$D$1:$N$400,MATCH($N138,Change_periodes!$A$1:$A$400,0),MATCH($K138,Change_periodes!$D$1:$N$1,0)))</f>
        <v>1</v>
      </c>
      <c r="P138" s="3" t="s">
        <v>87</v>
      </c>
      <c r="Q138" s="17" t="n">
        <f aca="false">INDEX(Change_periodes!$D$1:$D$400,MATCH($N138,Change_periodes!$A$1:$A$400,0))</f>
        <v>619.186345336557</v>
      </c>
      <c r="R138" s="18" t="n">
        <f aca="false">IFERROR(J138/M138/O138,"")</f>
        <v>8.92626333333333</v>
      </c>
      <c r="S138" s="9" t="n">
        <f aca="false">IFERROR(R138*Q138,"")</f>
        <v>5527.02037087838</v>
      </c>
      <c r="T138" s="19" t="n">
        <v>1</v>
      </c>
      <c r="U138" s="3" t="s">
        <v>271</v>
      </c>
      <c r="V138" s="9" t="n">
        <f aca="false">IFERROR(S138/T138,"")</f>
        <v>5527.02037087838</v>
      </c>
      <c r="W138" s="10"/>
      <c r="X138" s="9" t="str">
        <f aca="false">IF(W138="","",IFERROR(INDEX($V$1:$V$178,MATCH(W138,$A$1:$A$178,0)),""))</f>
        <v/>
      </c>
      <c r="Y138" s="8" t="str">
        <f aca="false">IF(OR(X138="",V138=""),"",V138/X138)</f>
        <v/>
      </c>
      <c r="Z138" s="10"/>
      <c r="AA138" s="9" t="str">
        <f aca="false">IF(Z138="","",IFERROR(INDEX($V$1:$V$178,MATCH(Z138,$A$1:$A$178,0)),""))</f>
        <v/>
      </c>
      <c r="AB138" s="8" t="str">
        <f aca="false">IF(OR(AA138="",V138=""),"",V138/AA138)</f>
        <v/>
      </c>
      <c r="AC138" s="3" t="s">
        <v>940</v>
      </c>
      <c r="AD138" s="3" t="s">
        <v>941</v>
      </c>
      <c r="AE138" s="10" t="s">
        <v>275</v>
      </c>
      <c r="AF138" s="7" t="s">
        <v>401</v>
      </c>
      <c r="AG138" s="3" t="s">
        <v>942</v>
      </c>
    </row>
    <row r="139" customFormat="false" ht="35.05" hidden="false" customHeight="false" outlineLevel="0" collapsed="false">
      <c r="A139" s="13" t="s">
        <v>366</v>
      </c>
      <c r="B139" s="3" t="s">
        <v>45</v>
      </c>
      <c r="C139" s="3" t="s">
        <v>474</v>
      </c>
      <c r="D139" s="3" t="s">
        <v>934</v>
      </c>
      <c r="E139" s="3" t="s">
        <v>975</v>
      </c>
      <c r="F139" s="3" t="s">
        <v>976</v>
      </c>
      <c r="G139" s="3" t="s">
        <v>937</v>
      </c>
      <c r="H139" s="3" t="s">
        <v>938</v>
      </c>
      <c r="I139" s="3" t="s">
        <v>939</v>
      </c>
      <c r="J139" s="16" t="n">
        <f aca="false">INDEX(Cours_periodes!$E$1:$E$400,MATCH("cacao:2025-04:2025-09",Cours_periodes!$A$1:$A$400,0))</f>
        <v>7.923695</v>
      </c>
      <c r="K139" s="10" t="s">
        <v>491</v>
      </c>
      <c r="L139" s="10" t="s">
        <v>268</v>
      </c>
      <c r="M139" s="15" t="n">
        <v>1</v>
      </c>
      <c r="N139" s="10" t="s">
        <v>365</v>
      </c>
      <c r="O139" s="16" t="n">
        <f aca="false">IF(K139="USD",1,INDEX(Change_periodes!$D$1:$N$400,MATCH($N139,Change_periodes!$A$1:$A$400,0),MATCH($K139,Change_periodes!$D$1:$N$1,0)))</f>
        <v>1</v>
      </c>
      <c r="P139" s="3" t="s">
        <v>87</v>
      </c>
      <c r="Q139" s="17" t="n">
        <f aca="false">INDEX(Change_periodes!$D$1:$D$400,MATCH($N139,Change_periodes!$A$1:$A$400,0))</f>
        <v>570.163679975575</v>
      </c>
      <c r="R139" s="18" t="n">
        <f aca="false">IFERROR(J139/M139/O139,"")</f>
        <v>7.923695</v>
      </c>
      <c r="S139" s="9" t="n">
        <f aca="false">IFERROR(R139*Q139,"")</f>
        <v>4517.80310020406</v>
      </c>
      <c r="T139" s="19" t="n">
        <v>1</v>
      </c>
      <c r="U139" s="3" t="s">
        <v>271</v>
      </c>
      <c r="V139" s="9" t="n">
        <f aca="false">IFERROR(S139/T139,"")</f>
        <v>4517.80310020406</v>
      </c>
      <c r="W139" s="10"/>
      <c r="X139" s="9" t="str">
        <f aca="false">IF(W139="","",IFERROR(INDEX($V$1:$V$178,MATCH(W139,$A$1:$A$178,0)),""))</f>
        <v/>
      </c>
      <c r="Y139" s="8" t="str">
        <f aca="false">IF(OR(X139="",V139=""),"",V139/X139)</f>
        <v/>
      </c>
      <c r="Z139" s="10"/>
      <c r="AA139" s="9" t="str">
        <f aca="false">IF(Z139="","",IFERROR(INDEX($V$1:$V$178,MATCH(Z139,$A$1:$A$178,0)),""))</f>
        <v/>
      </c>
      <c r="AB139" s="8" t="str">
        <f aca="false">IF(OR(AA139="",V139=""),"",V139/AA139)</f>
        <v/>
      </c>
      <c r="AC139" s="3" t="s">
        <v>940</v>
      </c>
      <c r="AD139" s="3" t="s">
        <v>941</v>
      </c>
      <c r="AE139" s="10" t="s">
        <v>275</v>
      </c>
      <c r="AF139" s="7" t="s">
        <v>401</v>
      </c>
      <c r="AG139" s="3" t="s">
        <v>942</v>
      </c>
    </row>
    <row r="140" customFormat="false" ht="35.05" hidden="false" customHeight="false" outlineLevel="0" collapsed="false">
      <c r="A140" s="13" t="s">
        <v>371</v>
      </c>
      <c r="B140" s="3" t="s">
        <v>45</v>
      </c>
      <c r="C140" s="3" t="s">
        <v>474</v>
      </c>
      <c r="D140" s="3" t="s">
        <v>934</v>
      </c>
      <c r="E140" s="3" t="s">
        <v>977</v>
      </c>
      <c r="F140" s="3" t="s">
        <v>978</v>
      </c>
      <c r="G140" s="3" t="s">
        <v>937</v>
      </c>
      <c r="H140" s="3" t="s">
        <v>938</v>
      </c>
      <c r="I140" s="3" t="s">
        <v>939</v>
      </c>
      <c r="J140" s="16" t="n">
        <f aca="false">INDEX(Cours_periodes!$E$1:$E$400,MATCH("cacao:2025-10:2026-03",Cours_periodes!$A$1:$A$400,0))</f>
        <v>4.85851</v>
      </c>
      <c r="K140" s="10" t="s">
        <v>491</v>
      </c>
      <c r="L140" s="10" t="s">
        <v>268</v>
      </c>
      <c r="M140" s="15" t="n">
        <v>1</v>
      </c>
      <c r="N140" s="10" t="s">
        <v>370</v>
      </c>
      <c r="O140" s="16" t="n">
        <f aca="false">IF(K140="USD",1,INDEX(Change_periodes!$D$1:$N$400,MATCH($N140,Change_periodes!$A$1:$A$400,0),MATCH($K140,Change_periodes!$D$1:$N$1,0)))</f>
        <v>1</v>
      </c>
      <c r="P140" s="3" t="s">
        <v>87</v>
      </c>
      <c r="Q140" s="17" t="n">
        <f aca="false">INDEX(Change_periodes!$D$1:$D$400,MATCH($N140,Change_periodes!$A$1:$A$400,0))</f>
        <v>562.127882453012</v>
      </c>
      <c r="R140" s="18" t="n">
        <f aca="false">IFERROR(J140/M140/O140,"")</f>
        <v>4.85851</v>
      </c>
      <c r="S140" s="9" t="n">
        <f aca="false">IFERROR(R140*Q140,"")</f>
        <v>2731.10393817679</v>
      </c>
      <c r="T140" s="19" t="n">
        <v>1</v>
      </c>
      <c r="U140" s="3" t="s">
        <v>271</v>
      </c>
      <c r="V140" s="9" t="n">
        <f aca="false">IFERROR(S140/T140,"")</f>
        <v>2731.10393817679</v>
      </c>
      <c r="W140" s="10"/>
      <c r="X140" s="9" t="str">
        <f aca="false">IF(W140="","",IFERROR(INDEX($V$1:$V$178,MATCH(W140,$A$1:$A$178,0)),""))</f>
        <v/>
      </c>
      <c r="Y140" s="8" t="str">
        <f aca="false">IF(OR(X140="",V140=""),"",V140/X140)</f>
        <v/>
      </c>
      <c r="Z140" s="10"/>
      <c r="AA140" s="9" t="str">
        <f aca="false">IF(Z140="","",IFERROR(INDEX($V$1:$V$178,MATCH(Z140,$A$1:$A$178,0)),""))</f>
        <v/>
      </c>
      <c r="AB140" s="8" t="str">
        <f aca="false">IF(OR(AA140="",V140=""),"",V140/AA140)</f>
        <v/>
      </c>
      <c r="AC140" s="3" t="s">
        <v>940</v>
      </c>
      <c r="AD140" s="3" t="s">
        <v>941</v>
      </c>
      <c r="AE140" s="10" t="s">
        <v>275</v>
      </c>
      <c r="AF140" s="7" t="s">
        <v>401</v>
      </c>
      <c r="AG140" s="3" t="s">
        <v>942</v>
      </c>
    </row>
    <row r="141" customFormat="false" ht="35.05" hidden="false" customHeight="false" outlineLevel="0" collapsed="false">
      <c r="A141" s="13" t="s">
        <v>375</v>
      </c>
      <c r="B141" s="3" t="s">
        <v>45</v>
      </c>
      <c r="C141" s="3" t="s">
        <v>474</v>
      </c>
      <c r="D141" s="3" t="s">
        <v>934</v>
      </c>
      <c r="E141" s="3" t="s">
        <v>979</v>
      </c>
      <c r="F141" s="3" t="s">
        <v>980</v>
      </c>
      <c r="G141" s="3" t="s">
        <v>937</v>
      </c>
      <c r="H141" s="3" t="s">
        <v>938</v>
      </c>
      <c r="I141" s="3" t="s">
        <v>939</v>
      </c>
      <c r="J141" s="16" t="n">
        <f aca="false">INDEX(Cours_periodes!$E$1:$E$400,MATCH("cacao:2026-04:2026-08",Cours_periodes!$A$1:$A$400,0))</f>
        <v>4.707352</v>
      </c>
      <c r="K141" s="10" t="s">
        <v>491</v>
      </c>
      <c r="L141" s="10" t="s">
        <v>268</v>
      </c>
      <c r="M141" s="15" t="n">
        <v>1</v>
      </c>
      <c r="N141" s="10" t="s">
        <v>981</v>
      </c>
      <c r="O141" s="16" t="n">
        <f aca="false">IF(K141="USD",1,INDEX(Change_periodes!$D$1:$N$400,MATCH($N141,Change_periodes!$A$1:$A$400,0),MATCH($K141,Change_periodes!$D$1:$N$1,0)))</f>
        <v>1</v>
      </c>
      <c r="P141" s="3" t="s">
        <v>87</v>
      </c>
      <c r="Q141" s="17" t="n">
        <f aca="false">INDEX(Change_periodes!$D$1:$D$400,MATCH($N141,Change_periodes!$A$1:$A$400,0))</f>
        <v>566.42346891192</v>
      </c>
      <c r="R141" s="18" t="n">
        <f aca="false">IFERROR(J141/M141/O141,"")</f>
        <v>4.707352</v>
      </c>
      <c r="S141" s="9" t="n">
        <f aca="false">IFERROR(R141*Q141,"")</f>
        <v>2666.35464922947</v>
      </c>
      <c r="T141" s="19" t="n">
        <v>1</v>
      </c>
      <c r="U141" s="3" t="s">
        <v>271</v>
      </c>
      <c r="V141" s="9" t="n">
        <f aca="false">IFERROR(S141/T141,"")</f>
        <v>2666.35464922947</v>
      </c>
      <c r="W141" s="10"/>
      <c r="X141" s="9" t="str">
        <f aca="false">IF(W141="","",IFERROR(INDEX($V$1:$V$178,MATCH(W141,$A$1:$A$178,0)),""))</f>
        <v/>
      </c>
      <c r="Y141" s="8" t="str">
        <f aca="false">IF(OR(X141="",V141=""),"",V141/X141)</f>
        <v/>
      </c>
      <c r="Z141" s="10"/>
      <c r="AA141" s="9" t="str">
        <f aca="false">IF(Z141="","",IFERROR(INDEX($V$1:$V$178,MATCH(Z141,$A$1:$A$178,0)),""))</f>
        <v/>
      </c>
      <c r="AB141" s="8" t="str">
        <f aca="false">IF(OR(AA141="",V141=""),"",V141/AA141)</f>
        <v/>
      </c>
      <c r="AC141" s="3" t="s">
        <v>940</v>
      </c>
      <c r="AD141" s="3" t="s">
        <v>941</v>
      </c>
      <c r="AE141" s="10" t="s">
        <v>275</v>
      </c>
      <c r="AF141" s="7" t="s">
        <v>401</v>
      </c>
      <c r="AG141" s="3" t="s">
        <v>982</v>
      </c>
    </row>
    <row r="142" customFormat="false" ht="35.05" hidden="false" customHeight="false" outlineLevel="0" collapsed="false">
      <c r="A142" s="13" t="s">
        <v>494</v>
      </c>
      <c r="B142" s="3" t="s">
        <v>45</v>
      </c>
      <c r="C142" s="3" t="s">
        <v>474</v>
      </c>
      <c r="D142" s="3" t="s">
        <v>934</v>
      </c>
      <c r="E142" s="3" t="s">
        <v>983</v>
      </c>
      <c r="F142" s="3" t="s">
        <v>984</v>
      </c>
      <c r="G142" s="3" t="s">
        <v>985</v>
      </c>
      <c r="H142" s="3" t="s">
        <v>986</v>
      </c>
      <c r="I142" s="3" t="s">
        <v>939</v>
      </c>
      <c r="J142" s="16" t="n">
        <f aca="false">INDEX(Cours_periodes!$E$1:$E$400,MATCH("cacao:2026-01:2026-01",Cours_periodes!$A$1:$A$400,0))</f>
        <v>4.9725</v>
      </c>
      <c r="K142" s="10" t="s">
        <v>491</v>
      </c>
      <c r="L142" s="10" t="s">
        <v>268</v>
      </c>
      <c r="M142" s="15" t="n">
        <v>1</v>
      </c>
      <c r="N142" s="10" t="s">
        <v>493</v>
      </c>
      <c r="O142" s="16" t="n">
        <f aca="false">IF(K142="USD",1,INDEX(Change_periodes!$D$1:$N$400,MATCH($N142,Change_periodes!$A$1:$A$400,0),MATCH($K142,Change_periodes!$D$1:$N$1,0)))</f>
        <v>1</v>
      </c>
      <c r="P142" s="3" t="s">
        <v>87</v>
      </c>
      <c r="Q142" s="17" t="n">
        <f aca="false">INDEX(Change_periodes!$D$1:$D$400,MATCH($N142,Change_periodes!$A$1:$A$400,0))</f>
        <v>558.820572760482</v>
      </c>
      <c r="R142" s="18" t="n">
        <f aca="false">IFERROR(J142/M142/O142,"")</f>
        <v>4.9725</v>
      </c>
      <c r="S142" s="9" t="n">
        <f aca="false">IFERROR(R142*Q142,"")</f>
        <v>2778.7352980515</v>
      </c>
      <c r="T142" s="19" t="n">
        <v>1</v>
      </c>
      <c r="U142" s="3" t="s">
        <v>271</v>
      </c>
      <c r="V142" s="9" t="n">
        <f aca="false">IFERROR(S142/T142,"")</f>
        <v>2778.7352980515</v>
      </c>
      <c r="W142" s="10"/>
      <c r="X142" s="9" t="str">
        <f aca="false">IF(W142="","",IFERROR(INDEX($V$1:$V$178,MATCH(W142,$A$1:$A$178,0)),""))</f>
        <v/>
      </c>
      <c r="Y142" s="8" t="str">
        <f aca="false">IF(OR(X142="",V142=""),"",V142/X142)</f>
        <v/>
      </c>
      <c r="Z142" s="10"/>
      <c r="AA142" s="9" t="str">
        <f aca="false">IF(Z142="","",IFERROR(INDEX($V$1:$V$178,MATCH(Z142,$A$1:$A$178,0)),""))</f>
        <v/>
      </c>
      <c r="AB142" s="8" t="str">
        <f aca="false">IF(OR(AA142="",V142=""),"",V142/AA142)</f>
        <v/>
      </c>
      <c r="AC142" s="3" t="s">
        <v>940</v>
      </c>
      <c r="AD142" s="3" t="s">
        <v>941</v>
      </c>
      <c r="AE142" s="10" t="s">
        <v>275</v>
      </c>
      <c r="AF142" s="7" t="s">
        <v>401</v>
      </c>
      <c r="AG142" s="3"/>
    </row>
    <row r="143" customFormat="false" ht="23.85" hidden="false" customHeight="false" outlineLevel="0" collapsed="false">
      <c r="A143" s="13" t="s">
        <v>503</v>
      </c>
      <c r="B143" s="3" t="s">
        <v>45</v>
      </c>
      <c r="C143" s="3" t="s">
        <v>474</v>
      </c>
      <c r="D143" s="3" t="s">
        <v>934</v>
      </c>
      <c r="E143" s="3" t="s">
        <v>987</v>
      </c>
      <c r="F143" s="3" t="s">
        <v>988</v>
      </c>
      <c r="G143" s="3" t="s">
        <v>985</v>
      </c>
      <c r="H143" s="3" t="s">
        <v>986</v>
      </c>
      <c r="I143" s="3" t="s">
        <v>939</v>
      </c>
      <c r="J143" s="16" t="n">
        <f aca="false">INDEX(Cours_periodes!$E$1:$E$400,MATCH("cacao:2026-02:2026-02",Cours_periodes!$A$1:$A$400,0))</f>
        <v>3.58719</v>
      </c>
      <c r="K143" s="10" t="s">
        <v>491</v>
      </c>
      <c r="L143" s="10" t="s">
        <v>268</v>
      </c>
      <c r="M143" s="15" t="n">
        <v>1</v>
      </c>
      <c r="N143" s="10" t="s">
        <v>502</v>
      </c>
      <c r="O143" s="16" t="n">
        <f aca="false">IF(K143="USD",1,INDEX(Change_periodes!$D$1:$N$400,MATCH($N143,Change_periodes!$A$1:$A$400,0),MATCH($K143,Change_periodes!$D$1:$N$1,0)))</f>
        <v>1</v>
      </c>
      <c r="P143" s="3" t="s">
        <v>87</v>
      </c>
      <c r="Q143" s="17" t="n">
        <f aca="false">INDEX(Change_periodes!$D$1:$D$400,MATCH($N143,Change_periodes!$A$1:$A$400,0))</f>
        <v>554.769768140089</v>
      </c>
      <c r="R143" s="18" t="n">
        <f aca="false">IFERROR(J143/M143/O143,"")</f>
        <v>3.58719</v>
      </c>
      <c r="S143" s="9" t="n">
        <f aca="false">IFERROR(R143*Q143,"")</f>
        <v>1990.06456457444</v>
      </c>
      <c r="T143" s="19" t="n">
        <v>1</v>
      </c>
      <c r="U143" s="3" t="s">
        <v>271</v>
      </c>
      <c r="V143" s="9" t="n">
        <f aca="false">IFERROR(S143/T143,"")</f>
        <v>1990.06456457444</v>
      </c>
      <c r="W143" s="10"/>
      <c r="X143" s="9" t="str">
        <f aca="false">IF(W143="","",IFERROR(INDEX($V$1:$V$178,MATCH(W143,$A$1:$A$178,0)),""))</f>
        <v/>
      </c>
      <c r="Y143" s="8" t="str">
        <f aca="false">IF(OR(X143="",V143=""),"",V143/X143)</f>
        <v/>
      </c>
      <c r="Z143" s="10"/>
      <c r="AA143" s="9" t="str">
        <f aca="false">IF(Z143="","",IFERROR(INDEX($V$1:$V$178,MATCH(Z143,$A$1:$A$178,0)),""))</f>
        <v/>
      </c>
      <c r="AB143" s="8" t="str">
        <f aca="false">IF(OR(AA143="",V143=""),"",V143/AA143)</f>
        <v/>
      </c>
      <c r="AC143" s="3" t="s">
        <v>989</v>
      </c>
      <c r="AD143" s="3" t="s">
        <v>990</v>
      </c>
      <c r="AE143" s="10" t="s">
        <v>275</v>
      </c>
      <c r="AF143" s="7" t="s">
        <v>401</v>
      </c>
      <c r="AG143" s="3"/>
    </row>
    <row r="144" customFormat="false" ht="23.85" hidden="false" customHeight="false" outlineLevel="0" collapsed="false">
      <c r="A144" s="13" t="s">
        <v>435</v>
      </c>
      <c r="B144" s="3" t="s">
        <v>45</v>
      </c>
      <c r="C144" s="3" t="s">
        <v>474</v>
      </c>
      <c r="D144" s="3" t="s">
        <v>934</v>
      </c>
      <c r="E144" s="3" t="s">
        <v>991</v>
      </c>
      <c r="F144" s="3" t="s">
        <v>992</v>
      </c>
      <c r="G144" s="3" t="s">
        <v>985</v>
      </c>
      <c r="H144" s="3" t="s">
        <v>986</v>
      </c>
      <c r="I144" s="3" t="s">
        <v>939</v>
      </c>
      <c r="J144" s="16" t="n">
        <f aca="false">INDEX(Cours_periodes!$E$1:$E$400,MATCH("cacao:2026-08:2026-08",Cours_periodes!$A$1:$A$400,0))</f>
        <v>5.987</v>
      </c>
      <c r="K144" s="10" t="s">
        <v>491</v>
      </c>
      <c r="L144" s="10" t="s">
        <v>268</v>
      </c>
      <c r="M144" s="15" t="n">
        <v>1</v>
      </c>
      <c r="N144" s="10" t="s">
        <v>844</v>
      </c>
      <c r="O144" s="16" t="n">
        <f aca="false">IF(K144="USD",1,INDEX(Change_periodes!$D$1:$N$400,MATCH($N144,Change_periodes!$A$1:$A$400,0),MATCH($K144,Change_periodes!$D$1:$N$1,0)))</f>
        <v>1</v>
      </c>
      <c r="P144" s="3" t="s">
        <v>87</v>
      </c>
      <c r="Q144" s="17" t="n">
        <f aca="false">INDEX(Change_periodes!$D$1:$D$400,MATCH($N144,Change_periodes!$A$1:$A$400,0))</f>
        <v>565.816735816995</v>
      </c>
      <c r="R144" s="18" t="n">
        <f aca="false">IFERROR(J144/M144/O144,"")</f>
        <v>5.987</v>
      </c>
      <c r="S144" s="9" t="n">
        <f aca="false">IFERROR(R144*Q144,"")</f>
        <v>3387.54479733635</v>
      </c>
      <c r="T144" s="19" t="n">
        <v>1</v>
      </c>
      <c r="U144" s="3" t="s">
        <v>271</v>
      </c>
      <c r="V144" s="9" t="n">
        <f aca="false">IFERROR(S144/T144,"")</f>
        <v>3387.54479733635</v>
      </c>
      <c r="W144" s="10"/>
      <c r="X144" s="9" t="str">
        <f aca="false">IF(W144="","",IFERROR(INDEX($V$1:$V$178,MATCH(W144,$A$1:$A$178,0)),""))</f>
        <v/>
      </c>
      <c r="Y144" s="8" t="str">
        <f aca="false">IF(OR(X144="",V144=""),"",V144/X144)</f>
        <v/>
      </c>
      <c r="Z144" s="10"/>
      <c r="AA144" s="9" t="str">
        <f aca="false">IF(Z144="","",IFERROR(INDEX($V$1:$V$178,MATCH(Z144,$A$1:$A$178,0)),""))</f>
        <v/>
      </c>
      <c r="AB144" s="8" t="str">
        <f aca="false">IF(OR(AA144="",V144=""),"",V144/AA144)</f>
        <v/>
      </c>
      <c r="AC144" s="3" t="s">
        <v>989</v>
      </c>
      <c r="AD144" s="3" t="s">
        <v>990</v>
      </c>
      <c r="AE144" s="10" t="s">
        <v>275</v>
      </c>
      <c r="AF144" s="7" t="s">
        <v>401</v>
      </c>
      <c r="AG144" s="3"/>
    </row>
    <row r="145" customFormat="false" ht="23.85" hidden="false" customHeight="false" outlineLevel="0" collapsed="false">
      <c r="A145" s="13" t="s">
        <v>457</v>
      </c>
      <c r="B145" s="3" t="s">
        <v>45</v>
      </c>
      <c r="C145" s="3" t="s">
        <v>474</v>
      </c>
      <c r="D145" s="3" t="s">
        <v>934</v>
      </c>
      <c r="E145" s="3" t="s">
        <v>993</v>
      </c>
      <c r="F145" s="3" t="s">
        <v>994</v>
      </c>
      <c r="G145" s="3" t="s">
        <v>995</v>
      </c>
      <c r="H145" s="3" t="s">
        <v>986</v>
      </c>
      <c r="I145" s="3" t="s">
        <v>939</v>
      </c>
      <c r="J145" s="16" t="n">
        <f aca="false">INDEX(Cours_periodes!$E$1:$E$400,MATCH("cacao:2026-03:2026-04",Cours_periodes!$A$1:$A$400,0))</f>
        <v>3.316815</v>
      </c>
      <c r="K145" s="10" t="s">
        <v>491</v>
      </c>
      <c r="L145" s="10" t="s">
        <v>268</v>
      </c>
      <c r="M145" s="15" t="n">
        <v>1</v>
      </c>
      <c r="N145" s="10" t="s">
        <v>456</v>
      </c>
      <c r="O145" s="16" t="n">
        <f aca="false">IF(K145="USD",1,INDEX(Change_periodes!$D$1:$N$400,MATCH($N145,Change_periodes!$A$1:$A$400,0),MATCH($K145,Change_periodes!$D$1:$N$1,0)))</f>
        <v>1</v>
      </c>
      <c r="P145" s="3" t="s">
        <v>87</v>
      </c>
      <c r="Q145" s="17" t="n">
        <f aca="false">INDEX(Change_periodes!$D$1:$D$400,MATCH($N145,Change_periodes!$A$1:$A$400,0))</f>
        <v>563.929912787039</v>
      </c>
      <c r="R145" s="18" t="n">
        <f aca="false">IFERROR(J145/M145/O145,"")</f>
        <v>3.316815</v>
      </c>
      <c r="S145" s="9" t="n">
        <f aca="false">IFERROR(R145*Q145,"")</f>
        <v>1870.45119368074</v>
      </c>
      <c r="T145" s="19" t="n">
        <v>1</v>
      </c>
      <c r="U145" s="3" t="s">
        <v>271</v>
      </c>
      <c r="V145" s="9" t="n">
        <f aca="false">IFERROR(S145/T145,"")</f>
        <v>1870.45119368074</v>
      </c>
      <c r="W145" s="10"/>
      <c r="X145" s="9" t="str">
        <f aca="false">IF(W145="","",IFERROR(INDEX($V$1:$V$178,MATCH(W145,$A$1:$A$178,0)),""))</f>
        <v/>
      </c>
      <c r="Y145" s="8" t="str">
        <f aca="false">IF(OR(X145="",V145=""),"",V145/X145)</f>
        <v/>
      </c>
      <c r="Z145" s="10"/>
      <c r="AA145" s="9" t="str">
        <f aca="false">IF(Z145="","",IFERROR(INDEX($V$1:$V$178,MATCH(Z145,$A$1:$A$178,0)),""))</f>
        <v/>
      </c>
      <c r="AB145" s="8" t="str">
        <f aca="false">IF(OR(AA145="",V145=""),"",V145/AA145)</f>
        <v/>
      </c>
      <c r="AC145" s="3" t="s">
        <v>989</v>
      </c>
      <c r="AD145" s="3" t="s">
        <v>990</v>
      </c>
      <c r="AE145" s="10" t="s">
        <v>275</v>
      </c>
      <c r="AF145" s="7" t="s">
        <v>401</v>
      </c>
      <c r="AG145" s="3"/>
    </row>
    <row r="146" customFormat="false" ht="23.85" hidden="false" customHeight="false" outlineLevel="0" collapsed="false">
      <c r="A146" s="13" t="s">
        <v>464</v>
      </c>
      <c r="B146" s="3" t="s">
        <v>45</v>
      </c>
      <c r="C146" s="3" t="s">
        <v>474</v>
      </c>
      <c r="D146" s="3" t="s">
        <v>934</v>
      </c>
      <c r="E146" s="3" t="s">
        <v>996</v>
      </c>
      <c r="F146" s="3" t="s">
        <v>997</v>
      </c>
      <c r="G146" s="3" t="s">
        <v>995</v>
      </c>
      <c r="H146" s="3" t="s">
        <v>986</v>
      </c>
      <c r="I146" s="3" t="s">
        <v>939</v>
      </c>
      <c r="J146" s="16" t="n">
        <f aca="false">INDEX(Cours_periodes!$E$1:$E$400,MATCH("cacao:2026-05:2026-05",Cours_periodes!$A$1:$A$400,0))</f>
        <v>4.14297</v>
      </c>
      <c r="K146" s="10" t="s">
        <v>491</v>
      </c>
      <c r="L146" s="10" t="s">
        <v>268</v>
      </c>
      <c r="M146" s="15" t="n">
        <v>1</v>
      </c>
      <c r="N146" s="10" t="s">
        <v>463</v>
      </c>
      <c r="O146" s="16" t="n">
        <f aca="false">IF(K146="USD",1,INDEX(Change_periodes!$D$1:$N$400,MATCH($N146,Change_periodes!$A$1:$A$400,0),MATCH($K146,Change_periodes!$D$1:$N$1,0)))</f>
        <v>1</v>
      </c>
      <c r="P146" s="3" t="s">
        <v>87</v>
      </c>
      <c r="Q146" s="17" t="n">
        <f aca="false">INDEX(Change_periodes!$D$1:$D$400,MATCH($N146,Change_periodes!$A$1:$A$400,0))</f>
        <v>561.934174005414</v>
      </c>
      <c r="R146" s="18" t="n">
        <f aca="false">IFERROR(J146/M146/O146,"")</f>
        <v>4.14297</v>
      </c>
      <c r="S146" s="9" t="n">
        <f aca="false">IFERROR(R146*Q146,"")</f>
        <v>2328.07642487921</v>
      </c>
      <c r="T146" s="19" t="n">
        <v>1</v>
      </c>
      <c r="U146" s="3" t="s">
        <v>271</v>
      </c>
      <c r="V146" s="9" t="n">
        <f aca="false">IFERROR(S146/T146,"")</f>
        <v>2328.07642487921</v>
      </c>
      <c r="W146" s="10"/>
      <c r="X146" s="9" t="str">
        <f aca="false">IF(W146="","",IFERROR(INDEX($V$1:$V$178,MATCH(W146,$A$1:$A$178,0)),""))</f>
        <v/>
      </c>
      <c r="Y146" s="8" t="str">
        <f aca="false">IF(OR(X146="",V146=""),"",V146/X146)</f>
        <v/>
      </c>
      <c r="Z146" s="10"/>
      <c r="AA146" s="9" t="str">
        <f aca="false">IF(Z146="","",IFERROR(INDEX($V$1:$V$178,MATCH(Z146,$A$1:$A$178,0)),""))</f>
        <v/>
      </c>
      <c r="AB146" s="8" t="str">
        <f aca="false">IF(OR(AA146="",V146=""),"",V146/AA146)</f>
        <v/>
      </c>
      <c r="AC146" s="3" t="s">
        <v>989</v>
      </c>
      <c r="AD146" s="3" t="s">
        <v>990</v>
      </c>
      <c r="AE146" s="10" t="s">
        <v>275</v>
      </c>
      <c r="AF146" s="7" t="s">
        <v>401</v>
      </c>
      <c r="AG146" s="3"/>
    </row>
    <row r="147" customFormat="false" ht="23.85" hidden="false" customHeight="false" outlineLevel="0" collapsed="false">
      <c r="A147" s="13" t="s">
        <v>470</v>
      </c>
      <c r="B147" s="3" t="s">
        <v>45</v>
      </c>
      <c r="C147" s="3" t="s">
        <v>474</v>
      </c>
      <c r="D147" s="3" t="s">
        <v>934</v>
      </c>
      <c r="E147" s="3" t="s">
        <v>998</v>
      </c>
      <c r="F147" s="3" t="s">
        <v>999</v>
      </c>
      <c r="G147" s="3" t="s">
        <v>995</v>
      </c>
      <c r="H147" s="3" t="s">
        <v>986</v>
      </c>
      <c r="I147" s="3" t="s">
        <v>939</v>
      </c>
      <c r="J147" s="16" t="n">
        <f aca="false">INDEX(Cours_periodes!$E$1:$E$400,MATCH("cacao:2026-06:2026-06",Cours_periodes!$A$1:$A$400,0))</f>
        <v>4.39546</v>
      </c>
      <c r="K147" s="10" t="s">
        <v>491</v>
      </c>
      <c r="L147" s="10" t="s">
        <v>268</v>
      </c>
      <c r="M147" s="15" t="n">
        <v>1</v>
      </c>
      <c r="N147" s="10" t="s">
        <v>469</v>
      </c>
      <c r="O147" s="16" t="n">
        <f aca="false">IF(K147="USD",1,INDEX(Change_periodes!$D$1:$N$400,MATCH($N147,Change_periodes!$A$1:$A$400,0),MATCH($K147,Change_periodes!$D$1:$N$1,0)))</f>
        <v>1</v>
      </c>
      <c r="P147" s="3" t="s">
        <v>87</v>
      </c>
      <c r="Q147" s="17" t="n">
        <f aca="false">INDEX(Change_periodes!$D$1:$D$400,MATCH($N147,Change_periodes!$A$1:$A$400,0))</f>
        <v>569.505990623372</v>
      </c>
      <c r="R147" s="18" t="n">
        <f aca="false">IFERROR(J147/M147/O147,"")</f>
        <v>4.39546</v>
      </c>
      <c r="S147" s="9" t="n">
        <f aca="false">IFERROR(R147*Q147,"")</f>
        <v>2503.24080154541</v>
      </c>
      <c r="T147" s="19" t="n">
        <v>1</v>
      </c>
      <c r="U147" s="3" t="s">
        <v>271</v>
      </c>
      <c r="V147" s="9" t="n">
        <f aca="false">IFERROR(S147/T147,"")</f>
        <v>2503.24080154541</v>
      </c>
      <c r="W147" s="10"/>
      <c r="X147" s="9" t="str">
        <f aca="false">IF(W147="","",IFERROR(INDEX($V$1:$V$178,MATCH(W147,$A$1:$A$178,0)),""))</f>
        <v/>
      </c>
      <c r="Y147" s="8" t="str">
        <f aca="false">IF(OR(X147="",V147=""),"",V147/X147)</f>
        <v/>
      </c>
      <c r="Z147" s="10"/>
      <c r="AA147" s="9" t="str">
        <f aca="false">IF(Z147="","",IFERROR(INDEX($V$1:$V$178,MATCH(Z147,$A$1:$A$178,0)),""))</f>
        <v/>
      </c>
      <c r="AB147" s="8" t="str">
        <f aca="false">IF(OR(AA147="",V147=""),"",V147/AA147)</f>
        <v/>
      </c>
      <c r="AC147" s="3" t="s">
        <v>989</v>
      </c>
      <c r="AD147" s="3" t="s">
        <v>990</v>
      </c>
      <c r="AE147" s="10" t="s">
        <v>275</v>
      </c>
      <c r="AF147" s="7" t="s">
        <v>401</v>
      </c>
      <c r="AG147" s="3"/>
    </row>
    <row r="148" customFormat="false" ht="35.05" hidden="false" customHeight="false" outlineLevel="0" collapsed="false">
      <c r="A148" s="13" t="s">
        <v>512</v>
      </c>
      <c r="B148" s="3" t="s">
        <v>50</v>
      </c>
      <c r="C148" s="3" t="s">
        <v>1000</v>
      </c>
      <c r="D148" s="3" t="s">
        <v>934</v>
      </c>
      <c r="E148" s="3" t="s">
        <v>1001</v>
      </c>
      <c r="F148" s="3" t="s">
        <v>1002</v>
      </c>
      <c r="G148" s="3" t="s">
        <v>1003</v>
      </c>
      <c r="H148" s="3" t="s">
        <v>1004</v>
      </c>
      <c r="I148" s="3" t="s">
        <v>1005</v>
      </c>
      <c r="J148" s="16" t="n">
        <f aca="false">INDEX(Cours_periodes!$E$1:$E$400,MATCH("robusta:2016-10:2017-09",Cours_periodes!$A$1:$A$400,0))</f>
        <v>2.28415158333333</v>
      </c>
      <c r="K148" s="10" t="s">
        <v>491</v>
      </c>
      <c r="L148" s="10" t="s">
        <v>268</v>
      </c>
      <c r="M148" s="15" t="n">
        <v>1</v>
      </c>
      <c r="N148" s="10" t="s">
        <v>511</v>
      </c>
      <c r="O148" s="16" t="n">
        <f aca="false">IF(K148="USD",1,INDEX(Change_periodes!$D$1:$N$400,MATCH($N148,Change_periodes!$A$1:$A$400,0),MATCH($K148,Change_periodes!$D$1:$N$1,0)))</f>
        <v>1</v>
      </c>
      <c r="P148" s="3" t="s">
        <v>87</v>
      </c>
      <c r="Q148" s="17" t="n">
        <f aca="false">INDEX(Change_periodes!$D$1:$D$400,MATCH($N148,Change_periodes!$A$1:$A$400,0))</f>
        <v>594.821927413357</v>
      </c>
      <c r="R148" s="18" t="n">
        <f aca="false">IFERROR(J148/M148/O148,"")</f>
        <v>2.28415158333333</v>
      </c>
      <c r="S148" s="9" t="n">
        <f aca="false">IFERROR(R148*Q148,"")</f>
        <v>1358.6634473026</v>
      </c>
      <c r="T148" s="19" t="n">
        <v>1</v>
      </c>
      <c r="U148" s="3" t="s">
        <v>271</v>
      </c>
      <c r="V148" s="9" t="n">
        <f aca="false">IFERROR(S148/T148,"")</f>
        <v>1358.6634473026</v>
      </c>
      <c r="W148" s="10"/>
      <c r="X148" s="9" t="str">
        <f aca="false">IF(W148="","",IFERROR(INDEX($V$1:$V$178,MATCH(W148,$A$1:$A$178,0)),""))</f>
        <v/>
      </c>
      <c r="Y148" s="8" t="str">
        <f aca="false">IF(OR(X148="",V148=""),"",V148/X148)</f>
        <v/>
      </c>
      <c r="Z148" s="10"/>
      <c r="AA148" s="9" t="str">
        <f aca="false">IF(Z148="","",IFERROR(INDEX($V$1:$V$178,MATCH(Z148,$A$1:$A$178,0)),""))</f>
        <v/>
      </c>
      <c r="AB148" s="8" t="str">
        <f aca="false">IF(OR(AA148="",V148=""),"",V148/AA148)</f>
        <v/>
      </c>
      <c r="AC148" s="3" t="s">
        <v>940</v>
      </c>
      <c r="AD148" s="3" t="s">
        <v>941</v>
      </c>
      <c r="AE148" s="10" t="s">
        <v>275</v>
      </c>
      <c r="AF148" s="7" t="s">
        <v>401</v>
      </c>
      <c r="AG148" s="3"/>
    </row>
    <row r="149" customFormat="false" ht="35.05" hidden="false" customHeight="false" outlineLevel="0" collapsed="false">
      <c r="A149" s="13" t="s">
        <v>518</v>
      </c>
      <c r="B149" s="3" t="s">
        <v>50</v>
      </c>
      <c r="C149" s="3" t="s">
        <v>1000</v>
      </c>
      <c r="D149" s="3" t="s">
        <v>934</v>
      </c>
      <c r="E149" s="3" t="s">
        <v>1006</v>
      </c>
      <c r="F149" s="3" t="s">
        <v>1007</v>
      </c>
      <c r="G149" s="3" t="s">
        <v>1003</v>
      </c>
      <c r="H149" s="3" t="s">
        <v>1004</v>
      </c>
      <c r="I149" s="3" t="s">
        <v>1005</v>
      </c>
      <c r="J149" s="16" t="n">
        <f aca="false">INDEX(Cours_periodes!$E$1:$E$400,MATCH("robusta:2017-10:2018-09",Cours_periodes!$A$1:$A$400,0))</f>
        <v>1.92602958333333</v>
      </c>
      <c r="K149" s="10" t="s">
        <v>491</v>
      </c>
      <c r="L149" s="10" t="s">
        <v>268</v>
      </c>
      <c r="M149" s="15" t="n">
        <v>1</v>
      </c>
      <c r="N149" s="10" t="s">
        <v>517</v>
      </c>
      <c r="O149" s="16" t="n">
        <f aca="false">IF(K149="USD",1,INDEX(Change_periodes!$D$1:$N$400,MATCH($N149,Change_periodes!$A$1:$A$400,0),MATCH($K149,Change_periodes!$D$1:$N$1,0)))</f>
        <v>1</v>
      </c>
      <c r="P149" s="3" t="s">
        <v>87</v>
      </c>
      <c r="Q149" s="17" t="n">
        <f aca="false">INDEX(Change_periodes!$D$1:$D$400,MATCH($N149,Change_periodes!$A$1:$A$400,0))</f>
        <v>551.245915046026</v>
      </c>
      <c r="R149" s="18" t="n">
        <f aca="false">IFERROR(J149/M149/O149,"")</f>
        <v>1.92602958333333</v>
      </c>
      <c r="S149" s="9" t="n">
        <f aca="false">IFERROR(R149*Q149,"")</f>
        <v>1061.7159400703</v>
      </c>
      <c r="T149" s="19" t="n">
        <v>1</v>
      </c>
      <c r="U149" s="3" t="s">
        <v>271</v>
      </c>
      <c r="V149" s="9" t="n">
        <f aca="false">IFERROR(S149/T149,"")</f>
        <v>1061.7159400703</v>
      </c>
      <c r="W149" s="10"/>
      <c r="X149" s="9" t="str">
        <f aca="false">IF(W149="","",IFERROR(INDEX($V$1:$V$178,MATCH(W149,$A$1:$A$178,0)),""))</f>
        <v/>
      </c>
      <c r="Y149" s="8" t="str">
        <f aca="false">IF(OR(X149="",V149=""),"",V149/X149)</f>
        <v/>
      </c>
      <c r="Z149" s="10"/>
      <c r="AA149" s="9" t="str">
        <f aca="false">IF(Z149="","",IFERROR(INDEX($V$1:$V$178,MATCH(Z149,$A$1:$A$178,0)),""))</f>
        <v/>
      </c>
      <c r="AB149" s="8" t="str">
        <f aca="false">IF(OR(AA149="",V149=""),"",V149/AA149)</f>
        <v/>
      </c>
      <c r="AC149" s="3" t="s">
        <v>940</v>
      </c>
      <c r="AD149" s="3" t="s">
        <v>941</v>
      </c>
      <c r="AE149" s="10" t="s">
        <v>275</v>
      </c>
      <c r="AF149" s="7" t="s">
        <v>401</v>
      </c>
      <c r="AG149" s="3"/>
    </row>
    <row r="150" customFormat="false" ht="35.05" hidden="false" customHeight="false" outlineLevel="0" collapsed="false">
      <c r="A150" s="13" t="s">
        <v>522</v>
      </c>
      <c r="B150" s="3" t="s">
        <v>50</v>
      </c>
      <c r="C150" s="3" t="s">
        <v>1000</v>
      </c>
      <c r="D150" s="3" t="s">
        <v>934</v>
      </c>
      <c r="E150" s="3" t="s">
        <v>1008</v>
      </c>
      <c r="F150" s="3" t="s">
        <v>1009</v>
      </c>
      <c r="G150" s="3" t="s">
        <v>1003</v>
      </c>
      <c r="H150" s="3" t="s">
        <v>1004</v>
      </c>
      <c r="I150" s="3" t="s">
        <v>1005</v>
      </c>
      <c r="J150" s="16" t="n">
        <f aca="false">INDEX(Cours_periodes!$E$1:$E$400,MATCH("robusta:2018-10:2019-09",Cours_periodes!$A$1:$A$400,0))</f>
        <v>1.67922266666667</v>
      </c>
      <c r="K150" s="10" t="s">
        <v>491</v>
      </c>
      <c r="L150" s="10" t="s">
        <v>268</v>
      </c>
      <c r="M150" s="15" t="n">
        <v>1</v>
      </c>
      <c r="N150" s="10" t="s">
        <v>521</v>
      </c>
      <c r="O150" s="16" t="n">
        <f aca="false">IF(K150="USD",1,INDEX(Change_periodes!$D$1:$N$400,MATCH($N150,Change_periodes!$A$1:$A$400,0),MATCH($K150,Change_periodes!$D$1:$N$1,0)))</f>
        <v>1</v>
      </c>
      <c r="P150" s="3" t="s">
        <v>87</v>
      </c>
      <c r="Q150" s="17" t="n">
        <f aca="false">INDEX(Change_periodes!$D$1:$D$400,MATCH($N150,Change_periodes!$A$1:$A$400,0))</f>
        <v>581.555799883307</v>
      </c>
      <c r="R150" s="18" t="n">
        <f aca="false">IFERROR(J150/M150/O150,"")</f>
        <v>1.67922266666667</v>
      </c>
      <c r="S150" s="9" t="n">
        <f aca="false">IFERROR(R150*Q150,"")</f>
        <v>976.561681095513</v>
      </c>
      <c r="T150" s="19" t="n">
        <v>1</v>
      </c>
      <c r="U150" s="3" t="s">
        <v>271</v>
      </c>
      <c r="V150" s="9" t="n">
        <f aca="false">IFERROR(S150/T150,"")</f>
        <v>976.561681095513</v>
      </c>
      <c r="W150" s="10"/>
      <c r="X150" s="9" t="str">
        <f aca="false">IF(W150="","",IFERROR(INDEX($V$1:$V$178,MATCH(W150,$A$1:$A$178,0)),""))</f>
        <v/>
      </c>
      <c r="Y150" s="8" t="str">
        <f aca="false">IF(OR(X150="",V150=""),"",V150/X150)</f>
        <v/>
      </c>
      <c r="Z150" s="10"/>
      <c r="AA150" s="9" t="str">
        <f aca="false">IF(Z150="","",IFERROR(INDEX($V$1:$V$178,MATCH(Z150,$A$1:$A$178,0)),""))</f>
        <v/>
      </c>
      <c r="AB150" s="8" t="str">
        <f aca="false">IF(OR(AA150="",V150=""),"",V150/AA150)</f>
        <v/>
      </c>
      <c r="AC150" s="3" t="s">
        <v>940</v>
      </c>
      <c r="AD150" s="3" t="s">
        <v>941</v>
      </c>
      <c r="AE150" s="10" t="s">
        <v>275</v>
      </c>
      <c r="AF150" s="7" t="s">
        <v>401</v>
      </c>
      <c r="AG150" s="3"/>
    </row>
    <row r="151" customFormat="false" ht="35.05" hidden="false" customHeight="false" outlineLevel="0" collapsed="false">
      <c r="A151" s="13" t="s">
        <v>527</v>
      </c>
      <c r="B151" s="3" t="s">
        <v>50</v>
      </c>
      <c r="C151" s="3" t="s">
        <v>1000</v>
      </c>
      <c r="D151" s="3" t="s">
        <v>934</v>
      </c>
      <c r="E151" s="3" t="s">
        <v>1010</v>
      </c>
      <c r="F151" s="3" t="s">
        <v>1011</v>
      </c>
      <c r="G151" s="3" t="s">
        <v>1003</v>
      </c>
      <c r="H151" s="3" t="s">
        <v>1004</v>
      </c>
      <c r="I151" s="3" t="s">
        <v>1005</v>
      </c>
      <c r="J151" s="16" t="n">
        <f aca="false">INDEX(Cours_periodes!$E$1:$E$400,MATCH("robusta:2019-10:2020-09",Cours_periodes!$A$1:$A$400,0))</f>
        <v>1.52021408333333</v>
      </c>
      <c r="K151" s="10" t="s">
        <v>491</v>
      </c>
      <c r="L151" s="10" t="s">
        <v>268</v>
      </c>
      <c r="M151" s="15" t="n">
        <v>1</v>
      </c>
      <c r="N151" s="10" t="s">
        <v>526</v>
      </c>
      <c r="O151" s="16" t="n">
        <f aca="false">IF(K151="USD",1,INDEX(Change_periodes!$D$1:$N$400,MATCH($N151,Change_periodes!$A$1:$A$400,0),MATCH($K151,Change_periodes!$D$1:$N$1,0)))</f>
        <v>1</v>
      </c>
      <c r="P151" s="3" t="s">
        <v>87</v>
      </c>
      <c r="Q151" s="17" t="n">
        <f aca="false">INDEX(Change_periodes!$D$1:$D$400,MATCH($N151,Change_periodes!$A$1:$A$400,0))</f>
        <v>586.178514539973</v>
      </c>
      <c r="R151" s="18" t="n">
        <f aca="false">IFERROR(J151/M151/O151,"")</f>
        <v>1.52021408333333</v>
      </c>
      <c r="S151" s="9" t="n">
        <f aca="false">IFERROR(R151*Q151,"")</f>
        <v>891.11683315108</v>
      </c>
      <c r="T151" s="19" t="n">
        <v>1</v>
      </c>
      <c r="U151" s="3" t="s">
        <v>271</v>
      </c>
      <c r="V151" s="9" t="n">
        <f aca="false">IFERROR(S151/T151,"")</f>
        <v>891.11683315108</v>
      </c>
      <c r="W151" s="10"/>
      <c r="X151" s="9" t="str">
        <f aca="false">IF(W151="","",IFERROR(INDEX($V$1:$V$178,MATCH(W151,$A$1:$A$178,0)),""))</f>
        <v/>
      </c>
      <c r="Y151" s="8" t="str">
        <f aca="false">IF(OR(X151="",V151=""),"",V151/X151)</f>
        <v/>
      </c>
      <c r="Z151" s="10"/>
      <c r="AA151" s="9" t="str">
        <f aca="false">IF(Z151="","",IFERROR(INDEX($V$1:$V$178,MATCH(Z151,$A$1:$A$178,0)),""))</f>
        <v/>
      </c>
      <c r="AB151" s="8" t="str">
        <f aca="false">IF(OR(AA151="",V151=""),"",V151/AA151)</f>
        <v/>
      </c>
      <c r="AC151" s="3" t="s">
        <v>940</v>
      </c>
      <c r="AD151" s="3" t="s">
        <v>941</v>
      </c>
      <c r="AE151" s="10" t="s">
        <v>275</v>
      </c>
      <c r="AF151" s="7" t="s">
        <v>401</v>
      </c>
      <c r="AG151" s="3"/>
    </row>
    <row r="152" customFormat="false" ht="35.05" hidden="false" customHeight="false" outlineLevel="0" collapsed="false">
      <c r="A152" s="13" t="s">
        <v>533</v>
      </c>
      <c r="B152" s="3" t="s">
        <v>50</v>
      </c>
      <c r="C152" s="3" t="s">
        <v>1000</v>
      </c>
      <c r="D152" s="3" t="s">
        <v>934</v>
      </c>
      <c r="E152" s="3" t="s">
        <v>1012</v>
      </c>
      <c r="F152" s="3" t="s">
        <v>1013</v>
      </c>
      <c r="G152" s="3" t="s">
        <v>1003</v>
      </c>
      <c r="H152" s="3" t="s">
        <v>1004</v>
      </c>
      <c r="I152" s="3" t="s">
        <v>1005</v>
      </c>
      <c r="J152" s="16" t="n">
        <f aca="false">INDEX(Cours_periodes!$E$1:$E$400,MATCH("robusta:2020-10:2021-09",Cours_periodes!$A$1:$A$400,0))</f>
        <v>1.7707875</v>
      </c>
      <c r="K152" s="10" t="s">
        <v>491</v>
      </c>
      <c r="L152" s="10" t="s">
        <v>268</v>
      </c>
      <c r="M152" s="15" t="n">
        <v>1</v>
      </c>
      <c r="N152" s="10" t="s">
        <v>532</v>
      </c>
      <c r="O152" s="16" t="n">
        <f aca="false">IF(K152="USD",1,INDEX(Change_periodes!$D$1:$N$400,MATCH($N152,Change_periodes!$A$1:$A$400,0),MATCH($K152,Change_periodes!$D$1:$N$1,0)))</f>
        <v>1</v>
      </c>
      <c r="P152" s="3" t="s">
        <v>87</v>
      </c>
      <c r="Q152" s="17" t="n">
        <f aca="false">INDEX(Change_periodes!$D$1:$D$400,MATCH($N152,Change_periodes!$A$1:$A$400,0))</f>
        <v>548.679898467528</v>
      </c>
      <c r="R152" s="18" t="n">
        <f aca="false">IFERROR(J152/M152/O152,"")</f>
        <v>1.7707875</v>
      </c>
      <c r="S152" s="9" t="n">
        <f aca="false">IFERROR(R152*Q152,"")</f>
        <v>971.595505707568</v>
      </c>
      <c r="T152" s="19" t="n">
        <v>1</v>
      </c>
      <c r="U152" s="3" t="s">
        <v>271</v>
      </c>
      <c r="V152" s="9" t="n">
        <f aca="false">IFERROR(S152/T152,"")</f>
        <v>971.595505707568</v>
      </c>
      <c r="W152" s="10"/>
      <c r="X152" s="9" t="str">
        <f aca="false">IF(W152="","",IFERROR(INDEX($V$1:$V$178,MATCH(W152,$A$1:$A$178,0)),""))</f>
        <v/>
      </c>
      <c r="Y152" s="8" t="str">
        <f aca="false">IF(OR(X152="",V152=""),"",V152/X152)</f>
        <v/>
      </c>
      <c r="Z152" s="10"/>
      <c r="AA152" s="9" t="str">
        <f aca="false">IF(Z152="","",IFERROR(INDEX($V$1:$V$178,MATCH(Z152,$A$1:$A$178,0)),""))</f>
        <v/>
      </c>
      <c r="AB152" s="8" t="str">
        <f aca="false">IF(OR(AA152="",V152=""),"",V152/AA152)</f>
        <v/>
      </c>
      <c r="AC152" s="3" t="s">
        <v>940</v>
      </c>
      <c r="AD152" s="3" t="s">
        <v>941</v>
      </c>
      <c r="AE152" s="10" t="s">
        <v>275</v>
      </c>
      <c r="AF152" s="7" t="s">
        <v>401</v>
      </c>
      <c r="AG152" s="3"/>
    </row>
    <row r="153" customFormat="false" ht="35.05" hidden="false" customHeight="false" outlineLevel="0" collapsed="false">
      <c r="A153" s="13" t="s">
        <v>539</v>
      </c>
      <c r="B153" s="3" t="s">
        <v>50</v>
      </c>
      <c r="C153" s="3" t="s">
        <v>1000</v>
      </c>
      <c r="D153" s="3" t="s">
        <v>934</v>
      </c>
      <c r="E153" s="3" t="s">
        <v>1014</v>
      </c>
      <c r="F153" s="3" t="s">
        <v>1015</v>
      </c>
      <c r="G153" s="3" t="s">
        <v>1003</v>
      </c>
      <c r="H153" s="3" t="s">
        <v>1004</v>
      </c>
      <c r="I153" s="3" t="s">
        <v>1005</v>
      </c>
      <c r="J153" s="16" t="n">
        <f aca="false">INDEX(Cours_periodes!$E$1:$E$400,MATCH("robusta:2021-10:2022-09",Cours_periodes!$A$1:$A$400,0))</f>
        <v>2.35661016666667</v>
      </c>
      <c r="K153" s="10" t="s">
        <v>491</v>
      </c>
      <c r="L153" s="10" t="s">
        <v>268</v>
      </c>
      <c r="M153" s="15" t="n">
        <v>1</v>
      </c>
      <c r="N153" s="10" t="s">
        <v>538</v>
      </c>
      <c r="O153" s="16" t="n">
        <f aca="false">IF(K153="USD",1,INDEX(Change_periodes!$D$1:$N$400,MATCH($N153,Change_periodes!$A$1:$A$400,0),MATCH($K153,Change_periodes!$D$1:$N$1,0)))</f>
        <v>1</v>
      </c>
      <c r="P153" s="3" t="s">
        <v>87</v>
      </c>
      <c r="Q153" s="17" t="n">
        <f aca="false">INDEX(Change_periodes!$D$1:$D$400,MATCH($N153,Change_periodes!$A$1:$A$400,0))</f>
        <v>606.285361521272</v>
      </c>
      <c r="R153" s="18" t="n">
        <f aca="false">IFERROR(J153/M153/O153,"")</f>
        <v>2.35661016666667</v>
      </c>
      <c r="S153" s="9" t="n">
        <f aca="false">IFERROR(R153*Q153,"")</f>
        <v>1428.7782468622</v>
      </c>
      <c r="T153" s="19" t="n">
        <v>1</v>
      </c>
      <c r="U153" s="3" t="s">
        <v>271</v>
      </c>
      <c r="V153" s="9" t="n">
        <f aca="false">IFERROR(S153/T153,"")</f>
        <v>1428.7782468622</v>
      </c>
      <c r="W153" s="10"/>
      <c r="X153" s="9" t="str">
        <f aca="false">IF(W153="","",IFERROR(INDEX($V$1:$V$178,MATCH(W153,$A$1:$A$178,0)),""))</f>
        <v/>
      </c>
      <c r="Y153" s="8" t="str">
        <f aca="false">IF(OR(X153="",V153=""),"",V153/X153)</f>
        <v/>
      </c>
      <c r="Z153" s="10"/>
      <c r="AA153" s="9" t="str">
        <f aca="false">IF(Z153="","",IFERROR(INDEX($V$1:$V$178,MATCH(Z153,$A$1:$A$178,0)),""))</f>
        <v/>
      </c>
      <c r="AB153" s="8" t="str">
        <f aca="false">IF(OR(AA153="",V153=""),"",V153/AA153)</f>
        <v/>
      </c>
      <c r="AC153" s="3" t="s">
        <v>940</v>
      </c>
      <c r="AD153" s="3" t="s">
        <v>941</v>
      </c>
      <c r="AE153" s="10" t="s">
        <v>275</v>
      </c>
      <c r="AF153" s="7" t="s">
        <v>401</v>
      </c>
      <c r="AG153" s="3"/>
    </row>
    <row r="154" customFormat="false" ht="35.05" hidden="false" customHeight="false" outlineLevel="0" collapsed="false">
      <c r="A154" s="13" t="s">
        <v>542</v>
      </c>
      <c r="B154" s="3" t="s">
        <v>50</v>
      </c>
      <c r="C154" s="3" t="s">
        <v>1000</v>
      </c>
      <c r="D154" s="3" t="s">
        <v>934</v>
      </c>
      <c r="E154" s="3" t="s">
        <v>1016</v>
      </c>
      <c r="F154" s="3" t="s">
        <v>1017</v>
      </c>
      <c r="G154" s="3" t="s">
        <v>1003</v>
      </c>
      <c r="H154" s="3" t="s">
        <v>1004</v>
      </c>
      <c r="I154" s="3" t="s">
        <v>1005</v>
      </c>
      <c r="J154" s="16" t="n">
        <f aca="false">INDEX(Cours_periodes!$E$1:$E$400,MATCH("robusta:2022-10:2023-09",Cours_periodes!$A$1:$A$400,0))</f>
        <v>2.46412208333333</v>
      </c>
      <c r="K154" s="10" t="s">
        <v>491</v>
      </c>
      <c r="L154" s="10" t="s">
        <v>268</v>
      </c>
      <c r="M154" s="15" t="n">
        <v>1</v>
      </c>
      <c r="N154" s="10" t="s">
        <v>541</v>
      </c>
      <c r="O154" s="16" t="n">
        <f aca="false">IF(K154="USD",1,INDEX(Change_periodes!$D$1:$N$400,MATCH($N154,Change_periodes!$A$1:$A$400,0),MATCH($K154,Change_periodes!$D$1:$N$1,0)))</f>
        <v>1</v>
      </c>
      <c r="P154" s="3" t="s">
        <v>87</v>
      </c>
      <c r="Q154" s="17" t="n">
        <f aca="false">INDEX(Change_periodes!$D$1:$D$400,MATCH($N154,Change_periodes!$A$1:$A$400,0))</f>
        <v>614.947904798011</v>
      </c>
      <c r="R154" s="18" t="n">
        <f aca="false">IFERROR(J154/M154/O154,"")</f>
        <v>2.46412208333333</v>
      </c>
      <c r="S154" s="9" t="n">
        <f aca="false">IFERROR(R154*Q154,"")</f>
        <v>1515.30671231234</v>
      </c>
      <c r="T154" s="19" t="n">
        <v>1</v>
      </c>
      <c r="U154" s="3" t="s">
        <v>271</v>
      </c>
      <c r="V154" s="9" t="n">
        <f aca="false">IFERROR(S154/T154,"")</f>
        <v>1515.30671231234</v>
      </c>
      <c r="W154" s="10"/>
      <c r="X154" s="9" t="str">
        <f aca="false">IF(W154="","",IFERROR(INDEX($V$1:$V$178,MATCH(W154,$A$1:$A$178,0)),""))</f>
        <v/>
      </c>
      <c r="Y154" s="8" t="str">
        <f aca="false">IF(OR(X154="",V154=""),"",V154/X154)</f>
        <v/>
      </c>
      <c r="Z154" s="10"/>
      <c r="AA154" s="9" t="str">
        <f aca="false">IF(Z154="","",IFERROR(INDEX($V$1:$V$178,MATCH(Z154,$A$1:$A$178,0)),""))</f>
        <v/>
      </c>
      <c r="AB154" s="8" t="str">
        <f aca="false">IF(OR(AA154="",V154=""),"",V154/AA154)</f>
        <v/>
      </c>
      <c r="AC154" s="3" t="s">
        <v>940</v>
      </c>
      <c r="AD154" s="3" t="s">
        <v>941</v>
      </c>
      <c r="AE154" s="10" t="s">
        <v>275</v>
      </c>
      <c r="AF154" s="7" t="s">
        <v>401</v>
      </c>
      <c r="AG154" s="3"/>
    </row>
    <row r="155" customFormat="false" ht="35.05" hidden="false" customHeight="false" outlineLevel="0" collapsed="false">
      <c r="A155" s="13" t="s">
        <v>547</v>
      </c>
      <c r="B155" s="3" t="s">
        <v>50</v>
      </c>
      <c r="C155" s="3" t="s">
        <v>1000</v>
      </c>
      <c r="D155" s="3" t="s">
        <v>934</v>
      </c>
      <c r="E155" s="3" t="s">
        <v>1018</v>
      </c>
      <c r="F155" s="3" t="s">
        <v>1019</v>
      </c>
      <c r="G155" s="3" t="s">
        <v>1003</v>
      </c>
      <c r="H155" s="3" t="s">
        <v>1004</v>
      </c>
      <c r="I155" s="3" t="s">
        <v>1005</v>
      </c>
      <c r="J155" s="16" t="n">
        <f aca="false">INDEX(Cours_periodes!$E$1:$E$400,MATCH("robusta:2023-10:2024-09",Cours_periodes!$A$1:$A$400,0))</f>
        <v>3.84878883333333</v>
      </c>
      <c r="K155" s="10" t="s">
        <v>491</v>
      </c>
      <c r="L155" s="10" t="s">
        <v>268</v>
      </c>
      <c r="M155" s="15" t="n">
        <v>1</v>
      </c>
      <c r="N155" s="10" t="s">
        <v>546</v>
      </c>
      <c r="O155" s="16" t="n">
        <f aca="false">IF(K155="USD",1,INDEX(Change_periodes!$D$1:$N$400,MATCH($N155,Change_periodes!$A$1:$A$400,0),MATCH($K155,Change_periodes!$D$1:$N$1,0)))</f>
        <v>1</v>
      </c>
      <c r="P155" s="3" t="s">
        <v>87</v>
      </c>
      <c r="Q155" s="17" t="n">
        <f aca="false">INDEX(Change_periodes!$D$1:$D$400,MATCH($N155,Change_periodes!$A$1:$A$400,0))</f>
        <v>605.090100488553</v>
      </c>
      <c r="R155" s="18" t="n">
        <f aca="false">IFERROR(J155/M155/O155,"")</f>
        <v>3.84878883333333</v>
      </c>
      <c r="S155" s="9" t="n">
        <f aca="false">IFERROR(R155*Q155,"")</f>
        <v>2328.86402192089</v>
      </c>
      <c r="T155" s="19" t="n">
        <v>1</v>
      </c>
      <c r="U155" s="3" t="s">
        <v>271</v>
      </c>
      <c r="V155" s="9" t="n">
        <f aca="false">IFERROR(S155/T155,"")</f>
        <v>2328.86402192089</v>
      </c>
      <c r="W155" s="10"/>
      <c r="X155" s="9" t="str">
        <f aca="false">IF(W155="","",IFERROR(INDEX($V$1:$V$178,MATCH(W155,$A$1:$A$178,0)),""))</f>
        <v/>
      </c>
      <c r="Y155" s="8" t="str">
        <f aca="false">IF(OR(X155="",V155=""),"",V155/X155)</f>
        <v/>
      </c>
      <c r="Z155" s="10"/>
      <c r="AA155" s="9" t="str">
        <f aca="false">IF(Z155="","",IFERROR(INDEX($V$1:$V$178,MATCH(Z155,$A$1:$A$178,0)),""))</f>
        <v/>
      </c>
      <c r="AB155" s="8" t="str">
        <f aca="false">IF(OR(AA155="",V155=""),"",V155/AA155)</f>
        <v/>
      </c>
      <c r="AC155" s="3" t="s">
        <v>940</v>
      </c>
      <c r="AD155" s="3" t="s">
        <v>941</v>
      </c>
      <c r="AE155" s="10" t="s">
        <v>275</v>
      </c>
      <c r="AF155" s="7" t="s">
        <v>401</v>
      </c>
      <c r="AG155" s="3"/>
    </row>
    <row r="156" customFormat="false" ht="35.05" hidden="false" customHeight="false" outlineLevel="0" collapsed="false">
      <c r="A156" s="13" t="s">
        <v>552</v>
      </c>
      <c r="B156" s="3" t="s">
        <v>50</v>
      </c>
      <c r="C156" s="3" t="s">
        <v>1000</v>
      </c>
      <c r="D156" s="3" t="s">
        <v>934</v>
      </c>
      <c r="E156" s="3" t="s">
        <v>1020</v>
      </c>
      <c r="F156" s="3" t="s">
        <v>1021</v>
      </c>
      <c r="G156" s="3" t="s">
        <v>1003</v>
      </c>
      <c r="H156" s="3" t="s">
        <v>1004</v>
      </c>
      <c r="I156" s="3" t="s">
        <v>1005</v>
      </c>
      <c r="J156" s="16" t="n">
        <f aca="false">INDEX(Cours_periodes!$E$1:$E$400,MATCH("robusta:2024-10:2025-09",Cours_periodes!$A$1:$A$400,0))</f>
        <v>4.9776645</v>
      </c>
      <c r="K156" s="10" t="s">
        <v>491</v>
      </c>
      <c r="L156" s="10" t="s">
        <v>268</v>
      </c>
      <c r="M156" s="15" t="n">
        <v>1</v>
      </c>
      <c r="N156" s="10" t="s">
        <v>551</v>
      </c>
      <c r="O156" s="16" t="n">
        <f aca="false">IF(K156="USD",1,INDEX(Change_periodes!$D$1:$N$400,MATCH($N156,Change_periodes!$A$1:$A$400,0),MATCH($K156,Change_periodes!$D$1:$N$1,0)))</f>
        <v>1</v>
      </c>
      <c r="P156" s="3" t="s">
        <v>87</v>
      </c>
      <c r="Q156" s="17" t="n">
        <f aca="false">INDEX(Change_periodes!$D$1:$D$400,MATCH($N156,Change_periodes!$A$1:$A$400,0))</f>
        <v>594.675012656066</v>
      </c>
      <c r="R156" s="18" t="n">
        <f aca="false">IFERROR(J156/M156/O156,"")</f>
        <v>4.9776645</v>
      </c>
      <c r="S156" s="9" t="n">
        <f aca="false">IFERROR(R156*Q156,"")</f>
        <v>2960.09269953515</v>
      </c>
      <c r="T156" s="19" t="n">
        <v>1</v>
      </c>
      <c r="U156" s="3" t="s">
        <v>271</v>
      </c>
      <c r="V156" s="9" t="n">
        <f aca="false">IFERROR(S156/T156,"")</f>
        <v>2960.09269953515</v>
      </c>
      <c r="W156" s="10"/>
      <c r="X156" s="9" t="str">
        <f aca="false">IF(W156="","",IFERROR(INDEX($V$1:$V$178,MATCH(W156,$A$1:$A$178,0)),""))</f>
        <v/>
      </c>
      <c r="Y156" s="8" t="str">
        <f aca="false">IF(OR(X156="",V156=""),"",V156/X156)</f>
        <v/>
      </c>
      <c r="Z156" s="10"/>
      <c r="AA156" s="9" t="str">
        <f aca="false">IF(Z156="","",IFERROR(INDEX($V$1:$V$178,MATCH(Z156,$A$1:$A$178,0)),""))</f>
        <v/>
      </c>
      <c r="AB156" s="8" t="str">
        <f aca="false">IF(OR(AA156="",V156=""),"",V156/AA156)</f>
        <v/>
      </c>
      <c r="AC156" s="3" t="s">
        <v>940</v>
      </c>
      <c r="AD156" s="3" t="s">
        <v>941</v>
      </c>
      <c r="AE156" s="10" t="s">
        <v>275</v>
      </c>
      <c r="AF156" s="7" t="s">
        <v>401</v>
      </c>
      <c r="AG156" s="3"/>
    </row>
    <row r="157" customFormat="false" ht="35.05" hidden="false" customHeight="false" outlineLevel="0" collapsed="false">
      <c r="A157" s="13" t="s">
        <v>556</v>
      </c>
      <c r="B157" s="3" t="s">
        <v>50</v>
      </c>
      <c r="C157" s="3" t="s">
        <v>1000</v>
      </c>
      <c r="D157" s="3" t="s">
        <v>934</v>
      </c>
      <c r="E157" s="3" t="s">
        <v>1022</v>
      </c>
      <c r="F157" s="3" t="s">
        <v>1023</v>
      </c>
      <c r="G157" s="3" t="s">
        <v>1003</v>
      </c>
      <c r="H157" s="3" t="s">
        <v>1004</v>
      </c>
      <c r="I157" s="3" t="s">
        <v>1005</v>
      </c>
      <c r="J157" s="16" t="n">
        <f aca="false">INDEX(Cours_periodes!$E$1:$E$400,MATCH("robusta:2025-10:2026-08",Cours_periodes!$A$1:$A$400,0))</f>
        <v>4.08047099818182</v>
      </c>
      <c r="K157" s="10" t="s">
        <v>491</v>
      </c>
      <c r="L157" s="10" t="s">
        <v>268</v>
      </c>
      <c r="M157" s="15" t="n">
        <v>1</v>
      </c>
      <c r="N157" s="10" t="s">
        <v>1024</v>
      </c>
      <c r="O157" s="16" t="n">
        <f aca="false">IF(K157="USD",1,INDEX(Change_periodes!$D$1:$N$400,MATCH($N157,Change_periodes!$A$1:$A$400,0),MATCH($K157,Change_periodes!$D$1:$N$1,0)))</f>
        <v>1</v>
      </c>
      <c r="P157" s="3" t="s">
        <v>87</v>
      </c>
      <c r="Q157" s="17" t="n">
        <f aca="false">INDEX(Change_periodes!$D$1:$D$400,MATCH($N157,Change_periodes!$A$1:$A$400,0))</f>
        <v>564.080421752516</v>
      </c>
      <c r="R157" s="18" t="n">
        <f aca="false">IFERROR(J157/M157/O157,"")</f>
        <v>4.08047099818182</v>
      </c>
      <c r="S157" s="9" t="n">
        <f aca="false">IFERROR(R157*Q157,"")</f>
        <v>2301.71380160331</v>
      </c>
      <c r="T157" s="19" t="n">
        <v>1</v>
      </c>
      <c r="U157" s="3" t="s">
        <v>271</v>
      </c>
      <c r="V157" s="9" t="n">
        <f aca="false">IFERROR(S157/T157,"")</f>
        <v>2301.71380160331</v>
      </c>
      <c r="W157" s="10"/>
      <c r="X157" s="9" t="str">
        <f aca="false">IF(W157="","",IFERROR(INDEX($V$1:$V$178,MATCH(W157,$A$1:$A$178,0)),""))</f>
        <v/>
      </c>
      <c r="Y157" s="8" t="str">
        <f aca="false">IF(OR(X157="",V157=""),"",V157/X157)</f>
        <v/>
      </c>
      <c r="Z157" s="10"/>
      <c r="AA157" s="9" t="str">
        <f aca="false">IF(Z157="","",IFERROR(INDEX($V$1:$V$178,MATCH(Z157,$A$1:$A$178,0)),""))</f>
        <v/>
      </c>
      <c r="AB157" s="8" t="str">
        <f aca="false">IF(OR(AA157="",V157=""),"",V157/AA157)</f>
        <v/>
      </c>
      <c r="AC157" s="3" t="s">
        <v>940</v>
      </c>
      <c r="AD157" s="3" t="s">
        <v>941</v>
      </c>
      <c r="AE157" s="10" t="s">
        <v>275</v>
      </c>
      <c r="AF157" s="7" t="s">
        <v>401</v>
      </c>
      <c r="AG157" s="3" t="s">
        <v>1025</v>
      </c>
    </row>
    <row r="158" customFormat="false" ht="23.85" hidden="false" customHeight="false" outlineLevel="0" collapsed="false">
      <c r="A158" s="13" t="s">
        <v>567</v>
      </c>
      <c r="B158" s="3" t="s">
        <v>50</v>
      </c>
      <c r="C158" s="3" t="s">
        <v>1000</v>
      </c>
      <c r="D158" s="3" t="s">
        <v>934</v>
      </c>
      <c r="E158" s="3" t="s">
        <v>1026</v>
      </c>
      <c r="F158" s="3" t="s">
        <v>1027</v>
      </c>
      <c r="G158" s="3" t="s">
        <v>985</v>
      </c>
      <c r="H158" s="3" t="s">
        <v>1028</v>
      </c>
      <c r="I158" s="3" t="s">
        <v>1029</v>
      </c>
      <c r="J158" s="16" t="n">
        <f aca="false">INDEX(Cours_periodes!$E$1:$E$400,MATCH("robusta:2026-07:2026-07",Cours_periodes!$A$1:$A$400,0))</f>
        <v>4.083617626</v>
      </c>
      <c r="K158" s="10" t="s">
        <v>491</v>
      </c>
      <c r="L158" s="10" t="s">
        <v>268</v>
      </c>
      <c r="M158" s="15" t="n">
        <v>1</v>
      </c>
      <c r="N158" s="10" t="s">
        <v>565</v>
      </c>
      <c r="O158" s="16" t="n">
        <f aca="false">IF(K158="USD",1,INDEX(Change_periodes!$D$1:$N$400,MATCH($N158,Change_periodes!$A$1:$A$400,0),MATCH($K158,Change_periodes!$D$1:$N$1,0)))</f>
        <v>1</v>
      </c>
      <c r="P158" s="3" t="s">
        <v>87</v>
      </c>
      <c r="Q158" s="17" t="n">
        <f aca="false">INDEX(Change_periodes!$D$1:$D$400,MATCH($N158,Change_periodes!$A$1:$A$400,0))</f>
        <v>574.519946608183</v>
      </c>
      <c r="R158" s="18" t="n">
        <f aca="false">IFERROR(J158/M158/O158,"")</f>
        <v>4.083617626</v>
      </c>
      <c r="S158" s="9" t="n">
        <f aca="false">IFERROR(R158*Q158,"")</f>
        <v>2346.11978045776</v>
      </c>
      <c r="T158" s="19" t="n">
        <v>1</v>
      </c>
      <c r="U158" s="3" t="s">
        <v>271</v>
      </c>
      <c r="V158" s="9" t="n">
        <f aca="false">IFERROR(S158/T158,"")</f>
        <v>2346.11978045776</v>
      </c>
      <c r="W158" s="10"/>
      <c r="X158" s="9" t="str">
        <f aca="false">IF(W158="","",IFERROR(INDEX($V$1:$V$178,MATCH(W158,$A$1:$A$178,0)),""))</f>
        <v/>
      </c>
      <c r="Y158" s="8" t="str">
        <f aca="false">IF(OR(X158="",V158=""),"",V158/X158)</f>
        <v/>
      </c>
      <c r="Z158" s="10"/>
      <c r="AA158" s="9" t="str">
        <f aca="false">IF(Z158="","",IFERROR(INDEX($V$1:$V$178,MATCH(Z158,$A$1:$A$178,0)),""))</f>
        <v/>
      </c>
      <c r="AB158" s="8" t="str">
        <f aca="false">IF(OR(AA158="",V158=""),"",V158/AA158)</f>
        <v/>
      </c>
      <c r="AC158" s="3" t="s">
        <v>989</v>
      </c>
      <c r="AD158" s="3" t="s">
        <v>990</v>
      </c>
      <c r="AE158" s="10" t="s">
        <v>275</v>
      </c>
      <c r="AF158" s="7" t="s">
        <v>401</v>
      </c>
      <c r="AG158" s="3"/>
    </row>
    <row r="159" customFormat="false" ht="23.85" hidden="false" customHeight="false" outlineLevel="0" collapsed="false">
      <c r="A159" s="13" t="s">
        <v>558</v>
      </c>
      <c r="B159" s="3" t="s">
        <v>50</v>
      </c>
      <c r="C159" s="3" t="s">
        <v>1000</v>
      </c>
      <c r="D159" s="3" t="s">
        <v>934</v>
      </c>
      <c r="E159" s="3" t="s">
        <v>991</v>
      </c>
      <c r="F159" s="3" t="s">
        <v>992</v>
      </c>
      <c r="G159" s="3" t="s">
        <v>985</v>
      </c>
      <c r="H159" s="3" t="s">
        <v>1028</v>
      </c>
      <c r="I159" s="3" t="s">
        <v>1029</v>
      </c>
      <c r="J159" s="16" t="n">
        <f aca="false">INDEX(Cours_periodes!$E$1:$E$400,MATCH("robusta:2026-08:2026-08",Cours_periodes!$A$1:$A$400,0))</f>
        <v>3.982205106</v>
      </c>
      <c r="K159" s="10" t="s">
        <v>491</v>
      </c>
      <c r="L159" s="10" t="s">
        <v>268</v>
      </c>
      <c r="M159" s="15" t="n">
        <v>1</v>
      </c>
      <c r="N159" s="10" t="s">
        <v>844</v>
      </c>
      <c r="O159" s="16" t="n">
        <f aca="false">IF(K159="USD",1,INDEX(Change_periodes!$D$1:$N$400,MATCH($N159,Change_periodes!$A$1:$A$400,0),MATCH($K159,Change_periodes!$D$1:$N$1,0)))</f>
        <v>1</v>
      </c>
      <c r="P159" s="3" t="s">
        <v>87</v>
      </c>
      <c r="Q159" s="17" t="n">
        <f aca="false">INDEX(Change_periodes!$D$1:$D$400,MATCH($N159,Change_periodes!$A$1:$A$400,0))</f>
        <v>565.816735816995</v>
      </c>
      <c r="R159" s="18" t="n">
        <f aca="false">IFERROR(J159/M159/O159,"")</f>
        <v>3.982205106</v>
      </c>
      <c r="S159" s="9" t="n">
        <f aca="false">IFERROR(R159*Q159,"")</f>
        <v>2253.19829443069</v>
      </c>
      <c r="T159" s="19" t="n">
        <v>1</v>
      </c>
      <c r="U159" s="3" t="s">
        <v>271</v>
      </c>
      <c r="V159" s="9" t="n">
        <f aca="false">IFERROR(S159/T159,"")</f>
        <v>2253.19829443069</v>
      </c>
      <c r="W159" s="10"/>
      <c r="X159" s="9" t="str">
        <f aca="false">IF(W159="","",IFERROR(INDEX($V$1:$V$178,MATCH(W159,$A$1:$A$178,0)),""))</f>
        <v/>
      </c>
      <c r="Y159" s="8" t="str">
        <f aca="false">IF(OR(X159="",V159=""),"",V159/X159)</f>
        <v/>
      </c>
      <c r="Z159" s="10"/>
      <c r="AA159" s="9" t="str">
        <f aca="false">IF(Z159="","",IFERROR(INDEX($V$1:$V$178,MATCH(Z159,$A$1:$A$178,0)),""))</f>
        <v/>
      </c>
      <c r="AB159" s="8" t="str">
        <f aca="false">IF(OR(AA159="",V159=""),"",V159/AA159)</f>
        <v/>
      </c>
      <c r="AC159" s="3" t="s">
        <v>1030</v>
      </c>
      <c r="AD159" s="3" t="s">
        <v>1031</v>
      </c>
      <c r="AE159" s="10" t="s">
        <v>275</v>
      </c>
      <c r="AF159" s="7" t="s">
        <v>401</v>
      </c>
      <c r="AG159" s="3"/>
    </row>
    <row r="160" customFormat="false" ht="35.05" hidden="false" customHeight="false" outlineLevel="0" collapsed="false">
      <c r="A160" s="13" t="s">
        <v>723</v>
      </c>
      <c r="B160" s="3" t="s">
        <v>60</v>
      </c>
      <c r="C160" s="3" t="s">
        <v>1032</v>
      </c>
      <c r="D160" s="3" t="s">
        <v>934</v>
      </c>
      <c r="E160" s="3" t="s">
        <v>1033</v>
      </c>
      <c r="F160" s="3" t="s">
        <v>1034</v>
      </c>
      <c r="G160" s="3" t="s">
        <v>1035</v>
      </c>
      <c r="H160" s="3" t="s">
        <v>1036</v>
      </c>
      <c r="I160" s="3" t="s">
        <v>1037</v>
      </c>
      <c r="J160" s="16" t="n">
        <f aca="false">INDEX(Cours_periodes!$E$1:$E$400,MATCH("coton:2017-08:2018-07",Cours_periodes!$A$1:$A$400,0))</f>
        <v>1.94089233333333</v>
      </c>
      <c r="K160" s="10" t="s">
        <v>491</v>
      </c>
      <c r="L160" s="10" t="s">
        <v>268</v>
      </c>
      <c r="M160" s="15" t="n">
        <v>1</v>
      </c>
      <c r="N160" s="10" t="s">
        <v>721</v>
      </c>
      <c r="O160" s="16" t="n">
        <f aca="false">IF(K160="USD",1,INDEX(Change_periodes!$D$1:$N$400,MATCH($N160,Change_periodes!$A$1:$A$400,0),MATCH($K160,Change_periodes!$D$1:$N$1,0)))</f>
        <v>1</v>
      </c>
      <c r="P160" s="3" t="s">
        <v>87</v>
      </c>
      <c r="Q160" s="17" t="n">
        <f aca="false">INDEX(Change_periodes!$D$1:$D$400,MATCH($N160,Change_periodes!$A$1:$A$400,0))</f>
        <v>549.205613385998</v>
      </c>
      <c r="R160" s="18" t="n">
        <f aca="false">IFERROR(J160/M160/O160,"")</f>
        <v>1.94089233333333</v>
      </c>
      <c r="S160" s="9" t="n">
        <f aca="false">IFERROR(R160*Q160,"")</f>
        <v>1065.94896444451</v>
      </c>
      <c r="T160" s="19" t="n">
        <v>1</v>
      </c>
      <c r="U160" s="3" t="s">
        <v>271</v>
      </c>
      <c r="V160" s="9" t="n">
        <f aca="false">IFERROR(S160/T160,"")</f>
        <v>1065.94896444451</v>
      </c>
      <c r="W160" s="10"/>
      <c r="X160" s="9" t="str">
        <f aca="false">IF(W160="","",IFERROR(INDEX($V$1:$V$178,MATCH(W160,$A$1:$A$178,0)),""))</f>
        <v/>
      </c>
      <c r="Y160" s="8" t="str">
        <f aca="false">IF(OR(X160="",V160=""),"",V160/X160)</f>
        <v/>
      </c>
      <c r="Z160" s="10"/>
      <c r="AA160" s="9" t="str">
        <f aca="false">IF(Z160="","",IFERROR(INDEX($V$1:$V$178,MATCH(Z160,$A$1:$A$178,0)),""))</f>
        <v/>
      </c>
      <c r="AB160" s="8" t="str">
        <f aca="false">IF(OR(AA160="",V160=""),"",V160/AA160)</f>
        <v/>
      </c>
      <c r="AC160" s="3" t="s">
        <v>940</v>
      </c>
      <c r="AD160" s="3" t="s">
        <v>941</v>
      </c>
      <c r="AE160" s="10" t="s">
        <v>275</v>
      </c>
      <c r="AF160" s="7" t="s">
        <v>401</v>
      </c>
      <c r="AG160" s="3" t="s">
        <v>1038</v>
      </c>
    </row>
    <row r="161" customFormat="false" ht="35.05" hidden="false" customHeight="false" outlineLevel="0" collapsed="false">
      <c r="A161" s="13" t="s">
        <v>729</v>
      </c>
      <c r="B161" s="3" t="s">
        <v>60</v>
      </c>
      <c r="C161" s="3" t="s">
        <v>1032</v>
      </c>
      <c r="D161" s="3" t="s">
        <v>934</v>
      </c>
      <c r="E161" s="3" t="s">
        <v>1039</v>
      </c>
      <c r="F161" s="3" t="s">
        <v>1040</v>
      </c>
      <c r="G161" s="3" t="s">
        <v>1035</v>
      </c>
      <c r="H161" s="3" t="s">
        <v>1036</v>
      </c>
      <c r="I161" s="3" t="s">
        <v>1037</v>
      </c>
      <c r="J161" s="16" t="n">
        <f aca="false">INDEX(Cours_periodes!$E$1:$E$400,MATCH("coton:2018-08:2019-07",Cours_periodes!$A$1:$A$400,0))</f>
        <v>1.85990925</v>
      </c>
      <c r="K161" s="10" t="s">
        <v>491</v>
      </c>
      <c r="L161" s="10" t="s">
        <v>268</v>
      </c>
      <c r="M161" s="15" t="n">
        <v>1</v>
      </c>
      <c r="N161" s="10" t="s">
        <v>728</v>
      </c>
      <c r="O161" s="16" t="n">
        <f aca="false">IF(K161="USD",1,INDEX(Change_periodes!$D$1:$N$400,MATCH($N161,Change_periodes!$A$1:$A$400,0),MATCH($K161,Change_periodes!$D$1:$N$1,0)))</f>
        <v>1</v>
      </c>
      <c r="P161" s="3" t="s">
        <v>87</v>
      </c>
      <c r="Q161" s="17" t="n">
        <f aca="false">INDEX(Change_periodes!$D$1:$D$400,MATCH($N161,Change_periodes!$A$1:$A$400,0))</f>
        <v>576.967470984461</v>
      </c>
      <c r="R161" s="18" t="n">
        <f aca="false">IFERROR(J161/M161/O161,"")</f>
        <v>1.85990925</v>
      </c>
      <c r="S161" s="9" t="n">
        <f aca="false">IFERROR(R161*Q161,"")</f>
        <v>1073.10713623311</v>
      </c>
      <c r="T161" s="19" t="n">
        <v>1</v>
      </c>
      <c r="U161" s="3" t="s">
        <v>271</v>
      </c>
      <c r="V161" s="9" t="n">
        <f aca="false">IFERROR(S161/T161,"")</f>
        <v>1073.10713623311</v>
      </c>
      <c r="W161" s="10"/>
      <c r="X161" s="9" t="str">
        <f aca="false">IF(W161="","",IFERROR(INDEX($V$1:$V$178,MATCH(W161,$A$1:$A$178,0)),""))</f>
        <v/>
      </c>
      <c r="Y161" s="8" t="str">
        <f aca="false">IF(OR(X161="",V161=""),"",V161/X161)</f>
        <v/>
      </c>
      <c r="Z161" s="10"/>
      <c r="AA161" s="9" t="str">
        <f aca="false">IF(Z161="","",IFERROR(INDEX($V$1:$V$178,MATCH(Z161,$A$1:$A$178,0)),""))</f>
        <v/>
      </c>
      <c r="AB161" s="8" t="str">
        <f aca="false">IF(OR(AA161="",V161=""),"",V161/AA161)</f>
        <v/>
      </c>
      <c r="AC161" s="3" t="s">
        <v>940</v>
      </c>
      <c r="AD161" s="3" t="s">
        <v>941</v>
      </c>
      <c r="AE161" s="10" t="s">
        <v>275</v>
      </c>
      <c r="AF161" s="7" t="s">
        <v>401</v>
      </c>
      <c r="AG161" s="3" t="s">
        <v>1038</v>
      </c>
    </row>
    <row r="162" customFormat="false" ht="35.05" hidden="false" customHeight="false" outlineLevel="0" collapsed="false">
      <c r="A162" s="13" t="s">
        <v>734</v>
      </c>
      <c r="B162" s="3" t="s">
        <v>60</v>
      </c>
      <c r="C162" s="3" t="s">
        <v>1032</v>
      </c>
      <c r="D162" s="3" t="s">
        <v>934</v>
      </c>
      <c r="E162" s="3" t="s">
        <v>1041</v>
      </c>
      <c r="F162" s="3" t="s">
        <v>1042</v>
      </c>
      <c r="G162" s="3" t="s">
        <v>1035</v>
      </c>
      <c r="H162" s="3" t="s">
        <v>1036</v>
      </c>
      <c r="I162" s="3" t="s">
        <v>1037</v>
      </c>
      <c r="J162" s="16" t="n">
        <f aca="false">INDEX(Cours_periodes!$E$1:$E$400,MATCH("coton:2019-08:2020-07",Cours_periodes!$A$1:$A$400,0))</f>
        <v>1.57178383333333</v>
      </c>
      <c r="K162" s="10" t="s">
        <v>491</v>
      </c>
      <c r="L162" s="10" t="s">
        <v>268</v>
      </c>
      <c r="M162" s="15" t="n">
        <v>1</v>
      </c>
      <c r="N162" s="10" t="s">
        <v>733</v>
      </c>
      <c r="O162" s="16" t="n">
        <f aca="false">IF(K162="USD",1,INDEX(Change_periodes!$D$1:$N$400,MATCH($N162,Change_periodes!$A$1:$A$400,0),MATCH($K162,Change_periodes!$D$1:$N$1,0)))</f>
        <v>1</v>
      </c>
      <c r="P162" s="3" t="s">
        <v>87</v>
      </c>
      <c r="Q162" s="17" t="n">
        <f aca="false">INDEX(Change_periodes!$D$1:$D$400,MATCH($N162,Change_periodes!$A$1:$A$400,0))</f>
        <v>592.415481616019</v>
      </c>
      <c r="R162" s="18" t="n">
        <f aca="false">IFERROR(J162/M162/O162,"")</f>
        <v>1.57178383333333</v>
      </c>
      <c r="S162" s="9" t="n">
        <f aca="false">IFERROR(R162*Q162,"")</f>
        <v>931.149076620439</v>
      </c>
      <c r="T162" s="19" t="n">
        <v>1</v>
      </c>
      <c r="U162" s="3" t="s">
        <v>271</v>
      </c>
      <c r="V162" s="9" t="n">
        <f aca="false">IFERROR(S162/T162,"")</f>
        <v>931.149076620439</v>
      </c>
      <c r="W162" s="10"/>
      <c r="X162" s="9" t="str">
        <f aca="false">IF(W162="","",IFERROR(INDEX($V$1:$V$178,MATCH(W162,$A$1:$A$178,0)),""))</f>
        <v/>
      </c>
      <c r="Y162" s="8" t="str">
        <f aca="false">IF(OR(X162="",V162=""),"",V162/X162)</f>
        <v/>
      </c>
      <c r="Z162" s="10"/>
      <c r="AA162" s="9" t="str">
        <f aca="false">IF(Z162="","",IFERROR(INDEX($V$1:$V$178,MATCH(Z162,$A$1:$A$178,0)),""))</f>
        <v/>
      </c>
      <c r="AB162" s="8" t="str">
        <f aca="false">IF(OR(AA162="",V162=""),"",V162/AA162)</f>
        <v/>
      </c>
      <c r="AC162" s="3" t="s">
        <v>940</v>
      </c>
      <c r="AD162" s="3" t="s">
        <v>941</v>
      </c>
      <c r="AE162" s="10" t="s">
        <v>275</v>
      </c>
      <c r="AF162" s="7" t="s">
        <v>401</v>
      </c>
      <c r="AG162" s="3" t="s">
        <v>1038</v>
      </c>
    </row>
    <row r="163" customFormat="false" ht="35.05" hidden="false" customHeight="false" outlineLevel="0" collapsed="false">
      <c r="A163" s="13" t="s">
        <v>739</v>
      </c>
      <c r="B163" s="3" t="s">
        <v>60</v>
      </c>
      <c r="C163" s="3" t="s">
        <v>1032</v>
      </c>
      <c r="D163" s="3" t="s">
        <v>934</v>
      </c>
      <c r="E163" s="3" t="s">
        <v>1043</v>
      </c>
      <c r="F163" s="3" t="s">
        <v>1044</v>
      </c>
      <c r="G163" s="3" t="s">
        <v>1035</v>
      </c>
      <c r="H163" s="3" t="s">
        <v>1036</v>
      </c>
      <c r="I163" s="3" t="s">
        <v>1037</v>
      </c>
      <c r="J163" s="16" t="n">
        <f aca="false">INDEX(Cours_periodes!$E$1:$E$400,MATCH("coton:2020-08:2021-07",Cours_periodes!$A$1:$A$400,0))</f>
        <v>1.87313708333333</v>
      </c>
      <c r="K163" s="10" t="s">
        <v>491</v>
      </c>
      <c r="L163" s="10" t="s">
        <v>268</v>
      </c>
      <c r="M163" s="15" t="n">
        <v>1</v>
      </c>
      <c r="N163" s="10" t="s">
        <v>738</v>
      </c>
      <c r="O163" s="16" t="n">
        <f aca="false">IF(K163="USD",1,INDEX(Change_periodes!$D$1:$N$400,MATCH($N163,Change_periodes!$A$1:$A$400,0),MATCH($K163,Change_periodes!$D$1:$N$1,0)))</f>
        <v>1</v>
      </c>
      <c r="P163" s="3" t="s">
        <v>87</v>
      </c>
      <c r="Q163" s="17" t="n">
        <f aca="false">INDEX(Change_periodes!$D$1:$D$400,MATCH($N163,Change_periodes!$A$1:$A$400,0))</f>
        <v>548.371954759237</v>
      </c>
      <c r="R163" s="18" t="n">
        <f aca="false">IFERROR(J163/M163/O163,"")</f>
        <v>1.87313708333333</v>
      </c>
      <c r="S163" s="9" t="n">
        <f aca="false">IFERROR(R163*Q163,"")</f>
        <v>1027.17584391952</v>
      </c>
      <c r="T163" s="19" t="n">
        <v>1</v>
      </c>
      <c r="U163" s="3" t="s">
        <v>271</v>
      </c>
      <c r="V163" s="9" t="n">
        <f aca="false">IFERROR(S163/T163,"")</f>
        <v>1027.17584391952</v>
      </c>
      <c r="W163" s="10"/>
      <c r="X163" s="9" t="str">
        <f aca="false">IF(W163="","",IFERROR(INDEX($V$1:$V$178,MATCH(W163,$A$1:$A$178,0)),""))</f>
        <v/>
      </c>
      <c r="Y163" s="8" t="str">
        <f aca="false">IF(OR(X163="",V163=""),"",V163/X163)</f>
        <v/>
      </c>
      <c r="Z163" s="10"/>
      <c r="AA163" s="9" t="str">
        <f aca="false">IF(Z163="","",IFERROR(INDEX($V$1:$V$178,MATCH(Z163,$A$1:$A$178,0)),""))</f>
        <v/>
      </c>
      <c r="AB163" s="8" t="str">
        <f aca="false">IF(OR(AA163="",V163=""),"",V163/AA163)</f>
        <v/>
      </c>
      <c r="AC163" s="3" t="s">
        <v>940</v>
      </c>
      <c r="AD163" s="3" t="s">
        <v>941</v>
      </c>
      <c r="AE163" s="10" t="s">
        <v>275</v>
      </c>
      <c r="AF163" s="7" t="s">
        <v>401</v>
      </c>
      <c r="AG163" s="3" t="s">
        <v>1038</v>
      </c>
    </row>
    <row r="164" customFormat="false" ht="35.05" hidden="false" customHeight="false" outlineLevel="0" collapsed="false">
      <c r="A164" s="13" t="s">
        <v>744</v>
      </c>
      <c r="B164" s="3" t="s">
        <v>60</v>
      </c>
      <c r="C164" s="3" t="s">
        <v>1032</v>
      </c>
      <c r="D164" s="3" t="s">
        <v>934</v>
      </c>
      <c r="E164" s="3" t="s">
        <v>1045</v>
      </c>
      <c r="F164" s="3" t="s">
        <v>1046</v>
      </c>
      <c r="G164" s="3" t="s">
        <v>1035</v>
      </c>
      <c r="H164" s="3" t="s">
        <v>1036</v>
      </c>
      <c r="I164" s="3" t="s">
        <v>1037</v>
      </c>
      <c r="J164" s="16" t="n">
        <f aca="false">INDEX(Cours_periodes!$E$1:$E$400,MATCH("coton:2021-08:2022-07",Cours_periodes!$A$1:$A$400,0))</f>
        <v>2.91156825</v>
      </c>
      <c r="K164" s="10" t="s">
        <v>491</v>
      </c>
      <c r="L164" s="10" t="s">
        <v>268</v>
      </c>
      <c r="M164" s="15" t="n">
        <v>1</v>
      </c>
      <c r="N164" s="10" t="s">
        <v>743</v>
      </c>
      <c r="O164" s="16" t="n">
        <f aca="false">IF(K164="USD",1,INDEX(Change_periodes!$D$1:$N$400,MATCH($N164,Change_periodes!$A$1:$A$400,0),MATCH($K164,Change_periodes!$D$1:$N$1,0)))</f>
        <v>1</v>
      </c>
      <c r="P164" s="3" t="s">
        <v>87</v>
      </c>
      <c r="Q164" s="17" t="n">
        <f aca="false">INDEX(Change_periodes!$D$1:$D$400,MATCH($N164,Change_periodes!$A$1:$A$400,0))</f>
        <v>589.998197165481</v>
      </c>
      <c r="R164" s="18" t="n">
        <f aca="false">IFERROR(J164/M164/O164,"")</f>
        <v>2.91156825</v>
      </c>
      <c r="S164" s="9" t="n">
        <f aca="false">IFERROR(R164*Q164,"")</f>
        <v>1717.82001842425</v>
      </c>
      <c r="T164" s="19" t="n">
        <v>1</v>
      </c>
      <c r="U164" s="3" t="s">
        <v>271</v>
      </c>
      <c r="V164" s="9" t="n">
        <f aca="false">IFERROR(S164/T164,"")</f>
        <v>1717.82001842425</v>
      </c>
      <c r="W164" s="10"/>
      <c r="X164" s="9" t="str">
        <f aca="false">IF(W164="","",IFERROR(INDEX($V$1:$V$178,MATCH(W164,$A$1:$A$178,0)),""))</f>
        <v/>
      </c>
      <c r="Y164" s="8" t="str">
        <f aca="false">IF(OR(X164="",V164=""),"",V164/X164)</f>
        <v/>
      </c>
      <c r="Z164" s="10"/>
      <c r="AA164" s="9" t="str">
        <f aca="false">IF(Z164="","",IFERROR(INDEX($V$1:$V$178,MATCH(Z164,$A$1:$A$178,0)),""))</f>
        <v/>
      </c>
      <c r="AB164" s="8" t="str">
        <f aca="false">IF(OR(AA164="",V164=""),"",V164/AA164)</f>
        <v/>
      </c>
      <c r="AC164" s="3" t="s">
        <v>940</v>
      </c>
      <c r="AD164" s="3" t="s">
        <v>941</v>
      </c>
      <c r="AE164" s="10" t="s">
        <v>275</v>
      </c>
      <c r="AF164" s="7" t="s">
        <v>401</v>
      </c>
      <c r="AG164" s="3" t="s">
        <v>1038</v>
      </c>
    </row>
    <row r="165" customFormat="false" ht="35.05" hidden="false" customHeight="false" outlineLevel="0" collapsed="false">
      <c r="A165" s="13" t="s">
        <v>747</v>
      </c>
      <c r="B165" s="3" t="s">
        <v>60</v>
      </c>
      <c r="C165" s="3" t="s">
        <v>1032</v>
      </c>
      <c r="D165" s="3" t="s">
        <v>934</v>
      </c>
      <c r="E165" s="3" t="s">
        <v>1047</v>
      </c>
      <c r="F165" s="3" t="s">
        <v>1048</v>
      </c>
      <c r="G165" s="3" t="s">
        <v>1035</v>
      </c>
      <c r="H165" s="3" t="s">
        <v>1036</v>
      </c>
      <c r="I165" s="3" t="s">
        <v>1037</v>
      </c>
      <c r="J165" s="16" t="n">
        <f aca="false">INDEX(Cours_periodes!$E$1:$E$400,MATCH("coton:2022-08:2023-07",Cours_periodes!$A$1:$A$400,0))</f>
        <v>2.22933</v>
      </c>
      <c r="K165" s="10" t="s">
        <v>491</v>
      </c>
      <c r="L165" s="10" t="s">
        <v>268</v>
      </c>
      <c r="M165" s="15" t="n">
        <v>1</v>
      </c>
      <c r="N165" s="10" t="s">
        <v>746</v>
      </c>
      <c r="O165" s="16" t="n">
        <f aca="false">IF(K165="USD",1,INDEX(Change_periodes!$D$1:$N$400,MATCH($N165,Change_periodes!$A$1:$A$400,0),MATCH($K165,Change_periodes!$D$1:$N$1,0)))</f>
        <v>1</v>
      </c>
      <c r="P165" s="3" t="s">
        <v>87</v>
      </c>
      <c r="Q165" s="17" t="n">
        <f aca="false">INDEX(Change_periodes!$D$1:$D$400,MATCH($N165,Change_periodes!$A$1:$A$400,0))</f>
        <v>622.838818466442</v>
      </c>
      <c r="R165" s="18" t="n">
        <f aca="false">IFERROR(J165/M165/O165,"")</f>
        <v>2.22933</v>
      </c>
      <c r="S165" s="9" t="n">
        <f aca="false">IFERROR(R165*Q165,"")</f>
        <v>1388.51326317179</v>
      </c>
      <c r="T165" s="19" t="n">
        <v>1</v>
      </c>
      <c r="U165" s="3" t="s">
        <v>271</v>
      </c>
      <c r="V165" s="9" t="n">
        <f aca="false">IFERROR(S165/T165,"")</f>
        <v>1388.51326317179</v>
      </c>
      <c r="W165" s="10"/>
      <c r="X165" s="9" t="str">
        <f aca="false">IF(W165="","",IFERROR(INDEX($V$1:$V$178,MATCH(W165,$A$1:$A$178,0)),""))</f>
        <v/>
      </c>
      <c r="Y165" s="8" t="str">
        <f aca="false">IF(OR(X165="",V165=""),"",V165/X165)</f>
        <v/>
      </c>
      <c r="Z165" s="10"/>
      <c r="AA165" s="9" t="str">
        <f aca="false">IF(Z165="","",IFERROR(INDEX($V$1:$V$178,MATCH(Z165,$A$1:$A$178,0)),""))</f>
        <v/>
      </c>
      <c r="AB165" s="8" t="str">
        <f aca="false">IF(OR(AA165="",V165=""),"",V165/AA165)</f>
        <v/>
      </c>
      <c r="AC165" s="3" t="s">
        <v>940</v>
      </c>
      <c r="AD165" s="3" t="s">
        <v>941</v>
      </c>
      <c r="AE165" s="10" t="s">
        <v>275</v>
      </c>
      <c r="AF165" s="7" t="s">
        <v>401</v>
      </c>
      <c r="AG165" s="3" t="s">
        <v>1038</v>
      </c>
    </row>
    <row r="166" customFormat="false" ht="35.05" hidden="false" customHeight="false" outlineLevel="0" collapsed="false">
      <c r="A166" s="13" t="s">
        <v>752</v>
      </c>
      <c r="B166" s="3" t="s">
        <v>60</v>
      </c>
      <c r="C166" s="3" t="s">
        <v>1032</v>
      </c>
      <c r="D166" s="3" t="s">
        <v>934</v>
      </c>
      <c r="E166" s="3" t="s">
        <v>1049</v>
      </c>
      <c r="F166" s="3" t="s">
        <v>1050</v>
      </c>
      <c r="G166" s="3" t="s">
        <v>1035</v>
      </c>
      <c r="H166" s="3" t="s">
        <v>1036</v>
      </c>
      <c r="I166" s="3" t="s">
        <v>1037</v>
      </c>
      <c r="J166" s="16" t="n">
        <f aca="false">INDEX(Cours_periodes!$E$1:$E$400,MATCH("coton:2023-08:2024-07",Cours_periodes!$A$1:$A$400,0))</f>
        <v>2.02644991666667</v>
      </c>
      <c r="K166" s="10" t="s">
        <v>491</v>
      </c>
      <c r="L166" s="10" t="s">
        <v>268</v>
      </c>
      <c r="M166" s="15" t="n">
        <v>1</v>
      </c>
      <c r="N166" s="10" t="s">
        <v>751</v>
      </c>
      <c r="O166" s="16" t="n">
        <f aca="false">IF(K166="USD",1,INDEX(Change_periodes!$D$1:$N$400,MATCH($N166,Change_periodes!$A$1:$A$400,0),MATCH($K166,Change_periodes!$D$1:$N$1,0)))</f>
        <v>1</v>
      </c>
      <c r="P166" s="3" t="s">
        <v>87</v>
      </c>
      <c r="Q166" s="17" t="n">
        <f aca="false">INDEX(Change_periodes!$D$1:$D$400,MATCH($N166,Change_periodes!$A$1:$A$400,0))</f>
        <v>607.505186986435</v>
      </c>
      <c r="R166" s="18" t="n">
        <f aca="false">IFERROR(J166/M166/O166,"")</f>
        <v>2.02644991666667</v>
      </c>
      <c r="S166" s="9" t="n">
        <f aca="false">IFERROR(R166*Q166,"")</f>
        <v>1231.07883554323</v>
      </c>
      <c r="T166" s="19" t="n">
        <v>1</v>
      </c>
      <c r="U166" s="3" t="s">
        <v>271</v>
      </c>
      <c r="V166" s="9" t="n">
        <f aca="false">IFERROR(S166/T166,"")</f>
        <v>1231.07883554323</v>
      </c>
      <c r="W166" s="10"/>
      <c r="X166" s="9" t="str">
        <f aca="false">IF(W166="","",IFERROR(INDEX($V$1:$V$178,MATCH(W166,$A$1:$A$178,0)),""))</f>
        <v/>
      </c>
      <c r="Y166" s="8" t="str">
        <f aca="false">IF(OR(X166="",V166=""),"",V166/X166)</f>
        <v/>
      </c>
      <c r="Z166" s="10"/>
      <c r="AA166" s="9" t="str">
        <f aca="false">IF(Z166="","",IFERROR(INDEX($V$1:$V$178,MATCH(Z166,$A$1:$A$178,0)),""))</f>
        <v/>
      </c>
      <c r="AB166" s="8" t="str">
        <f aca="false">IF(OR(AA166="",V166=""),"",V166/AA166)</f>
        <v/>
      </c>
      <c r="AC166" s="3" t="s">
        <v>940</v>
      </c>
      <c r="AD166" s="3" t="s">
        <v>941</v>
      </c>
      <c r="AE166" s="10" t="s">
        <v>275</v>
      </c>
      <c r="AF166" s="7" t="s">
        <v>401</v>
      </c>
      <c r="AG166" s="3" t="s">
        <v>1038</v>
      </c>
    </row>
    <row r="167" customFormat="false" ht="35.05" hidden="false" customHeight="false" outlineLevel="0" collapsed="false">
      <c r="A167" s="13" t="s">
        <v>757</v>
      </c>
      <c r="B167" s="3" t="s">
        <v>60</v>
      </c>
      <c r="C167" s="3" t="s">
        <v>1032</v>
      </c>
      <c r="D167" s="3" t="s">
        <v>934</v>
      </c>
      <c r="E167" s="3" t="s">
        <v>1051</v>
      </c>
      <c r="F167" s="3" t="s">
        <v>1052</v>
      </c>
      <c r="G167" s="3" t="s">
        <v>1035</v>
      </c>
      <c r="H167" s="3" t="s">
        <v>1036</v>
      </c>
      <c r="I167" s="3" t="s">
        <v>1037</v>
      </c>
      <c r="J167" s="16" t="n">
        <f aca="false">INDEX(Cours_periodes!$E$1:$E$400,MATCH("coton:2024-08:2025-07",Cours_periodes!$A$1:$A$400,0))</f>
        <v>1.75423458333333</v>
      </c>
      <c r="K167" s="10" t="s">
        <v>491</v>
      </c>
      <c r="L167" s="10" t="s">
        <v>268</v>
      </c>
      <c r="M167" s="15" t="n">
        <v>1</v>
      </c>
      <c r="N167" s="10" t="s">
        <v>756</v>
      </c>
      <c r="O167" s="16" t="n">
        <f aca="false">IF(K167="USD",1,INDEX(Change_periodes!$D$1:$N$400,MATCH($N167,Change_periodes!$A$1:$A$400,0),MATCH($K167,Change_periodes!$D$1:$N$1,0)))</f>
        <v>1</v>
      </c>
      <c r="P167" s="3" t="s">
        <v>87</v>
      </c>
      <c r="Q167" s="17" t="n">
        <f aca="false">INDEX(Change_periodes!$D$1:$D$400,MATCH($N167,Change_periodes!$A$1:$A$400,0))</f>
        <v>599.944927889257</v>
      </c>
      <c r="R167" s="18" t="n">
        <f aca="false">IFERROR(J167/M167/O167,"")</f>
        <v>1.75423458333333</v>
      </c>
      <c r="S167" s="9" t="n">
        <f aca="false">IFERROR(R167*Q167,"")</f>
        <v>1052.44414059876</v>
      </c>
      <c r="T167" s="19" t="n">
        <v>1</v>
      </c>
      <c r="U167" s="3" t="s">
        <v>271</v>
      </c>
      <c r="V167" s="9" t="n">
        <f aca="false">IFERROR(S167/T167,"")</f>
        <v>1052.44414059876</v>
      </c>
      <c r="W167" s="10"/>
      <c r="X167" s="9" t="str">
        <f aca="false">IF(W167="","",IFERROR(INDEX($V$1:$V$178,MATCH(W167,$A$1:$A$178,0)),""))</f>
        <v/>
      </c>
      <c r="Y167" s="8" t="str">
        <f aca="false">IF(OR(X167="",V167=""),"",V167/X167)</f>
        <v/>
      </c>
      <c r="Z167" s="10"/>
      <c r="AA167" s="9" t="str">
        <f aca="false">IF(Z167="","",IFERROR(INDEX($V$1:$V$178,MATCH(Z167,$A$1:$A$178,0)),""))</f>
        <v/>
      </c>
      <c r="AB167" s="8" t="str">
        <f aca="false">IF(OR(AA167="",V167=""),"",V167/AA167)</f>
        <v/>
      </c>
      <c r="AC167" s="3" t="s">
        <v>940</v>
      </c>
      <c r="AD167" s="3" t="s">
        <v>941</v>
      </c>
      <c r="AE167" s="10" t="s">
        <v>275</v>
      </c>
      <c r="AF167" s="7" t="s">
        <v>401</v>
      </c>
      <c r="AG167" s="3" t="s">
        <v>1038</v>
      </c>
    </row>
    <row r="168" customFormat="false" ht="35.05" hidden="false" customHeight="false" outlineLevel="0" collapsed="false">
      <c r="A168" s="13" t="s">
        <v>761</v>
      </c>
      <c r="B168" s="3" t="s">
        <v>60</v>
      </c>
      <c r="C168" s="3" t="s">
        <v>1032</v>
      </c>
      <c r="D168" s="3" t="s">
        <v>934</v>
      </c>
      <c r="E168" s="3" t="s">
        <v>1053</v>
      </c>
      <c r="F168" s="3" t="s">
        <v>1054</v>
      </c>
      <c r="G168" s="3" t="s">
        <v>1035</v>
      </c>
      <c r="H168" s="3" t="s">
        <v>1036</v>
      </c>
      <c r="I168" s="3" t="s">
        <v>1037</v>
      </c>
      <c r="J168" s="16" t="n">
        <f aca="false">INDEX(Cours_periodes!$E$1:$E$400,MATCH("coton:2025-08:2026-01",Cours_periodes!$A$1:$A$400,0))</f>
        <v>1.67628266666667</v>
      </c>
      <c r="K168" s="10" t="s">
        <v>491</v>
      </c>
      <c r="L168" s="10" t="s">
        <v>268</v>
      </c>
      <c r="M168" s="15" t="n">
        <v>1</v>
      </c>
      <c r="N168" s="10" t="s">
        <v>1055</v>
      </c>
      <c r="O168" s="16" t="n">
        <f aca="false">IF(K168="USD",1,INDEX(Change_periodes!$D$1:$N$400,MATCH($N168,Change_periodes!$A$1:$A$400,0),MATCH($K168,Change_periodes!$D$1:$N$1,0)))</f>
        <v>1</v>
      </c>
      <c r="P168" s="3" t="s">
        <v>87</v>
      </c>
      <c r="Q168" s="17" t="n">
        <f aca="false">INDEX(Change_periodes!$D$1:$D$400,MATCH($N168,Change_periodes!$A$1:$A$400,0))</f>
        <v>562.256198125453</v>
      </c>
      <c r="R168" s="18" t="n">
        <f aca="false">IFERROR(J168/M168/O168,"")</f>
        <v>1.67628266666667</v>
      </c>
      <c r="S168" s="9" t="n">
        <f aca="false">IFERROR(R168*Q168,"")</f>
        <v>942.500319143597</v>
      </c>
      <c r="T168" s="19" t="n">
        <v>1</v>
      </c>
      <c r="U168" s="3" t="s">
        <v>271</v>
      </c>
      <c r="V168" s="9" t="n">
        <f aca="false">IFERROR(S168/T168,"")</f>
        <v>942.500319143597</v>
      </c>
      <c r="W168" s="10"/>
      <c r="X168" s="9" t="str">
        <f aca="false">IF(W168="","",IFERROR(INDEX($V$1:$V$178,MATCH(W168,$A$1:$A$178,0)),""))</f>
        <v/>
      </c>
      <c r="Y168" s="8" t="str">
        <f aca="false">IF(OR(X168="",V168=""),"",V168/X168)</f>
        <v/>
      </c>
      <c r="Z168" s="10"/>
      <c r="AA168" s="9" t="str">
        <f aca="false">IF(Z168="","",IFERROR(INDEX($V$1:$V$178,MATCH(Z168,$A$1:$A$178,0)),""))</f>
        <v/>
      </c>
      <c r="AB168" s="8" t="str">
        <f aca="false">IF(OR(AA168="",V168=""),"",V168/AA168)</f>
        <v/>
      </c>
      <c r="AC168" s="3" t="s">
        <v>940</v>
      </c>
      <c r="AD168" s="3" t="s">
        <v>941</v>
      </c>
      <c r="AE168" s="10" t="s">
        <v>275</v>
      </c>
      <c r="AF168" s="7" t="s">
        <v>401</v>
      </c>
      <c r="AG168" s="3" t="s">
        <v>1056</v>
      </c>
    </row>
    <row r="169" customFormat="false" ht="35.05" hidden="false" customHeight="false" outlineLevel="0" collapsed="false">
      <c r="A169" s="13" t="s">
        <v>796</v>
      </c>
      <c r="B169" s="3" t="s">
        <v>64</v>
      </c>
      <c r="C169" s="3" t="s">
        <v>1057</v>
      </c>
      <c r="D169" s="3" t="s">
        <v>934</v>
      </c>
      <c r="E169" s="3" t="s">
        <v>1058</v>
      </c>
      <c r="F169" s="3" t="s">
        <v>1059</v>
      </c>
      <c r="G169" s="3" t="s">
        <v>1060</v>
      </c>
      <c r="H169" s="3" t="s">
        <v>1061</v>
      </c>
      <c r="I169" s="3" t="s">
        <v>1062</v>
      </c>
      <c r="J169" s="16" t="n">
        <f aca="false">INDEX(Cours_periodes!$E$1:$E$400,MATCH("tsr20:2024-12:2024-12",Cours_periodes!$A$1:$A$400,0))</f>
        <v>1.9937</v>
      </c>
      <c r="K169" s="10" t="s">
        <v>491</v>
      </c>
      <c r="L169" s="10" t="s">
        <v>268</v>
      </c>
      <c r="M169" s="15" t="n">
        <v>1</v>
      </c>
      <c r="N169" s="10" t="s">
        <v>794</v>
      </c>
      <c r="O169" s="16" t="n">
        <f aca="false">IF(K169="USD",1,INDEX(Change_periodes!$D$1:$N$400,MATCH($N169,Change_periodes!$A$1:$A$400,0),MATCH($K169,Change_periodes!$D$1:$N$1,0)))</f>
        <v>1</v>
      </c>
      <c r="P169" s="3" t="s">
        <v>87</v>
      </c>
      <c r="Q169" s="17" t="n">
        <f aca="false">INDEX(Change_periodes!$D$1:$D$400,MATCH($N169,Change_periodes!$A$1:$A$400,0))</f>
        <v>625.987832518192</v>
      </c>
      <c r="R169" s="18" t="n">
        <f aca="false">IFERROR(J169/M169/O169,"")</f>
        <v>1.9937</v>
      </c>
      <c r="S169" s="9" t="n">
        <f aca="false">IFERROR(R169*Q169,"")</f>
        <v>1248.03194169152</v>
      </c>
      <c r="T169" s="19" t="n">
        <v>1</v>
      </c>
      <c r="U169" s="3" t="s">
        <v>271</v>
      </c>
      <c r="V169" s="9" t="n">
        <f aca="false">IFERROR(S169/T169,"")</f>
        <v>1248.03194169152</v>
      </c>
      <c r="W169" s="10"/>
      <c r="X169" s="9" t="str">
        <f aca="false">IF(W169="","",IFERROR(INDEX($V$1:$V$178,MATCH(W169,$A$1:$A$178,0)),""))</f>
        <v/>
      </c>
      <c r="Y169" s="8" t="str">
        <f aca="false">IF(OR(X169="",V169=""),"",V169/X169)</f>
        <v/>
      </c>
      <c r="Z169" s="10"/>
      <c r="AA169" s="9" t="str">
        <f aca="false">IF(Z169="","",IFERROR(INDEX($V$1:$V$178,MATCH(Z169,$A$1:$A$178,0)),""))</f>
        <v/>
      </c>
      <c r="AB169" s="8" t="str">
        <f aca="false">IF(OR(AA169="",V169=""),"",V169/AA169)</f>
        <v/>
      </c>
      <c r="AC169" s="3" t="s">
        <v>940</v>
      </c>
      <c r="AD169" s="3" t="s">
        <v>941</v>
      </c>
      <c r="AE169" s="10" t="s">
        <v>275</v>
      </c>
      <c r="AF169" s="7" t="s">
        <v>401</v>
      </c>
      <c r="AG169" s="3"/>
    </row>
    <row r="170" customFormat="false" ht="35.05" hidden="false" customHeight="false" outlineLevel="0" collapsed="false">
      <c r="A170" s="13" t="s">
        <v>802</v>
      </c>
      <c r="B170" s="3" t="s">
        <v>64</v>
      </c>
      <c r="C170" s="3" t="s">
        <v>1057</v>
      </c>
      <c r="D170" s="3" t="s">
        <v>934</v>
      </c>
      <c r="E170" s="3" t="s">
        <v>1063</v>
      </c>
      <c r="F170" s="3" t="s">
        <v>1064</v>
      </c>
      <c r="G170" s="3" t="s">
        <v>1060</v>
      </c>
      <c r="H170" s="3" t="s">
        <v>1061</v>
      </c>
      <c r="I170" s="3" t="s">
        <v>1062</v>
      </c>
      <c r="J170" s="16" t="n">
        <f aca="false">INDEX(Cours_periodes!$E$1:$E$400,MATCH("tsr20:2025-03:2025-03",Cours_periodes!$A$1:$A$400,0))</f>
        <v>1.9816</v>
      </c>
      <c r="K170" s="10" t="s">
        <v>491</v>
      </c>
      <c r="L170" s="10" t="s">
        <v>268</v>
      </c>
      <c r="M170" s="15" t="n">
        <v>1</v>
      </c>
      <c r="N170" s="10" t="s">
        <v>801</v>
      </c>
      <c r="O170" s="16" t="n">
        <f aca="false">IF(K170="USD",1,INDEX(Change_periodes!$D$1:$N$400,MATCH($N170,Change_periodes!$A$1:$A$400,0),MATCH($K170,Change_periodes!$D$1:$N$1,0)))</f>
        <v>1</v>
      </c>
      <c r="P170" s="3" t="s">
        <v>87</v>
      </c>
      <c r="Q170" s="17" t="n">
        <f aca="false">INDEX(Change_periodes!$D$1:$D$400,MATCH($N170,Change_periodes!$A$1:$A$400,0))</f>
        <v>606.984854920185</v>
      </c>
      <c r="R170" s="18" t="n">
        <f aca="false">IFERROR(J170/M170/O170,"")</f>
        <v>1.9816</v>
      </c>
      <c r="S170" s="9" t="n">
        <f aca="false">IFERROR(R170*Q170,"")</f>
        <v>1202.80118850984</v>
      </c>
      <c r="T170" s="19" t="n">
        <v>1</v>
      </c>
      <c r="U170" s="3" t="s">
        <v>271</v>
      </c>
      <c r="V170" s="9" t="n">
        <f aca="false">IFERROR(S170/T170,"")</f>
        <v>1202.80118850984</v>
      </c>
      <c r="W170" s="10"/>
      <c r="X170" s="9" t="str">
        <f aca="false">IF(W170="","",IFERROR(INDEX($V$1:$V$178,MATCH(W170,$A$1:$A$178,0)),""))</f>
        <v/>
      </c>
      <c r="Y170" s="8" t="str">
        <f aca="false">IF(OR(X170="",V170=""),"",V170/X170)</f>
        <v/>
      </c>
      <c r="Z170" s="10"/>
      <c r="AA170" s="9" t="str">
        <f aca="false">IF(Z170="","",IFERROR(INDEX($V$1:$V$178,MATCH(Z170,$A$1:$A$178,0)),""))</f>
        <v/>
      </c>
      <c r="AB170" s="8" t="str">
        <f aca="false">IF(OR(AA170="",V170=""),"",V170/AA170)</f>
        <v/>
      </c>
      <c r="AC170" s="3" t="s">
        <v>940</v>
      </c>
      <c r="AD170" s="3" t="s">
        <v>941</v>
      </c>
      <c r="AE170" s="10" t="s">
        <v>275</v>
      </c>
      <c r="AF170" s="7" t="s">
        <v>401</v>
      </c>
      <c r="AG170" s="3"/>
    </row>
    <row r="171" customFormat="false" ht="35.05" hidden="false" customHeight="false" outlineLevel="0" collapsed="false">
      <c r="A171" s="13" t="s">
        <v>833</v>
      </c>
      <c r="B171" s="3" t="s">
        <v>64</v>
      </c>
      <c r="C171" s="3" t="s">
        <v>1057</v>
      </c>
      <c r="D171" s="3" t="s">
        <v>934</v>
      </c>
      <c r="E171" s="3" t="s">
        <v>1065</v>
      </c>
      <c r="F171" s="3" t="s">
        <v>1066</v>
      </c>
      <c r="G171" s="3" t="s">
        <v>1060</v>
      </c>
      <c r="H171" s="3" t="s">
        <v>1061</v>
      </c>
      <c r="I171" s="3" t="s">
        <v>1062</v>
      </c>
      <c r="J171" s="16" t="n">
        <f aca="false">INDEX(Cours_periodes!$E$1:$E$400,MATCH("tsr20:2025-04:2025-04",Cours_periodes!$A$1:$A$400,0))</f>
        <v>1.7065</v>
      </c>
      <c r="K171" s="10" t="s">
        <v>491</v>
      </c>
      <c r="L171" s="10" t="s">
        <v>268</v>
      </c>
      <c r="M171" s="15" t="n">
        <v>1</v>
      </c>
      <c r="N171" s="10" t="s">
        <v>831</v>
      </c>
      <c r="O171" s="16" t="n">
        <f aca="false">IF(K171="USD",1,INDEX(Change_periodes!$D$1:$N$400,MATCH($N171,Change_periodes!$A$1:$A$400,0),MATCH($K171,Change_periodes!$D$1:$N$1,0)))</f>
        <v>1</v>
      </c>
      <c r="P171" s="3" t="s">
        <v>87</v>
      </c>
      <c r="Q171" s="17" t="n">
        <f aca="false">INDEX(Change_periodes!$D$1:$D$400,MATCH($N171,Change_periodes!$A$1:$A$400,0))</f>
        <v>584.947320079009</v>
      </c>
      <c r="R171" s="18" t="n">
        <f aca="false">IFERROR(J171/M171/O171,"")</f>
        <v>1.7065</v>
      </c>
      <c r="S171" s="9" t="n">
        <f aca="false">IFERROR(R171*Q171,"")</f>
        <v>998.212601714829</v>
      </c>
      <c r="T171" s="19" t="n">
        <v>1</v>
      </c>
      <c r="U171" s="3" t="s">
        <v>271</v>
      </c>
      <c r="V171" s="9" t="n">
        <f aca="false">IFERROR(S171/T171,"")</f>
        <v>998.212601714829</v>
      </c>
      <c r="W171" s="10"/>
      <c r="X171" s="9" t="str">
        <f aca="false">IF(W171="","",IFERROR(INDEX($V$1:$V$178,MATCH(W171,$A$1:$A$178,0)),""))</f>
        <v/>
      </c>
      <c r="Y171" s="8" t="str">
        <f aca="false">IF(OR(X171="",V171=""),"",V171/X171)</f>
        <v/>
      </c>
      <c r="Z171" s="10"/>
      <c r="AA171" s="9" t="str">
        <f aca="false">IF(Z171="","",IFERROR(INDEX($V$1:$V$178,MATCH(Z171,$A$1:$A$178,0)),""))</f>
        <v/>
      </c>
      <c r="AB171" s="8" t="str">
        <f aca="false">IF(OR(AA171="",V171=""),"",V171/AA171)</f>
        <v/>
      </c>
      <c r="AC171" s="3" t="s">
        <v>940</v>
      </c>
      <c r="AD171" s="3" t="s">
        <v>941</v>
      </c>
      <c r="AE171" s="10" t="s">
        <v>275</v>
      </c>
      <c r="AF171" s="7" t="s">
        <v>401</v>
      </c>
      <c r="AG171" s="3"/>
    </row>
    <row r="172" customFormat="false" ht="35.05" hidden="false" customHeight="false" outlineLevel="0" collapsed="false">
      <c r="A172" s="13" t="s">
        <v>808</v>
      </c>
      <c r="B172" s="3" t="s">
        <v>64</v>
      </c>
      <c r="C172" s="3" t="s">
        <v>1057</v>
      </c>
      <c r="D172" s="3" t="s">
        <v>934</v>
      </c>
      <c r="E172" s="3" t="s">
        <v>1067</v>
      </c>
      <c r="F172" s="3" t="s">
        <v>1068</v>
      </c>
      <c r="G172" s="3" t="s">
        <v>1060</v>
      </c>
      <c r="H172" s="3" t="s">
        <v>1061</v>
      </c>
      <c r="I172" s="3" t="s">
        <v>1062</v>
      </c>
      <c r="J172" s="16" t="n">
        <f aca="false">INDEX(Cours_periodes!$E$1:$E$400,MATCH("tsr20:2025-12:2025-12",Cours_periodes!$A$1:$A$400,0))</f>
        <v>1.7401</v>
      </c>
      <c r="K172" s="10" t="s">
        <v>491</v>
      </c>
      <c r="L172" s="10" t="s">
        <v>268</v>
      </c>
      <c r="M172" s="15" t="n">
        <v>1</v>
      </c>
      <c r="N172" s="10" t="s">
        <v>807</v>
      </c>
      <c r="O172" s="16" t="n">
        <f aca="false">IF(K172="USD",1,INDEX(Change_periodes!$D$1:$N$400,MATCH($N172,Change_periodes!$A$1:$A$400,0),MATCH($K172,Change_periodes!$D$1:$N$1,0)))</f>
        <v>1</v>
      </c>
      <c r="P172" s="3" t="s">
        <v>87</v>
      </c>
      <c r="Q172" s="17" t="n">
        <f aca="false">INDEX(Change_periodes!$D$1:$D$400,MATCH($N172,Change_periodes!$A$1:$A$400,0))</f>
        <v>560.229948474256</v>
      </c>
      <c r="R172" s="18" t="n">
        <f aca="false">IFERROR(J172/M172/O172,"")</f>
        <v>1.7401</v>
      </c>
      <c r="S172" s="9" t="n">
        <f aca="false">IFERROR(R172*Q172,"")</f>
        <v>974.856133340052</v>
      </c>
      <c r="T172" s="19" t="n">
        <v>1</v>
      </c>
      <c r="U172" s="3" t="s">
        <v>271</v>
      </c>
      <c r="V172" s="9" t="n">
        <f aca="false">IFERROR(S172/T172,"")</f>
        <v>974.856133340052</v>
      </c>
      <c r="W172" s="10"/>
      <c r="X172" s="9" t="str">
        <f aca="false">IF(W172="","",IFERROR(INDEX($V$1:$V$178,MATCH(W172,$A$1:$A$178,0)),""))</f>
        <v/>
      </c>
      <c r="Y172" s="8" t="str">
        <f aca="false">IF(OR(X172="",V172=""),"",V172/X172)</f>
        <v/>
      </c>
      <c r="Z172" s="10"/>
      <c r="AA172" s="9" t="str">
        <f aca="false">IF(Z172="","",IFERROR(INDEX($V$1:$V$178,MATCH(Z172,$A$1:$A$178,0)),""))</f>
        <v/>
      </c>
      <c r="AB172" s="8" t="str">
        <f aca="false">IF(OR(AA172="",V172=""),"",V172/AA172)</f>
        <v/>
      </c>
      <c r="AC172" s="3" t="s">
        <v>940</v>
      </c>
      <c r="AD172" s="3" t="s">
        <v>941</v>
      </c>
      <c r="AE172" s="10" t="s">
        <v>275</v>
      </c>
      <c r="AF172" s="7" t="s">
        <v>401</v>
      </c>
      <c r="AG172" s="3"/>
    </row>
    <row r="173" customFormat="false" ht="35.05" hidden="false" customHeight="false" outlineLevel="0" collapsed="false">
      <c r="A173" s="13" t="s">
        <v>813</v>
      </c>
      <c r="B173" s="3" t="s">
        <v>64</v>
      </c>
      <c r="C173" s="3" t="s">
        <v>1057</v>
      </c>
      <c r="D173" s="3" t="s">
        <v>934</v>
      </c>
      <c r="E173" s="3" t="s">
        <v>983</v>
      </c>
      <c r="F173" s="3" t="s">
        <v>984</v>
      </c>
      <c r="G173" s="3" t="s">
        <v>1060</v>
      </c>
      <c r="H173" s="3" t="s">
        <v>1061</v>
      </c>
      <c r="I173" s="3" t="s">
        <v>1062</v>
      </c>
      <c r="J173" s="16" t="n">
        <f aca="false">INDEX(Cours_periodes!$E$1:$E$400,MATCH("tsr20:2026-01:2026-01",Cours_periodes!$A$1:$A$400,0))</f>
        <v>1.8431</v>
      </c>
      <c r="K173" s="10" t="s">
        <v>491</v>
      </c>
      <c r="L173" s="10" t="s">
        <v>268</v>
      </c>
      <c r="M173" s="15" t="n">
        <v>1</v>
      </c>
      <c r="N173" s="10" t="s">
        <v>493</v>
      </c>
      <c r="O173" s="16" t="n">
        <f aca="false">IF(K173="USD",1,INDEX(Change_periodes!$D$1:$N$400,MATCH($N173,Change_periodes!$A$1:$A$400,0),MATCH($K173,Change_periodes!$D$1:$N$1,0)))</f>
        <v>1</v>
      </c>
      <c r="P173" s="3" t="s">
        <v>87</v>
      </c>
      <c r="Q173" s="17" t="n">
        <f aca="false">INDEX(Change_periodes!$D$1:$D$400,MATCH($N173,Change_periodes!$A$1:$A$400,0))</f>
        <v>558.820572760482</v>
      </c>
      <c r="R173" s="18" t="n">
        <f aca="false">IFERROR(J173/M173/O173,"")</f>
        <v>1.8431</v>
      </c>
      <c r="S173" s="9" t="n">
        <f aca="false">IFERROR(R173*Q173,"")</f>
        <v>1029.96219765484</v>
      </c>
      <c r="T173" s="19" t="n">
        <v>1</v>
      </c>
      <c r="U173" s="3" t="s">
        <v>271</v>
      </c>
      <c r="V173" s="9" t="n">
        <f aca="false">IFERROR(S173/T173,"")</f>
        <v>1029.96219765484</v>
      </c>
      <c r="W173" s="10"/>
      <c r="X173" s="9" t="str">
        <f aca="false">IF(W173="","",IFERROR(INDEX($V$1:$V$178,MATCH(W173,$A$1:$A$178,0)),""))</f>
        <v/>
      </c>
      <c r="Y173" s="8" t="str">
        <f aca="false">IF(OR(X173="",V173=""),"",V173/X173)</f>
        <v/>
      </c>
      <c r="Z173" s="10"/>
      <c r="AA173" s="9" t="str">
        <f aca="false">IF(Z173="","",IFERROR(INDEX($V$1:$V$178,MATCH(Z173,$A$1:$A$178,0)),""))</f>
        <v/>
      </c>
      <c r="AB173" s="8" t="str">
        <f aca="false">IF(OR(AA173="",V173=""),"",V173/AA173)</f>
        <v/>
      </c>
      <c r="AC173" s="3" t="s">
        <v>940</v>
      </c>
      <c r="AD173" s="3" t="s">
        <v>941</v>
      </c>
      <c r="AE173" s="10" t="s">
        <v>275</v>
      </c>
      <c r="AF173" s="7" t="s">
        <v>401</v>
      </c>
      <c r="AG173" s="3"/>
    </row>
    <row r="174" customFormat="false" ht="23.85" hidden="false" customHeight="false" outlineLevel="0" collapsed="false">
      <c r="A174" s="13" t="s">
        <v>817</v>
      </c>
      <c r="B174" s="3" t="s">
        <v>64</v>
      </c>
      <c r="C174" s="3" t="s">
        <v>1057</v>
      </c>
      <c r="D174" s="3" t="s">
        <v>934</v>
      </c>
      <c r="E174" s="3" t="s">
        <v>1069</v>
      </c>
      <c r="F174" s="3" t="s">
        <v>1070</v>
      </c>
      <c r="G174" s="3" t="s">
        <v>1060</v>
      </c>
      <c r="H174" s="3" t="s">
        <v>1061</v>
      </c>
      <c r="I174" s="3" t="s">
        <v>1062</v>
      </c>
      <c r="J174" s="16" t="n">
        <f aca="false">INDEX(Cours_periodes!$E$1:$E$400,MATCH("tsr20:2026-03:2026-03",Cours_periodes!$A$1:$A$400,0))</f>
        <v>1.965</v>
      </c>
      <c r="K174" s="10" t="s">
        <v>491</v>
      </c>
      <c r="L174" s="10" t="s">
        <v>268</v>
      </c>
      <c r="M174" s="15" t="n">
        <v>1</v>
      </c>
      <c r="N174" s="10" t="s">
        <v>816</v>
      </c>
      <c r="O174" s="16" t="n">
        <f aca="false">IF(K174="USD",1,INDEX(Change_periodes!$D$1:$N$400,MATCH($N174,Change_periodes!$A$1:$A$400,0),MATCH($K174,Change_periodes!$D$1:$N$1,0)))</f>
        <v>1</v>
      </c>
      <c r="P174" s="3" t="s">
        <v>87</v>
      </c>
      <c r="Q174" s="17" t="n">
        <f aca="false">INDEX(Change_periodes!$D$1:$D$400,MATCH($N174,Change_periodes!$A$1:$A$400,0))</f>
        <v>567.519328068439</v>
      </c>
      <c r="R174" s="18" t="n">
        <f aca="false">IFERROR(J174/M174/O174,"")</f>
        <v>1.965</v>
      </c>
      <c r="S174" s="9" t="n">
        <f aca="false">IFERROR(R174*Q174,"")</f>
        <v>1115.17547965448</v>
      </c>
      <c r="T174" s="19" t="n">
        <v>1</v>
      </c>
      <c r="U174" s="3" t="s">
        <v>271</v>
      </c>
      <c r="V174" s="9" t="n">
        <f aca="false">IFERROR(S174/T174,"")</f>
        <v>1115.17547965448</v>
      </c>
      <c r="W174" s="10"/>
      <c r="X174" s="9" t="str">
        <f aca="false">IF(W174="","",IFERROR(INDEX($V$1:$V$178,MATCH(W174,$A$1:$A$178,0)),""))</f>
        <v/>
      </c>
      <c r="Y174" s="8" t="str">
        <f aca="false">IF(OR(X174="",V174=""),"",V174/X174)</f>
        <v/>
      </c>
      <c r="Z174" s="10"/>
      <c r="AA174" s="9" t="str">
        <f aca="false">IF(Z174="","",IFERROR(INDEX($V$1:$V$178,MATCH(Z174,$A$1:$A$178,0)),""))</f>
        <v/>
      </c>
      <c r="AB174" s="8" t="str">
        <f aca="false">IF(OR(AA174="",V174=""),"",V174/AA174)</f>
        <v/>
      </c>
      <c r="AC174" s="3" t="s">
        <v>1071</v>
      </c>
      <c r="AD174" s="3" t="s">
        <v>1072</v>
      </c>
      <c r="AE174" s="10" t="s">
        <v>275</v>
      </c>
      <c r="AF174" s="7" t="s">
        <v>401</v>
      </c>
      <c r="AG174" s="3"/>
    </row>
    <row r="175" customFormat="false" ht="35.05" hidden="false" customHeight="false" outlineLevel="0" collapsed="false">
      <c r="A175" s="13" t="s">
        <v>851</v>
      </c>
      <c r="B175" s="3" t="s">
        <v>69</v>
      </c>
      <c r="C175" s="3" t="s">
        <v>1073</v>
      </c>
      <c r="D175" s="3" t="s">
        <v>934</v>
      </c>
      <c r="E175" s="3" t="s">
        <v>983</v>
      </c>
      <c r="F175" s="3" t="s">
        <v>984</v>
      </c>
      <c r="G175" s="3" t="s">
        <v>1074</v>
      </c>
      <c r="H175" s="3" t="s">
        <v>1075</v>
      </c>
      <c r="I175" s="3" t="s">
        <v>859</v>
      </c>
      <c r="J175" s="16" t="n">
        <f aca="false">INDEX(Cours_periodes!$E$1:$E$400,MATCH("palme:2026-01:2026-01",Cours_periodes!$A$1:$A$400,0))</f>
        <v>997.82</v>
      </c>
      <c r="K175" s="10" t="s">
        <v>491</v>
      </c>
      <c r="L175" s="10" t="s">
        <v>384</v>
      </c>
      <c r="M175" s="15" t="n">
        <v>1000</v>
      </c>
      <c r="N175" s="10" t="s">
        <v>493</v>
      </c>
      <c r="O175" s="16" t="n">
        <f aca="false">IF(K175="USD",1,INDEX(Change_periodes!$D$1:$N$400,MATCH($N175,Change_periodes!$A$1:$A$400,0),MATCH($K175,Change_periodes!$D$1:$N$1,0)))</f>
        <v>1</v>
      </c>
      <c r="P175" s="3" t="s">
        <v>87</v>
      </c>
      <c r="Q175" s="17" t="n">
        <f aca="false">INDEX(Change_periodes!$D$1:$D$400,MATCH($N175,Change_periodes!$A$1:$A$400,0))</f>
        <v>558.820572760482</v>
      </c>
      <c r="R175" s="18" t="n">
        <f aca="false">IFERROR(J175/M175/O175,"")</f>
        <v>0.99782</v>
      </c>
      <c r="S175" s="9" t="n">
        <f aca="false">IFERROR(R175*Q175,"")</f>
        <v>557.602343911864</v>
      </c>
      <c r="T175" s="19" t="n">
        <v>1</v>
      </c>
      <c r="U175" s="3" t="s">
        <v>271</v>
      </c>
      <c r="V175" s="9" t="n">
        <f aca="false">IFERROR(S175/T175,"")</f>
        <v>557.602343911864</v>
      </c>
      <c r="W175" s="10"/>
      <c r="X175" s="9" t="str">
        <f aca="false">IF(W175="","",IFERROR(INDEX($V$1:$V$178,MATCH(W175,$A$1:$A$178,0)),""))</f>
        <v/>
      </c>
      <c r="Y175" s="8" t="str">
        <f aca="false">IF(OR(X175="",V175=""),"",V175/X175)</f>
        <v/>
      </c>
      <c r="Z175" s="10"/>
      <c r="AA175" s="9" t="str">
        <f aca="false">IF(Z175="","",IFERROR(INDEX($V$1:$V$178,MATCH(Z175,$A$1:$A$178,0)),""))</f>
        <v/>
      </c>
      <c r="AB175" s="8" t="str">
        <f aca="false">IF(OR(AA175="",V175=""),"",V175/AA175)</f>
        <v/>
      </c>
      <c r="AC175" s="3" t="s">
        <v>940</v>
      </c>
      <c r="AD175" s="3" t="s">
        <v>941</v>
      </c>
      <c r="AE175" s="10" t="s">
        <v>275</v>
      </c>
      <c r="AF175" s="7" t="s">
        <v>401</v>
      </c>
      <c r="AG175" s="3"/>
    </row>
    <row r="176" customFormat="false" ht="35.05" hidden="false" customHeight="false" outlineLevel="0" collapsed="false">
      <c r="A176" s="13" t="s">
        <v>866</v>
      </c>
      <c r="B176" s="3" t="s">
        <v>69</v>
      </c>
      <c r="C176" s="3" t="s">
        <v>1073</v>
      </c>
      <c r="D176" s="3" t="s">
        <v>934</v>
      </c>
      <c r="E176" s="3" t="s">
        <v>1076</v>
      </c>
      <c r="F176" s="3" t="s">
        <v>1077</v>
      </c>
      <c r="G176" s="3" t="s">
        <v>1078</v>
      </c>
      <c r="H176" s="3" t="s">
        <v>1075</v>
      </c>
      <c r="I176" s="3" t="s">
        <v>859</v>
      </c>
      <c r="J176" s="16" t="n">
        <f aca="false">INDEX(Cours_periodes!$E$1:$E$400,MATCH("palme:2024-10:2024-12",Cours_periodes!$A$1:$A$400,0))</f>
        <v>1145.18930333333</v>
      </c>
      <c r="K176" s="10" t="s">
        <v>491</v>
      </c>
      <c r="L176" s="10" t="s">
        <v>384</v>
      </c>
      <c r="M176" s="15" t="n">
        <v>1000</v>
      </c>
      <c r="N176" s="10" t="s">
        <v>865</v>
      </c>
      <c r="O176" s="16" t="n">
        <f aca="false">IF(K176="USD",1,INDEX(Change_periodes!$D$1:$N$400,MATCH($N176,Change_periodes!$A$1:$A$400,0),MATCH($K176,Change_periodes!$D$1:$N$1,0)))</f>
        <v>1</v>
      </c>
      <c r="P176" s="3" t="s">
        <v>87</v>
      </c>
      <c r="Q176" s="17" t="n">
        <f aca="false">INDEX(Change_periodes!$D$1:$D$400,MATCH($N176,Change_periodes!$A$1:$A$400,0))</f>
        <v>614.871983732814</v>
      </c>
      <c r="R176" s="18" t="n">
        <f aca="false">IFERROR(J176/M176/O176,"")</f>
        <v>1.14518930333333</v>
      </c>
      <c r="S176" s="9" t="n">
        <f aca="false">IFERROR(R176*Q176,"")</f>
        <v>704.144818690166</v>
      </c>
      <c r="T176" s="19" t="n">
        <v>1</v>
      </c>
      <c r="U176" s="3" t="s">
        <v>271</v>
      </c>
      <c r="V176" s="9" t="n">
        <f aca="false">IFERROR(S176/T176,"")</f>
        <v>704.144818690166</v>
      </c>
      <c r="W176" s="10"/>
      <c r="X176" s="9" t="str">
        <f aca="false">IF(W176="","",IFERROR(INDEX($V$1:$V$178,MATCH(W176,$A$1:$A$178,0)),""))</f>
        <v/>
      </c>
      <c r="Y176" s="8" t="str">
        <f aca="false">IF(OR(X176="",V176=""),"",V176/X176)</f>
        <v/>
      </c>
      <c r="Z176" s="10"/>
      <c r="AA176" s="9" t="str">
        <f aca="false">IF(Z176="","",IFERROR(INDEX($V$1:$V$178,MATCH(Z176,$A$1:$A$178,0)),""))</f>
        <v/>
      </c>
      <c r="AB176" s="8" t="str">
        <f aca="false">IF(OR(AA176="",V176=""),"",V176/AA176)</f>
        <v/>
      </c>
      <c r="AC176" s="3" t="s">
        <v>940</v>
      </c>
      <c r="AD176" s="3" t="s">
        <v>941</v>
      </c>
      <c r="AE176" s="10" t="s">
        <v>275</v>
      </c>
      <c r="AF176" s="7" t="s">
        <v>401</v>
      </c>
      <c r="AG176" s="3"/>
    </row>
    <row r="177" customFormat="false" ht="35.05" hidden="false" customHeight="false" outlineLevel="0" collapsed="false">
      <c r="A177" s="13" t="s">
        <v>884</v>
      </c>
      <c r="B177" s="3" t="s">
        <v>69</v>
      </c>
      <c r="C177" s="3" t="s">
        <v>1073</v>
      </c>
      <c r="D177" s="3" t="s">
        <v>934</v>
      </c>
      <c r="E177" s="3" t="s">
        <v>1079</v>
      </c>
      <c r="F177" s="3" t="s">
        <v>1080</v>
      </c>
      <c r="G177" s="3" t="s">
        <v>1078</v>
      </c>
      <c r="H177" s="3" t="s">
        <v>1075</v>
      </c>
      <c r="I177" s="3" t="s">
        <v>859</v>
      </c>
      <c r="J177" s="16" t="n">
        <f aca="false">INDEX(Cours_periodes!$E$1:$E$400,MATCH("palme:2025-01:2025-12",Cours_periodes!$A$1:$A$400,0))</f>
        <v>1006.94790383333</v>
      </c>
      <c r="K177" s="10" t="s">
        <v>491</v>
      </c>
      <c r="L177" s="10" t="s">
        <v>384</v>
      </c>
      <c r="M177" s="15" t="n">
        <v>1000</v>
      </c>
      <c r="N177" s="10" t="s">
        <v>883</v>
      </c>
      <c r="O177" s="16" t="n">
        <f aca="false">IF(K177="USD",1,INDEX(Change_periodes!$D$1:$N$400,MATCH($N177,Change_periodes!$A$1:$A$400,0),MATCH($K177,Change_periodes!$D$1:$N$1,0)))</f>
        <v>1</v>
      </c>
      <c r="P177" s="3" t="s">
        <v>87</v>
      </c>
      <c r="Q177" s="17" t="n">
        <f aca="false">INDEX(Change_periodes!$D$1:$D$400,MATCH($N177,Change_periodes!$A$1:$A$400,0))</f>
        <v>581.928485535284</v>
      </c>
      <c r="R177" s="18" t="n">
        <f aca="false">IFERROR(J177/M177/O177,"")</f>
        <v>1.00694790383333</v>
      </c>
      <c r="S177" s="9" t="n">
        <f aca="false">IFERROR(R177*Q177,"")</f>
        <v>585.971668690661</v>
      </c>
      <c r="T177" s="19" t="n">
        <v>1</v>
      </c>
      <c r="U177" s="3" t="s">
        <v>271</v>
      </c>
      <c r="V177" s="9" t="n">
        <f aca="false">IFERROR(S177/T177,"")</f>
        <v>585.971668690661</v>
      </c>
      <c r="W177" s="10"/>
      <c r="X177" s="9" t="str">
        <f aca="false">IF(W177="","",IFERROR(INDEX($V$1:$V$178,MATCH(W177,$A$1:$A$178,0)),""))</f>
        <v/>
      </c>
      <c r="Y177" s="8" t="str">
        <f aca="false">IF(OR(X177="",V177=""),"",V177/X177)</f>
        <v/>
      </c>
      <c r="Z177" s="10"/>
      <c r="AA177" s="9" t="str">
        <f aca="false">IF(Z177="","",IFERROR(INDEX($V$1:$V$178,MATCH(Z177,$A$1:$A$178,0)),""))</f>
        <v/>
      </c>
      <c r="AB177" s="8" t="str">
        <f aca="false">IF(OR(AA177="",V177=""),"",V177/AA177)</f>
        <v/>
      </c>
      <c r="AC177" s="3" t="s">
        <v>940</v>
      </c>
      <c r="AD177" s="3" t="s">
        <v>941</v>
      </c>
      <c r="AE177" s="10" t="s">
        <v>275</v>
      </c>
      <c r="AF177" s="7" t="s">
        <v>401</v>
      </c>
      <c r="AG177" s="3"/>
    </row>
    <row r="178" customFormat="false" ht="35.05" hidden="false" customHeight="false" outlineLevel="0" collapsed="false">
      <c r="A178" s="13" t="s">
        <v>892</v>
      </c>
      <c r="B178" s="3" t="s">
        <v>73</v>
      </c>
      <c r="C178" s="3" t="s">
        <v>1081</v>
      </c>
      <c r="D178" s="3" t="s">
        <v>934</v>
      </c>
      <c r="E178" s="3" t="s">
        <v>1079</v>
      </c>
      <c r="F178" s="3" t="s">
        <v>1080</v>
      </c>
      <c r="G178" s="3" t="s">
        <v>1082</v>
      </c>
      <c r="H178" s="3" t="s">
        <v>1083</v>
      </c>
      <c r="I178" s="3" t="s">
        <v>1084</v>
      </c>
      <c r="J178" s="16" t="n">
        <f aca="false">INDEX(Cours_periodes!$E$1:$E$400,MATCH("riz:2025-01:2025-12",Cours_periodes!$A$1:$A$400,0))</f>
        <v>407.833333333333</v>
      </c>
      <c r="K178" s="10" t="s">
        <v>491</v>
      </c>
      <c r="L178" s="10" t="s">
        <v>384</v>
      </c>
      <c r="M178" s="15" t="n">
        <v>1000</v>
      </c>
      <c r="N178" s="10" t="s">
        <v>883</v>
      </c>
      <c r="O178" s="16" t="n">
        <f aca="false">IF(K178="USD",1,INDEX(Change_periodes!$D$1:$N$400,MATCH($N178,Change_periodes!$A$1:$A$400,0),MATCH($K178,Change_periodes!$D$1:$N$1,0)))</f>
        <v>1</v>
      </c>
      <c r="P178" s="3" t="s">
        <v>87</v>
      </c>
      <c r="Q178" s="17" t="n">
        <f aca="false">INDEX(Change_periodes!$D$1:$D$400,MATCH($N178,Change_periodes!$A$1:$A$400,0))</f>
        <v>581.928485535284</v>
      </c>
      <c r="R178" s="18" t="n">
        <f aca="false">IFERROR(J178/M178/O178,"")</f>
        <v>0.407833333333333</v>
      </c>
      <c r="S178" s="9" t="n">
        <f aca="false">IFERROR(R178*Q178,"")</f>
        <v>237.329834017473</v>
      </c>
      <c r="T178" s="21" t="n">
        <f aca="false">1/Parametres!$C$4</f>
        <v>1.53846153846154</v>
      </c>
      <c r="U178" s="3" t="s">
        <v>1085</v>
      </c>
      <c r="V178" s="9" t="n">
        <f aca="false">IFERROR(S178/T178,"")</f>
        <v>154.264392111358</v>
      </c>
      <c r="W178" s="10"/>
      <c r="X178" s="9" t="str">
        <f aca="false">IF(W178="","",IFERROR(INDEX($V$1:$V$178,MATCH(W178,$A$1:$A$178,0)),""))</f>
        <v/>
      </c>
      <c r="Y178" s="8" t="str">
        <f aca="false">IF(OR(X178="",V178=""),"",V178/X178)</f>
        <v/>
      </c>
      <c r="Z178" s="10"/>
      <c r="AA178" s="9" t="str">
        <f aca="false">IF(Z178="","",IFERROR(INDEX($V$1:$V$178,MATCH(Z178,$A$1:$A$178,0)),""))</f>
        <v/>
      </c>
      <c r="AB178" s="8" t="str">
        <f aca="false">IF(OR(AA178="",V178=""),"",V178/AA178)</f>
        <v/>
      </c>
      <c r="AC178" s="3" t="s">
        <v>940</v>
      </c>
      <c r="AD178" s="3" t="s">
        <v>941</v>
      </c>
      <c r="AE178" s="10" t="s">
        <v>275</v>
      </c>
      <c r="AF178" s="7" t="s">
        <v>401</v>
      </c>
      <c r="AG178" s="3" t="s">
        <v>1086</v>
      </c>
    </row>
  </sheetData>
  <autoFilter ref="A1:AG17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4" min="3" style="0" width="13"/>
    <col collapsed="false" customWidth="true" hidden="false" outlineLevel="0" max="5" min="5" style="0" width="15"/>
    <col collapsed="false" customWidth="true" hidden="false" outlineLevel="0" max="7" min="6" style="0" width="12"/>
    <col collapsed="false" customWidth="true" hidden="false" outlineLevel="0" max="8" min="8" style="0" width="13"/>
    <col collapsed="false" customWidth="true" hidden="false" outlineLevel="0" max="10" min="9" style="0" width="10"/>
  </cols>
  <sheetData>
    <row r="1" customFormat="false" ht="17.35" hidden="false" customHeight="false" outlineLevel="0" collapsed="false">
      <c r="A1" s="1" t="s">
        <v>1087</v>
      </c>
    </row>
    <row r="3" customFormat="false" ht="42" hidden="false" customHeight="true" outlineLevel="0" collapsed="false">
      <c r="A3" s="4" t="s">
        <v>764</v>
      </c>
      <c r="B3" s="4" t="s">
        <v>1088</v>
      </c>
      <c r="C3" s="4" t="s">
        <v>37</v>
      </c>
      <c r="D3" s="4" t="s">
        <v>1089</v>
      </c>
      <c r="E3" s="4" t="s">
        <v>1090</v>
      </c>
      <c r="F3" s="4" t="s">
        <v>197</v>
      </c>
      <c r="G3" s="4" t="s">
        <v>1091</v>
      </c>
      <c r="H3" s="4" t="s">
        <v>1092</v>
      </c>
      <c r="I3" s="4" t="s">
        <v>1093</v>
      </c>
      <c r="J3" s="4" t="s">
        <v>1094</v>
      </c>
    </row>
    <row r="4" customFormat="false" ht="15" hidden="false" customHeight="false" outlineLevel="0" collapsed="false">
      <c r="A4" s="10" t="s">
        <v>262</v>
      </c>
      <c r="B4" s="10" t="s">
        <v>1095</v>
      </c>
      <c r="C4" s="5" t="n">
        <f aca="false">Observations!$S$2</f>
        <v>1100</v>
      </c>
      <c r="D4" s="5" t="n">
        <f aca="false">Observations!$S$22</f>
        <v>1110.99609993899</v>
      </c>
      <c r="E4" s="5" t="n">
        <f aca="false">Observations!$X$2</f>
        <v>1405.56997998541</v>
      </c>
      <c r="F4" s="8" t="n">
        <f aca="false">C4/E4</f>
        <v>0.782600664259648</v>
      </c>
      <c r="G4" s="8" t="n">
        <f aca="false">D4/E4</f>
        <v>0.790423896183757</v>
      </c>
      <c r="H4" s="11" t="n">
        <f aca="false">C4/D4*100</f>
        <v>99.0102485562645</v>
      </c>
      <c r="I4" s="17" t="n">
        <f aca="false">Observations!$Q$2</f>
        <v>612.129614326912</v>
      </c>
      <c r="J4" s="17" t="n">
        <f aca="false">Observations!$O$22</f>
        <v>4.1874</v>
      </c>
    </row>
    <row r="5" customFormat="false" ht="15" hidden="false" customHeight="false" outlineLevel="0" collapsed="false">
      <c r="A5" s="10" t="s">
        <v>262</v>
      </c>
      <c r="B5" s="10" t="s">
        <v>1096</v>
      </c>
      <c r="C5" s="5" t="n">
        <f aca="false">Observations!$S$3</f>
        <v>700</v>
      </c>
      <c r="D5" s="5" t="n">
        <f aca="false">Observations!$S$23</f>
        <v>1015.8365909247</v>
      </c>
      <c r="E5" s="5" t="n">
        <f aca="false">Observations!$X$3</f>
        <v>1147.16754966267</v>
      </c>
      <c r="F5" s="8" t="n">
        <f aca="false">C5/E5</f>
        <v>0.610198571434348</v>
      </c>
      <c r="G5" s="8" t="n">
        <f aca="false">D5/E5</f>
        <v>0.88551719513284</v>
      </c>
      <c r="H5" s="11" t="n">
        <f aca="false">C5/D5*100</f>
        <v>68.9087207778963</v>
      </c>
      <c r="I5" s="17" t="n">
        <f aca="false">Observations!$Q$3</f>
        <v>577.514240499801</v>
      </c>
      <c r="J5" s="17" t="n">
        <f aca="false">Observations!$O$23</f>
        <v>4.32068333333333</v>
      </c>
    </row>
    <row r="6" customFormat="false" ht="15" hidden="false" customHeight="false" outlineLevel="0" collapsed="false">
      <c r="A6" s="10" t="s">
        <v>284</v>
      </c>
      <c r="B6" s="10" t="s">
        <v>1095</v>
      </c>
      <c r="C6" s="5" t="n">
        <f aca="false">Observations!$S$4</f>
        <v>700</v>
      </c>
      <c r="D6" s="5" t="n">
        <f aca="false">Observations!$S$24</f>
        <v>940.291376157235</v>
      </c>
      <c r="E6" s="5" t="n">
        <f aca="false">Observations!$X$4</f>
        <v>1156.0998932501</v>
      </c>
      <c r="F6" s="8" t="n">
        <f aca="false">C6/E6</f>
        <v>0.605484010583306</v>
      </c>
      <c r="G6" s="8" t="n">
        <f aca="false">D6/E6</f>
        <v>0.813330562217969</v>
      </c>
      <c r="H6" s="11" t="n">
        <f aca="false">C6/D6*100</f>
        <v>74.4450090418511</v>
      </c>
      <c r="I6" s="17" t="n">
        <f aca="false">Observations!$Q$4</f>
        <v>545.278268301567</v>
      </c>
      <c r="J6" s="17" t="n">
        <f aca="false">Observations!$O$24</f>
        <v>4.40726666666667</v>
      </c>
    </row>
    <row r="7" customFormat="false" ht="15" hidden="false" customHeight="false" outlineLevel="0" collapsed="false">
      <c r="A7" s="10" t="s">
        <v>284</v>
      </c>
      <c r="B7" s="10" t="s">
        <v>1096</v>
      </c>
      <c r="C7" s="5" t="n">
        <f aca="false">Observations!$S$5</f>
        <v>700</v>
      </c>
      <c r="D7" s="5" t="n">
        <f aca="false">Observations!$S$25</f>
        <v>928.122761970803</v>
      </c>
      <c r="E7" s="5" t="n">
        <f aca="false">Observations!$X$5</f>
        <v>1339.07612922023</v>
      </c>
      <c r="F7" s="8" t="n">
        <f aca="false">C7/E7</f>
        <v>0.522748471670259</v>
      </c>
      <c r="G7" s="8" t="n">
        <f aca="false">D7/E7</f>
        <v>0.693106793346595</v>
      </c>
      <c r="H7" s="11" t="n">
        <f aca="false">C7/D7*100</f>
        <v>75.4210572870339</v>
      </c>
      <c r="I7" s="17" t="n">
        <f aca="false">Observations!$Q$5</f>
        <v>557.213561790484</v>
      </c>
      <c r="J7" s="17" t="n">
        <f aca="false">Observations!$O$25</f>
        <v>4.56278333333333</v>
      </c>
    </row>
    <row r="8" customFormat="false" ht="15" hidden="false" customHeight="false" outlineLevel="0" collapsed="false">
      <c r="A8" s="10" t="s">
        <v>293</v>
      </c>
      <c r="B8" s="10" t="s">
        <v>1095</v>
      </c>
      <c r="C8" s="5" t="n">
        <f aca="false">Observations!$S$6</f>
        <v>750</v>
      </c>
      <c r="D8" s="5" t="n">
        <f aca="false">Observations!$S$26</f>
        <v>891.179507287677</v>
      </c>
      <c r="E8" s="5" t="n">
        <f aca="false">Observations!$X$6</f>
        <v>1272.21136423648</v>
      </c>
      <c r="F8" s="8" t="n">
        <f aca="false">C8/E8</f>
        <v>0.589524682048501</v>
      </c>
      <c r="G8" s="8" t="n">
        <f aca="false">D8/E8</f>
        <v>0.70049642090921</v>
      </c>
      <c r="H8" s="11" t="n">
        <f aca="false">C8/D8*100</f>
        <v>84.1581290712845</v>
      </c>
      <c r="I8" s="17" t="n">
        <f aca="false">Observations!$Q$6</f>
        <v>576.213999056325</v>
      </c>
      <c r="J8" s="17" t="n">
        <f aca="false">Observations!$O$26</f>
        <v>4.91396666666667</v>
      </c>
    </row>
    <row r="9" customFormat="false" ht="15" hidden="false" customHeight="false" outlineLevel="0" collapsed="false">
      <c r="A9" s="10" t="s">
        <v>293</v>
      </c>
      <c r="B9" s="10" t="s">
        <v>1096</v>
      </c>
      <c r="C9" s="5" t="n">
        <f aca="false">Observations!$S$7</f>
        <v>750</v>
      </c>
      <c r="D9" s="5" t="n">
        <f aca="false">Observations!$S$27</f>
        <v>855.91345065496</v>
      </c>
      <c r="E9" s="5" t="n">
        <f aca="false">Observations!$X$7</f>
        <v>1366.55095858453</v>
      </c>
      <c r="F9" s="8" t="n">
        <f aca="false">C9/E9</f>
        <v>0.548826953937269</v>
      </c>
      <c r="G9" s="8" t="n">
        <f aca="false">D9/E9</f>
        <v>0.626331162609198</v>
      </c>
      <c r="H9" s="11" t="n">
        <f aca="false">C9/D9*100</f>
        <v>87.6256821792071</v>
      </c>
      <c r="I9" s="17" t="n">
        <f aca="false">Observations!$Q$7</f>
        <v>586.897600710289</v>
      </c>
      <c r="J9" s="17" t="n">
        <f aca="false">Observations!$O$27</f>
        <v>5.2113</v>
      </c>
    </row>
    <row r="10" customFormat="false" ht="15" hidden="false" customHeight="false" outlineLevel="0" collapsed="false">
      <c r="A10" s="10" t="s">
        <v>304</v>
      </c>
      <c r="B10" s="10" t="s">
        <v>1095</v>
      </c>
      <c r="C10" s="5" t="n">
        <f aca="false">Observations!$S$8</f>
        <v>825</v>
      </c>
      <c r="D10" s="5" t="n">
        <f aca="false">Observations!$S$28</f>
        <v>904.568286432173</v>
      </c>
      <c r="E10" s="5" t="n">
        <f aca="false">Observations!$X$8</f>
        <v>1490.12104032904</v>
      </c>
      <c r="F10" s="8" t="n">
        <f aca="false">C10/E10</f>
        <v>0.553646299644105</v>
      </c>
      <c r="G10" s="8" t="n">
        <f aca="false">D10/E10</f>
        <v>0.607043496434644</v>
      </c>
      <c r="H10" s="11" t="n">
        <f aca="false">C10/D10*100</f>
        <v>91.2037280517529</v>
      </c>
      <c r="I10" s="17" t="n">
        <f aca="false">Observations!$Q$8</f>
        <v>593.776626757643</v>
      </c>
      <c r="J10" s="17" t="n">
        <f aca="false">Observations!$O$28</f>
        <v>5.4089</v>
      </c>
    </row>
    <row r="11" customFormat="false" ht="15" hidden="false" customHeight="false" outlineLevel="0" collapsed="false">
      <c r="A11" s="10" t="s">
        <v>304</v>
      </c>
      <c r="B11" s="10" t="s">
        <v>1096</v>
      </c>
      <c r="C11" s="5" t="n">
        <f aca="false">Observations!$S$9</f>
        <v>825</v>
      </c>
      <c r="D11" s="5" t="n">
        <f aca="false">Observations!$S$29</f>
        <v>846.069427371008</v>
      </c>
      <c r="E11" s="5" t="n">
        <f aca="false">Observations!$X$9</f>
        <v>1323.32716759023</v>
      </c>
      <c r="F11" s="8" t="n">
        <f aca="false">C11/E11</f>
        <v>0.623428597405977</v>
      </c>
      <c r="G11" s="8" t="n">
        <f aca="false">D11/E11</f>
        <v>0.639350153229073</v>
      </c>
      <c r="H11" s="11" t="n">
        <f aca="false">C11/D11*100</f>
        <v>97.5097283166847</v>
      </c>
      <c r="I11" s="17" t="n">
        <f aca="false">Observations!$Q$9</f>
        <v>578.580402322302</v>
      </c>
      <c r="J11" s="17" t="n">
        <f aca="false">Observations!$O$29</f>
        <v>5.63488333333333</v>
      </c>
    </row>
    <row r="12" customFormat="false" ht="15" hidden="false" customHeight="false" outlineLevel="0" collapsed="false">
      <c r="A12" s="10" t="s">
        <v>315</v>
      </c>
      <c r="B12" s="10" t="s">
        <v>1095</v>
      </c>
      <c r="C12" s="5" t="n">
        <f aca="false">Observations!$S$10</f>
        <v>1000</v>
      </c>
      <c r="D12" s="5" t="n">
        <f aca="false">Observations!$S$30</f>
        <v>1008.22784204724</v>
      </c>
      <c r="E12" s="5" t="n">
        <f aca="false">Observations!$X$10</f>
        <v>1305.35371365315</v>
      </c>
      <c r="F12" s="8" t="n">
        <f aca="false">C12/E12</f>
        <v>0.76607588390844</v>
      </c>
      <c r="G12" s="8" t="n">
        <f aca="false">D12/E12</f>
        <v>0.772379035277441</v>
      </c>
      <c r="H12" s="11" t="n">
        <f aca="false">C12/D12*100</f>
        <v>99.1839302879658</v>
      </c>
      <c r="I12" s="17" t="n">
        <f aca="false">Observations!$Q$10</f>
        <v>547.103635955358</v>
      </c>
      <c r="J12" s="17" t="n">
        <f aca="false">Observations!$O$30</f>
        <v>5.73026666666667</v>
      </c>
    </row>
    <row r="13" customFormat="false" ht="15" hidden="false" customHeight="false" outlineLevel="0" collapsed="false">
      <c r="A13" s="10" t="s">
        <v>315</v>
      </c>
      <c r="B13" s="10" t="s">
        <v>1096</v>
      </c>
      <c r="C13" s="5" t="n">
        <f aca="false">Observations!$S$11</f>
        <v>750</v>
      </c>
      <c r="D13" s="5" t="n">
        <f aca="false">Observations!$S$31</f>
        <v>1005.11231501442</v>
      </c>
      <c r="E13" s="5" t="n">
        <f aca="false">Observations!$X$11</f>
        <v>1331.33744474157</v>
      </c>
      <c r="F13" s="8" t="n">
        <f aca="false">C13/E13</f>
        <v>0.563343277816082</v>
      </c>
      <c r="G13" s="8" t="n">
        <f aca="false">D13/E13</f>
        <v>0.754964354818044</v>
      </c>
      <c r="H13" s="11" t="n">
        <f aca="false">C13/D13*100</f>
        <v>74.6185265861797</v>
      </c>
      <c r="I13" s="17" t="n">
        <f aca="false">Observations!$Q$11</f>
        <v>550.256160979698</v>
      </c>
      <c r="J13" s="17" t="n">
        <f aca="false">Observations!$O$31</f>
        <v>5.78115</v>
      </c>
    </row>
    <row r="14" customFormat="false" ht="15" hidden="false" customHeight="false" outlineLevel="0" collapsed="false">
      <c r="A14" s="10" t="s">
        <v>326</v>
      </c>
      <c r="B14" s="10" t="s">
        <v>1095</v>
      </c>
      <c r="C14" s="5" t="n">
        <f aca="false">Observations!$S$12</f>
        <v>825</v>
      </c>
      <c r="D14" s="5" t="n">
        <f aca="false">Observations!$S$32</f>
        <v>988.666642628257</v>
      </c>
      <c r="E14" s="5" t="n">
        <f aca="false">Observations!$X$12</f>
        <v>1430.10405752163</v>
      </c>
      <c r="F14" s="8" t="n">
        <f aca="false">C14/E14</f>
        <v>0.576881098729083</v>
      </c>
      <c r="G14" s="8" t="n">
        <f aca="false">D14/E14</f>
        <v>0.691324968577191</v>
      </c>
      <c r="H14" s="11" t="n">
        <f aca="false">C14/D14*100</f>
        <v>83.4457201678042</v>
      </c>
      <c r="I14" s="17" t="n">
        <f aca="false">Observations!$Q$12</f>
        <v>578.966057050983</v>
      </c>
      <c r="J14" s="17" t="n">
        <f aca="false">Observations!$O$32</f>
        <v>6.18396666666667</v>
      </c>
    </row>
    <row r="15" customFormat="false" ht="15" hidden="false" customHeight="false" outlineLevel="0" collapsed="false">
      <c r="A15" s="10" t="s">
        <v>326</v>
      </c>
      <c r="B15" s="10" t="s">
        <v>1096</v>
      </c>
      <c r="C15" s="5" t="n">
        <f aca="false">Observations!$S$13</f>
        <v>825</v>
      </c>
      <c r="D15" s="5" t="n">
        <f aca="false">Observations!$S$33</f>
        <v>879.877254744021</v>
      </c>
      <c r="E15" s="5" t="n">
        <f aca="false">Observations!$X$13</f>
        <v>1478.9462832564</v>
      </c>
      <c r="F15" s="8" t="n">
        <f aca="false">C15/E15</f>
        <v>0.557829590797228</v>
      </c>
      <c r="G15" s="8" t="n">
        <f aca="false">D15/E15</f>
        <v>0.594935235109873</v>
      </c>
      <c r="H15" s="11" t="n">
        <f aca="false">C15/D15*100</f>
        <v>93.7630783784738</v>
      </c>
      <c r="I15" s="17" t="n">
        <f aca="false">Observations!$Q$13</f>
        <v>633.60466599156</v>
      </c>
      <c r="J15" s="17" t="n">
        <f aca="false">Observations!$O$33</f>
        <v>7.60431666666667</v>
      </c>
    </row>
    <row r="16" customFormat="false" ht="15" hidden="false" customHeight="false" outlineLevel="0" collapsed="false">
      <c r="A16" s="10" t="s">
        <v>337</v>
      </c>
      <c r="B16" s="10" t="s">
        <v>1095</v>
      </c>
      <c r="C16" s="5" t="n">
        <f aca="false">Observations!$S$14</f>
        <v>900</v>
      </c>
      <c r="D16" s="5" t="n">
        <f aca="false">Observations!$S$34</f>
        <v>729.326106101689</v>
      </c>
      <c r="E16" s="5" t="n">
        <f aca="false">Observations!$X$14</f>
        <v>1595.39081750575</v>
      </c>
      <c r="F16" s="8" t="n">
        <f aca="false">C16/E16</f>
        <v>0.564125097201618</v>
      </c>
      <c r="G16" s="8" t="n">
        <f aca="false">D16/E16</f>
        <v>0.45714573388477</v>
      </c>
      <c r="H16" s="11" t="n">
        <f aca="false">C16/D16*100</f>
        <v>123.401588462338</v>
      </c>
      <c r="I16" s="17" t="n">
        <f aca="false">Observations!$Q$14</f>
        <v>627.349602745408</v>
      </c>
      <c r="J16" s="17" t="n">
        <f aca="false">Observations!$O$34</f>
        <v>11.0102666666667</v>
      </c>
    </row>
    <row r="17" customFormat="false" ht="15" hidden="false" customHeight="false" outlineLevel="0" collapsed="false">
      <c r="A17" s="10" t="s">
        <v>337</v>
      </c>
      <c r="B17" s="10" t="s">
        <v>1096</v>
      </c>
      <c r="C17" s="5" t="n">
        <f aca="false">Observations!$S$15</f>
        <v>900</v>
      </c>
      <c r="D17" s="5" t="n">
        <f aca="false">Observations!$S$35</f>
        <v>701.966829121488</v>
      </c>
      <c r="E17" s="5" t="n">
        <f aca="false">Observations!$X$15</f>
        <v>1955.88908928537</v>
      </c>
      <c r="F17" s="8" t="n">
        <f aca="false">C17/E17</f>
        <v>0.460148791120277</v>
      </c>
      <c r="G17" s="8" t="n">
        <f aca="false">D17/E17</f>
        <v>0.358899097585318</v>
      </c>
      <c r="H17" s="11" t="n">
        <f aca="false">C17/D17*100</f>
        <v>128.211186435455</v>
      </c>
      <c r="I17" s="17" t="n">
        <f aca="false">Observations!$Q$15</f>
        <v>602.546206850614</v>
      </c>
      <c r="J17" s="17" t="n">
        <f aca="false">Observations!$O$35</f>
        <v>10.9871166666667</v>
      </c>
    </row>
    <row r="18" customFormat="false" ht="15" hidden="false" customHeight="false" outlineLevel="0" collapsed="false">
      <c r="A18" s="10" t="s">
        <v>348</v>
      </c>
      <c r="B18" s="10" t="s">
        <v>1095</v>
      </c>
      <c r="C18" s="5" t="n">
        <f aca="false">Observations!$S$16</f>
        <v>1000</v>
      </c>
      <c r="D18" s="5" t="n">
        <f aca="false">Observations!$S$36</f>
        <v>1068.01199262743</v>
      </c>
      <c r="E18" s="5" t="n">
        <f aca="false">Observations!$X$16</f>
        <v>2924.67415008538</v>
      </c>
      <c r="F18" s="8" t="n">
        <f aca="false">C18/E18</f>
        <v>0.341918432168181</v>
      </c>
      <c r="G18" s="8" t="n">
        <f aca="false">D18/E18</f>
        <v>0.365172986055986</v>
      </c>
      <c r="H18" s="11" t="n">
        <f aca="false">C18/D18*100</f>
        <v>93.6319074039504</v>
      </c>
      <c r="I18" s="17" t="n">
        <f aca="false">Observations!$Q$16</f>
        <v>607.010801170996</v>
      </c>
      <c r="J18" s="17" t="n">
        <f aca="false">Observations!$O$36</f>
        <v>11.89455</v>
      </c>
    </row>
    <row r="19" customFormat="false" ht="15" hidden="false" customHeight="false" outlineLevel="0" collapsed="false">
      <c r="A19" s="10" t="s">
        <v>348</v>
      </c>
      <c r="B19" s="10" t="s">
        <v>1096</v>
      </c>
      <c r="C19" s="5" t="n">
        <f aca="false">Observations!$S$17</f>
        <v>1500</v>
      </c>
      <c r="D19" s="5" t="n">
        <f aca="false">Observations!$S$37</f>
        <v>1384.10809331179</v>
      </c>
      <c r="E19" s="5" t="n">
        <f aca="false">Observations!$X$17</f>
        <v>4628.39827320086</v>
      </c>
      <c r="F19" s="8" t="n">
        <f aca="false">C19/E19</f>
        <v>0.324086198174697</v>
      </c>
      <c r="G19" s="8" t="n">
        <f aca="false">D19/E19</f>
        <v>0.299046886549498</v>
      </c>
      <c r="H19" s="11" t="n">
        <f aca="false">C19/D19*100</f>
        <v>108.373038727843</v>
      </c>
      <c r="I19" s="17" t="n">
        <f aca="false">Observations!$Q$17</f>
        <v>603.169399806111</v>
      </c>
      <c r="J19" s="17" t="n">
        <f aca="false">Observations!$O$37</f>
        <v>14.4331</v>
      </c>
    </row>
    <row r="20" customFormat="false" ht="15" hidden="false" customHeight="false" outlineLevel="0" collapsed="false">
      <c r="A20" s="10" t="s">
        <v>359</v>
      </c>
      <c r="B20" s="10" t="s">
        <v>1095</v>
      </c>
      <c r="C20" s="5" t="n">
        <f aca="false">Observations!$S$18</f>
        <v>1800</v>
      </c>
      <c r="D20" s="5" t="n">
        <f aca="false">Observations!$S$38</f>
        <v>1922.80626182769</v>
      </c>
      <c r="E20" s="5" t="n">
        <f aca="false">Observations!$X$18</f>
        <v>5527.02037087838</v>
      </c>
      <c r="F20" s="8" t="n">
        <f aca="false">C20/E20</f>
        <v>0.325672763842905</v>
      </c>
      <c r="G20" s="8" t="n">
        <f aca="false">D20/E20</f>
        <v>0.347892016457705</v>
      </c>
      <c r="H20" s="11" t="n">
        <f aca="false">C20/D20*100</f>
        <v>93.6131754786903</v>
      </c>
      <c r="I20" s="17" t="n">
        <f aca="false">Observations!$Q$18</f>
        <v>619.186345336557</v>
      </c>
      <c r="J20" s="17" t="n">
        <f aca="false">Observations!$O$38</f>
        <v>15.4570666666667</v>
      </c>
    </row>
    <row r="21" customFormat="false" ht="15" hidden="false" customHeight="false" outlineLevel="0" collapsed="false">
      <c r="A21" s="10" t="s">
        <v>359</v>
      </c>
      <c r="B21" s="10" t="s">
        <v>1096</v>
      </c>
      <c r="C21" s="5" t="n">
        <f aca="false">Observations!$S$19</f>
        <v>2200</v>
      </c>
      <c r="D21" s="5" t="n">
        <f aca="false">Observations!$S$39</f>
        <v>2392.24456905422</v>
      </c>
      <c r="E21" s="5" t="n">
        <f aca="false">Observations!$X$19</f>
        <v>4517.80310020406</v>
      </c>
      <c r="F21" s="8" t="n">
        <f aca="false">C21/E21</f>
        <v>0.486962346787674</v>
      </c>
      <c r="G21" s="8" t="n">
        <f aca="false">D21/E21</f>
        <v>0.529515013380323</v>
      </c>
      <c r="H21" s="11" t="n">
        <f aca="false">C21/D21*100</f>
        <v>91.963841342099</v>
      </c>
      <c r="I21" s="17" t="n">
        <f aca="false">Observations!$Q$19</f>
        <v>570.163679975575</v>
      </c>
      <c r="J21" s="17" t="n">
        <f aca="false">Observations!$O$39</f>
        <v>11.8215833333333</v>
      </c>
    </row>
    <row r="22" customFormat="false" ht="15" hidden="false" customHeight="false" outlineLevel="0" collapsed="false">
      <c r="A22" s="10" t="s">
        <v>369</v>
      </c>
      <c r="B22" s="10" t="s">
        <v>1095</v>
      </c>
      <c r="C22" s="5" t="n">
        <f aca="false">Observations!$S$20</f>
        <v>2800</v>
      </c>
      <c r="D22" s="5" t="n">
        <f aca="false">Observations!$S$40</f>
        <v>2964.4545671251</v>
      </c>
      <c r="E22" s="5" t="n">
        <f aca="false">Observations!$X$20</f>
        <v>2731.10393817679</v>
      </c>
      <c r="F22" s="8" t="n">
        <f aca="false">C22/E22</f>
        <v>1.02522645178755</v>
      </c>
      <c r="G22" s="8" t="n">
        <f aca="false">D22/E22</f>
        <v>1.08544187047824</v>
      </c>
      <c r="H22" s="11" t="n">
        <f aca="false">C22/D22*100</f>
        <v>94.4524510866567</v>
      </c>
      <c r="I22" s="17" t="n">
        <f aca="false">Observations!$Q$20</f>
        <v>562.127882453012</v>
      </c>
      <c r="J22" s="17" t="n">
        <f aca="false">Observations!$O$40</f>
        <v>10.9981166666667</v>
      </c>
    </row>
    <row r="23" customFormat="false" ht="15" hidden="false" customHeight="false" outlineLevel="0" collapsed="false">
      <c r="A23" s="10" t="s">
        <v>369</v>
      </c>
      <c r="B23" s="10" t="s">
        <v>1096</v>
      </c>
      <c r="C23" s="5" t="n">
        <f aca="false">Observations!$S$21</f>
        <v>1200</v>
      </c>
      <c r="D23" s="5" t="n">
        <f aca="false">Observations!$S$41</f>
        <v>2059.19544268274</v>
      </c>
      <c r="E23" s="5" t="n">
        <f aca="false">Observations!$X$21</f>
        <v>2666.35464922947</v>
      </c>
      <c r="F23" s="8" t="n">
        <f aca="false">C23/E23</f>
        <v>0.450052659103987</v>
      </c>
      <c r="G23" s="8" t="n">
        <f aca="false">D23/E23</f>
        <v>0.772288653828484</v>
      </c>
      <c r="H23" s="11" t="n">
        <f aca="false">C23/D23*100</f>
        <v>58.2751872467543</v>
      </c>
      <c r="I23" s="17" t="n">
        <f aca="false">Observations!$Q$21</f>
        <v>566.224023240776</v>
      </c>
      <c r="J23" s="17" t="n">
        <f aca="false">Observations!$O$41</f>
        <v>11.3817</v>
      </c>
    </row>
    <row r="24" customFormat="false" ht="15" hidden="false" customHeight="false" outlineLevel="0" collapsed="false">
      <c r="A24" s="10" t="s">
        <v>431</v>
      </c>
      <c r="B24" s="10" t="s">
        <v>1097</v>
      </c>
      <c r="C24" s="5" t="n">
        <f aca="false">Observations!$S$42</f>
        <v>1200</v>
      </c>
      <c r="D24" s="5" t="n">
        <f aca="false">Observations!$S$43</f>
        <v>2085.78033969767</v>
      </c>
      <c r="E24" s="5" t="n">
        <f aca="false">Observations!$X$42</f>
        <v>3387.54479733635</v>
      </c>
      <c r="F24" s="8" t="n">
        <f aca="false">C24/E24</f>
        <v>0.354238857872395</v>
      </c>
      <c r="G24" s="8" t="n">
        <f aca="false">D24/E24</f>
        <v>0.615720371089331</v>
      </c>
      <c r="H24" s="11" t="n">
        <f aca="false">C24/D24*100</f>
        <v>57.532424539678</v>
      </c>
      <c r="I24" s="17" t="n">
        <f aca="false">Observations!$Q$42</f>
        <v>565.226794885052</v>
      </c>
      <c r="J24" s="17" t="n">
        <f aca="false">Observations!$O$43</f>
        <v>11.49</v>
      </c>
    </row>
    <row r="26" customFormat="false" ht="15" hidden="false" customHeight="false" outlineLevel="0" collapsed="false">
      <c r="A26" s="13" t="s">
        <v>1098</v>
      </c>
      <c r="C26" s="22" t="n">
        <f aca="false">AVERAGE(C4:C23)</f>
        <v>1102.5</v>
      </c>
      <c r="D26" s="22" t="n">
        <f aca="false">AVERAGE(D4:D23)</f>
        <v>1229.84877085118</v>
      </c>
      <c r="E26" s="22" t="n">
        <f aca="false">AVERAGE(E4:E23)</f>
        <v>2129.62499852987</v>
      </c>
      <c r="F26" s="23" t="n">
        <f aca="false">AVERAGE(F4:F23)</f>
        <v>0.563939042121057</v>
      </c>
      <c r="G26" s="23" t="n">
        <f aca="false">AVERAGE(G4:G23)</f>
        <v>0.639230276603308</v>
      </c>
      <c r="H26" s="24" t="n">
        <f aca="false">AVERAGE(H4:H23)</f>
        <v>91.0607967443093</v>
      </c>
    </row>
    <row r="27" customFormat="false" ht="15" hidden="false" customHeight="false" outlineLevel="0" collapsed="false">
      <c r="A27" s="13" t="s">
        <v>1099</v>
      </c>
      <c r="C27" s="22" t="n">
        <f aca="false">AVERAGE(C18:C23)</f>
        <v>1750</v>
      </c>
      <c r="D27" s="22" t="n">
        <f aca="false">AVERAGE(D18:D23)</f>
        <v>1965.13682110483</v>
      </c>
      <c r="E27" s="22" t="n">
        <f aca="false">AVERAGE(E18:E23)</f>
        <v>3832.55908029582</v>
      </c>
      <c r="F27" s="23" t="n">
        <f aca="false">AVERAGE(F18:F23)</f>
        <v>0.492319808644166</v>
      </c>
      <c r="G27" s="23" t="n">
        <f aca="false">AVERAGE(G18:G23)</f>
        <v>0.56655957112504</v>
      </c>
      <c r="H27" s="24" t="n">
        <f aca="false">AVERAGE(H18:H23)</f>
        <v>90.0516002143324</v>
      </c>
    </row>
    <row r="28" customFormat="false" ht="15" hidden="false" customHeight="false" outlineLevel="0" collapsed="false">
      <c r="A28" s="13" t="s">
        <v>1100</v>
      </c>
      <c r="C28" s="23" t="n">
        <f aca="false">STDEV(C4:C23)/AVERAGE(C4:C23)</f>
        <v>0.510125837710134</v>
      </c>
      <c r="D28" s="23" t="n">
        <f aca="false">STDEV(D4:D23)/AVERAGE(D4:D23)</f>
        <v>0.498096019170566</v>
      </c>
      <c r="E28" s="23" t="n">
        <f aca="false">STDEV(E4:E23)/AVERAGE(E4:E23)</f>
        <v>0.616538711712312</v>
      </c>
    </row>
    <row r="30" customFormat="false" ht="45" hidden="false" customHeight="true" outlineLevel="0" collapsed="false">
      <c r="A30" s="3" t="s">
        <v>1101</v>
      </c>
      <c r="B30" s="3"/>
      <c r="C30" s="3"/>
      <c r="D30" s="3"/>
      <c r="E30" s="3"/>
      <c r="F30" s="3"/>
      <c r="G30" s="3"/>
      <c r="H30" s="3"/>
      <c r="I30" s="3"/>
      <c r="J30" s="3"/>
    </row>
  </sheetData>
  <mergeCells count="1">
    <mergeCell ref="A30:J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4" min="4" style="0" width="32"/>
    <col collapsed="false" customWidth="true" hidden="false" outlineLevel="0" max="6" min="5" style="0" width="11"/>
    <col collapsed="false" customWidth="true" hidden="false" outlineLevel="0" max="9" min="7" style="0" width="10"/>
    <col collapsed="false" customWidth="true" hidden="false" outlineLevel="0" max="10" min="10" style="0" width="12"/>
    <col collapsed="false" customWidth="true" hidden="false" outlineLevel="0" max="13" min="11" style="0" width="11"/>
    <col collapsed="false" customWidth="true" hidden="false" outlineLevel="0" max="15" min="14" style="0" width="13"/>
  </cols>
  <sheetData>
    <row r="1" customFormat="false" ht="17.35" hidden="false" customHeight="false" outlineLevel="0" collapsed="false">
      <c r="A1" s="1" t="s">
        <v>1102</v>
      </c>
    </row>
    <row r="3" customFormat="false" ht="42" hidden="false" customHeight="true" outlineLevel="0" collapsed="false">
      <c r="A3" s="4" t="s">
        <v>1103</v>
      </c>
      <c r="B3" s="4" t="s">
        <v>1104</v>
      </c>
      <c r="C3" s="4" t="s">
        <v>1105</v>
      </c>
      <c r="D3" s="4" t="s">
        <v>1106</v>
      </c>
      <c r="E3" s="4" t="s">
        <v>1107</v>
      </c>
      <c r="F3" s="4" t="s">
        <v>1108</v>
      </c>
      <c r="G3" s="4" t="s">
        <v>50</v>
      </c>
      <c r="H3" s="4" t="s">
        <v>55</v>
      </c>
      <c r="I3" s="4" t="s">
        <v>1109</v>
      </c>
      <c r="J3" s="4" t="s">
        <v>1110</v>
      </c>
      <c r="K3" s="4" t="s">
        <v>1111</v>
      </c>
      <c r="L3" s="4" t="s">
        <v>1112</v>
      </c>
      <c r="M3" s="4" t="s">
        <v>1113</v>
      </c>
      <c r="N3" s="4" t="s">
        <v>1114</v>
      </c>
      <c r="O3" s="4" t="s">
        <v>1115</v>
      </c>
    </row>
    <row r="4" customFormat="false" ht="15" hidden="false" customHeight="false" outlineLevel="0" collapsed="false">
      <c r="A4" s="10" t="n">
        <v>2015</v>
      </c>
      <c r="C4" s="25" t="n">
        <v>100</v>
      </c>
    </row>
    <row r="5" customFormat="false" ht="15" hidden="false" customHeight="false" outlineLevel="0" collapsed="false">
      <c r="A5" s="10" t="n">
        <v>2016</v>
      </c>
      <c r="B5" s="26" t="n">
        <v>0.72</v>
      </c>
      <c r="C5" s="27" t="n">
        <f aca="false">C4*(1+B5/100)</f>
        <v>100.72</v>
      </c>
      <c r="D5" s="3" t="s">
        <v>1116</v>
      </c>
      <c r="E5" s="5" t="n">
        <f aca="false">Observations!$S$2</f>
        <v>1100</v>
      </c>
      <c r="F5" s="5" t="n">
        <f aca="false">Observations!$S$3</f>
        <v>700</v>
      </c>
      <c r="G5" s="5" t="n">
        <f aca="false">Observations!$S$51</f>
        <v>750</v>
      </c>
      <c r="H5" s="5" t="n">
        <f aca="false">Observations!$S$64</f>
        <v>350</v>
      </c>
      <c r="I5" s="12" t="s">
        <v>66</v>
      </c>
      <c r="J5" s="9" t="n">
        <f aca="false">IF(ISNUMBER(E5),E5*$C$14/C5,"n.d.")</f>
        <v>1360.38928481272</v>
      </c>
      <c r="K5" s="9" t="n">
        <f aca="false">IF(ISNUMBER(G5),G5*$C$14/C5,"n.d.")</f>
        <v>927.538148735948</v>
      </c>
      <c r="L5" s="9" t="n">
        <f aca="false">IF(ISNUMBER(H5),H5*$C$14/C5,"n.d.")</f>
        <v>432.851136076776</v>
      </c>
      <c r="M5" s="9" t="str">
        <f aca="false">IF(ISNUMBER(I5),I5*$C$14/C5,"n.d.")</f>
        <v>n.d.</v>
      </c>
      <c r="N5" s="5" t="n">
        <f aca="false">Observations!$X$2</f>
        <v>1405.56997998541</v>
      </c>
      <c r="O5" s="5" t="n">
        <f aca="false">Observations!$X$51</f>
        <v>1358.6634473026</v>
      </c>
    </row>
    <row r="6" customFormat="false" ht="15" hidden="false" customHeight="false" outlineLevel="0" collapsed="false">
      <c r="A6" s="10" t="n">
        <v>2017</v>
      </c>
      <c r="B6" s="26" t="n">
        <v>0.69</v>
      </c>
      <c r="C6" s="27" t="n">
        <f aca="false">C5*(1+B6/100)</f>
        <v>101.414968</v>
      </c>
      <c r="D6" s="3" t="s">
        <v>1116</v>
      </c>
      <c r="E6" s="5" t="n">
        <f aca="false">Observations!$S$4</f>
        <v>700</v>
      </c>
      <c r="F6" s="5" t="n">
        <f aca="false">Observations!$S$5</f>
        <v>700</v>
      </c>
      <c r="G6" s="5" t="n">
        <f aca="false">Observations!$S$52</f>
        <v>750</v>
      </c>
      <c r="H6" s="5" t="n">
        <f aca="false">Observations!$S$65</f>
        <v>440</v>
      </c>
      <c r="I6" s="5" t="n">
        <f aca="false">Observations!$S$85</f>
        <v>265</v>
      </c>
      <c r="J6" s="9" t="n">
        <f aca="false">IF(ISNUMBER(E6),E6*$C$14/C6,"n.d.")</f>
        <v>859.769860118732</v>
      </c>
      <c r="K6" s="9" t="n">
        <f aca="false">IF(ISNUMBER(G6),G6*$C$14/C6,"n.d.")</f>
        <v>921.181992984356</v>
      </c>
      <c r="L6" s="9" t="n">
        <f aca="false">IF(ISNUMBER(H6),H6*$C$14/C6,"n.d.")</f>
        <v>540.426769217489</v>
      </c>
      <c r="M6" s="9" t="n">
        <f aca="false">IF(ISNUMBER(I6),I6*$C$14/C6,"n.d.")</f>
        <v>325.484304187806</v>
      </c>
      <c r="N6" s="5" t="n">
        <f aca="false">Observations!$X$4</f>
        <v>1156.0998932501</v>
      </c>
      <c r="O6" s="5" t="n">
        <f aca="false">Observations!$X$52</f>
        <v>1061.7159400703</v>
      </c>
    </row>
    <row r="7" customFormat="false" ht="15" hidden="false" customHeight="false" outlineLevel="0" collapsed="false">
      <c r="A7" s="10" t="n">
        <v>2018</v>
      </c>
      <c r="B7" s="26" t="n">
        <v>0.4</v>
      </c>
      <c r="C7" s="27" t="n">
        <f aca="false">C6*(1+B7/100)</f>
        <v>101.820627872</v>
      </c>
      <c r="D7" s="3" t="s">
        <v>1116</v>
      </c>
      <c r="E7" s="5" t="n">
        <f aca="false">Observations!$S$6</f>
        <v>750</v>
      </c>
      <c r="F7" s="5" t="n">
        <f aca="false">Observations!$S$7</f>
        <v>750</v>
      </c>
      <c r="G7" s="5" t="n">
        <f aca="false">Observations!$S$53</f>
        <v>700</v>
      </c>
      <c r="H7" s="5" t="n">
        <f aca="false">Observations!$S$66</f>
        <v>500</v>
      </c>
      <c r="I7" s="5" t="n">
        <f aca="false">Observations!$S$86</f>
        <v>265</v>
      </c>
      <c r="J7" s="9" t="n">
        <f aca="false">IF(ISNUMBER(E7),E7*$C$14/C7,"n.d.")</f>
        <v>917.511945203542</v>
      </c>
      <c r="K7" s="9" t="n">
        <f aca="false">IF(ISNUMBER(G7),G7*$C$14/C7,"n.d.")</f>
        <v>856.344482189972</v>
      </c>
      <c r="L7" s="9" t="n">
        <f aca="false">IF(ISNUMBER(H7),H7*$C$14/C7,"n.d.")</f>
        <v>611.674630135694</v>
      </c>
      <c r="M7" s="9" t="n">
        <f aca="false">IF(ISNUMBER(I7),I7*$C$14/C7,"n.d.")</f>
        <v>324.187553971918</v>
      </c>
      <c r="N7" s="5" t="n">
        <f aca="false">Observations!$X$6</f>
        <v>1272.21136423648</v>
      </c>
      <c r="O7" s="5" t="n">
        <f aca="false">Observations!$X$53</f>
        <v>976.561681095513</v>
      </c>
    </row>
    <row r="8" customFormat="false" ht="15" hidden="false" customHeight="false" outlineLevel="0" collapsed="false">
      <c r="A8" s="10" t="n">
        <v>2019</v>
      </c>
      <c r="B8" s="26" t="n">
        <v>0.79</v>
      </c>
      <c r="C8" s="27" t="n">
        <f aca="false">C7*(1+B8/100)</f>
        <v>102.625010832189</v>
      </c>
      <c r="D8" s="3" t="s">
        <v>1116</v>
      </c>
      <c r="E8" s="5" t="n">
        <f aca="false">Observations!$S$8</f>
        <v>825</v>
      </c>
      <c r="F8" s="5" t="n">
        <f aca="false">Observations!$S$9</f>
        <v>825</v>
      </c>
      <c r="G8" s="5" t="n">
        <f aca="false">Observations!$S$54</f>
        <v>700</v>
      </c>
      <c r="H8" s="5" t="n">
        <f aca="false">Observations!$S$67</f>
        <v>375</v>
      </c>
      <c r="I8" s="5" t="n">
        <f aca="false">Observations!$S$87</f>
        <v>300</v>
      </c>
      <c r="J8" s="9" t="n">
        <f aca="false">IF(ISNUMBER(E8),E8*$C$14/C8,"n.d.")</f>
        <v>1001.35245532681</v>
      </c>
      <c r="K8" s="9" t="n">
        <f aca="false">IF(ISNUMBER(G8),G8*$C$14/C8,"n.d.")</f>
        <v>849.632386337903</v>
      </c>
      <c r="L8" s="9" t="n">
        <f aca="false">IF(ISNUMBER(H8),H8*$C$14/C8,"n.d.")</f>
        <v>455.160206966734</v>
      </c>
      <c r="M8" s="9" t="n">
        <f aca="false">IF(ISNUMBER(I8),I8*$C$14/C8,"n.d.")</f>
        <v>364.128165573387</v>
      </c>
      <c r="N8" s="5" t="n">
        <f aca="false">Observations!$X$8</f>
        <v>1490.12104032904</v>
      </c>
      <c r="O8" s="5" t="n">
        <f aca="false">Observations!$X$54</f>
        <v>891.11683315108</v>
      </c>
    </row>
    <row r="9" customFormat="false" ht="15" hidden="false" customHeight="false" outlineLevel="0" collapsed="false">
      <c r="A9" s="10" t="n">
        <v>2020</v>
      </c>
      <c r="B9" s="26" t="n">
        <v>2.41</v>
      </c>
      <c r="C9" s="27" t="n">
        <f aca="false">C8*(1+B9/100)</f>
        <v>105.098273593245</v>
      </c>
      <c r="D9" s="3" t="s">
        <v>1116</v>
      </c>
      <c r="E9" s="5" t="n">
        <f aca="false">Observations!$S$10</f>
        <v>1000</v>
      </c>
      <c r="F9" s="5" t="n">
        <f aca="false">Observations!$S$11</f>
        <v>750</v>
      </c>
      <c r="G9" s="5" t="n">
        <f aca="false">Observations!$S$55</f>
        <v>550</v>
      </c>
      <c r="H9" s="5" t="n">
        <f aca="false">Observations!$S$68</f>
        <v>400</v>
      </c>
      <c r="I9" s="5" t="n">
        <f aca="false">Observations!$S$88</f>
        <v>300</v>
      </c>
      <c r="J9" s="9" t="n">
        <f aca="false">IF(ISNUMBER(E9),E9*$C$14/C9,"n.d.")</f>
        <v>1185.19729705233</v>
      </c>
      <c r="K9" s="9" t="n">
        <f aca="false">IF(ISNUMBER(G9),G9*$C$14/C9,"n.d.")</f>
        <v>651.858513378781</v>
      </c>
      <c r="L9" s="9" t="n">
        <f aca="false">IF(ISNUMBER(H9),H9*$C$14/C9,"n.d.")</f>
        <v>474.078918820931</v>
      </c>
      <c r="M9" s="9" t="n">
        <f aca="false">IF(ISNUMBER(I9),I9*$C$14/C9,"n.d.")</f>
        <v>355.559189115699</v>
      </c>
      <c r="N9" s="5" t="n">
        <f aca="false">Observations!$X$10</f>
        <v>1305.35371365315</v>
      </c>
      <c r="O9" s="5" t="n">
        <f aca="false">Observations!$X$55</f>
        <v>971.595505707568</v>
      </c>
    </row>
    <row r="10" customFormat="false" ht="15" hidden="false" customHeight="false" outlineLevel="0" collapsed="false">
      <c r="A10" s="10" t="n">
        <v>2021</v>
      </c>
      <c r="B10" s="26" t="n">
        <v>4.16</v>
      </c>
      <c r="C10" s="27" t="n">
        <f aca="false">C9*(1+B10/100)</f>
        <v>109.470361774724</v>
      </c>
      <c r="D10" s="3" t="s">
        <v>1117</v>
      </c>
      <c r="E10" s="5" t="n">
        <f aca="false">Observations!$S$12</f>
        <v>825</v>
      </c>
      <c r="F10" s="5" t="n">
        <f aca="false">Observations!$S$13</f>
        <v>825</v>
      </c>
      <c r="G10" s="5" t="n">
        <f aca="false">Observations!$S$56</f>
        <v>700</v>
      </c>
      <c r="H10" s="5" t="n">
        <f aca="false">Observations!$S$69</f>
        <v>305</v>
      </c>
      <c r="I10" s="5" t="n">
        <f aca="false">Observations!$S$89</f>
        <v>300</v>
      </c>
      <c r="J10" s="9" t="n">
        <f aca="false">IF(ISNUMBER(E10),E10*$C$14/C10,"n.d.")</f>
        <v>938.736338391101</v>
      </c>
      <c r="K10" s="9" t="n">
        <f aca="false">IF(ISNUMBER(G10),G10*$C$14/C10,"n.d.")</f>
        <v>796.503559846995</v>
      </c>
      <c r="L10" s="9" t="n">
        <f aca="false">IF(ISNUMBER(H10),H10*$C$14/C10,"n.d.")</f>
        <v>347.047979647619</v>
      </c>
      <c r="M10" s="9" t="n">
        <f aca="false">IF(ISNUMBER(I10),I10*$C$14/C10,"n.d.")</f>
        <v>341.358668505855</v>
      </c>
      <c r="N10" s="5" t="n">
        <f aca="false">Observations!$X$12</f>
        <v>1430.10405752163</v>
      </c>
      <c r="O10" s="5" t="n">
        <f aca="false">Observations!$X$56</f>
        <v>1428.7782468622</v>
      </c>
    </row>
    <row r="11" customFormat="false" ht="15" hidden="false" customHeight="false" outlineLevel="0" collapsed="false">
      <c r="A11" s="10" t="n">
        <v>2022</v>
      </c>
      <c r="B11" s="26" t="n">
        <v>5.23</v>
      </c>
      <c r="C11" s="27" t="n">
        <f aca="false">C10*(1+B11/100)</f>
        <v>115.195661695542</v>
      </c>
      <c r="D11" s="3" t="s">
        <v>1118</v>
      </c>
      <c r="E11" s="5" t="n">
        <f aca="false">Observations!$S$14</f>
        <v>900</v>
      </c>
      <c r="F11" s="5" t="n">
        <f aca="false">Observations!$S$15</f>
        <v>900</v>
      </c>
      <c r="G11" s="5" t="n">
        <f aca="false">Observations!$S$57</f>
        <v>750</v>
      </c>
      <c r="H11" s="5" t="n">
        <f aca="false">Observations!$S$70</f>
        <v>305</v>
      </c>
      <c r="I11" s="5" t="n">
        <f aca="false">Observations!$S$90</f>
        <v>310</v>
      </c>
      <c r="J11" s="9" t="n">
        <f aca="false">IF(ISNUMBER(E11),E11*$C$14/C11,"n.d.")</f>
        <v>973.17875655</v>
      </c>
      <c r="K11" s="9" t="n">
        <f aca="false">IF(ISNUMBER(G11),G11*$C$14/C11,"n.d.")</f>
        <v>810.982297125</v>
      </c>
      <c r="L11" s="9" t="n">
        <f aca="false">IF(ISNUMBER(H11),H11*$C$14/C11,"n.d.")</f>
        <v>329.7994674975</v>
      </c>
      <c r="M11" s="9" t="n">
        <f aca="false">IF(ISNUMBER(I11),I11*$C$14/C11,"n.d.")</f>
        <v>335.206016145</v>
      </c>
      <c r="N11" s="5" t="n">
        <f aca="false">Observations!$X$14</f>
        <v>1595.39081750575</v>
      </c>
      <c r="O11" s="5" t="n">
        <f aca="false">Observations!$X$57</f>
        <v>1515.30671231234</v>
      </c>
    </row>
    <row r="12" customFormat="false" ht="15" hidden="false" customHeight="false" outlineLevel="0" collapsed="false">
      <c r="A12" s="10" t="n">
        <v>2023</v>
      </c>
      <c r="B12" s="26" t="n">
        <v>4.37</v>
      </c>
      <c r="C12" s="27" t="n">
        <f aca="false">C11*(1+B12/100)</f>
        <v>120.229712111637</v>
      </c>
      <c r="D12" s="3" t="s">
        <v>1119</v>
      </c>
      <c r="E12" s="5" t="n">
        <f aca="false">Observations!$S$16</f>
        <v>1000</v>
      </c>
      <c r="F12" s="5" t="n">
        <f aca="false">Observations!$S$17</f>
        <v>1500</v>
      </c>
      <c r="G12" s="5" t="n">
        <f aca="false">Observations!$S$58</f>
        <v>900</v>
      </c>
      <c r="H12" s="5" t="n">
        <f aca="false">Observations!$S$71</f>
        <v>315</v>
      </c>
      <c r="I12" s="5" t="n">
        <f aca="false">Observations!$S$91</f>
        <v>310</v>
      </c>
      <c r="J12" s="9" t="n">
        <f aca="false">IF(ISNUMBER(E12),E12*$C$14/C12,"n.d.")</f>
        <v>1036.035</v>
      </c>
      <c r="K12" s="9" t="n">
        <f aca="false">IF(ISNUMBER(G12),G12*$C$14/C12,"n.d.")</f>
        <v>932.4315</v>
      </c>
      <c r="L12" s="9" t="n">
        <f aca="false">IF(ISNUMBER(H12),H12*$C$14/C12,"n.d.")</f>
        <v>326.351025</v>
      </c>
      <c r="M12" s="9" t="n">
        <f aca="false">IF(ISNUMBER(I12),I12*$C$14/C12,"n.d.")</f>
        <v>321.17085</v>
      </c>
      <c r="N12" s="5" t="n">
        <f aca="false">Observations!$X$16</f>
        <v>2924.67415008538</v>
      </c>
      <c r="O12" s="5" t="n">
        <f aca="false">Observations!$X$58</f>
        <v>2328.86402192089</v>
      </c>
    </row>
    <row r="13" customFormat="false" ht="15" hidden="false" customHeight="false" outlineLevel="0" collapsed="false">
      <c r="A13" s="10" t="n">
        <v>2024</v>
      </c>
      <c r="B13" s="26" t="n">
        <v>3.5</v>
      </c>
      <c r="C13" s="27" t="n">
        <f aca="false">C12*(1+B13/100)</f>
        <v>124.437752035544</v>
      </c>
      <c r="D13" s="3" t="s">
        <v>1120</v>
      </c>
      <c r="E13" s="5" t="n">
        <f aca="false">Observations!$S$18</f>
        <v>1800</v>
      </c>
      <c r="F13" s="5" t="n">
        <f aca="false">Observations!$S$19</f>
        <v>2200</v>
      </c>
      <c r="G13" s="5" t="n">
        <f aca="false">Observations!$S$59</f>
        <v>1500</v>
      </c>
      <c r="H13" s="5" t="n">
        <f aca="false">Observations!$S$72</f>
        <v>275</v>
      </c>
      <c r="I13" s="5" t="n">
        <f aca="false">Observations!$S$92</f>
        <v>310</v>
      </c>
      <c r="J13" s="9" t="n">
        <f aca="false">IF(ISNUMBER(E13),E13*$C$14/C13,"n.d.")</f>
        <v>1801.8</v>
      </c>
      <c r="K13" s="9" t="n">
        <f aca="false">IF(ISNUMBER(G13),G13*$C$14/C13,"n.d.")</f>
        <v>1501.5</v>
      </c>
      <c r="L13" s="9" t="n">
        <f aca="false">IF(ISNUMBER(H13),H13*$C$14/C13,"n.d.")</f>
        <v>275.275</v>
      </c>
      <c r="M13" s="9" t="n">
        <f aca="false">IF(ISNUMBER(I13),I13*$C$14/C13,"n.d.")</f>
        <v>310.31</v>
      </c>
      <c r="N13" s="5" t="n">
        <f aca="false">Observations!$X$18</f>
        <v>5527.02037087838</v>
      </c>
      <c r="O13" s="5" t="n">
        <f aca="false">Observations!$X$59</f>
        <v>2960.09269953515</v>
      </c>
    </row>
    <row r="14" customFormat="false" ht="23.85" hidden="false" customHeight="false" outlineLevel="0" collapsed="false">
      <c r="A14" s="10" t="n">
        <v>2025</v>
      </c>
      <c r="B14" s="26" t="n">
        <v>0.1</v>
      </c>
      <c r="C14" s="27" t="n">
        <f aca="false">C13*(1+B14/100)</f>
        <v>124.56218978758</v>
      </c>
      <c r="D14" s="3" t="s">
        <v>1121</v>
      </c>
      <c r="E14" s="5" t="n">
        <f aca="false">Observations!$S$20</f>
        <v>2800</v>
      </c>
      <c r="F14" s="5" t="n">
        <f aca="false">Observations!$S$21</f>
        <v>1200</v>
      </c>
      <c r="G14" s="5" t="n">
        <f aca="false">Observations!$S$60</f>
        <v>1700</v>
      </c>
      <c r="H14" s="5" t="n">
        <f aca="false">Observations!$S$73</f>
        <v>425</v>
      </c>
      <c r="I14" s="5" t="n">
        <f aca="false">Observations!$S$93</f>
        <v>310</v>
      </c>
      <c r="J14" s="9" t="n">
        <f aca="false">IF(ISNUMBER(E14),E14*$C$14/C14,"n.d.")</f>
        <v>2800</v>
      </c>
      <c r="K14" s="9" t="n">
        <f aca="false">IF(ISNUMBER(G14),G14*$C$14/C14,"n.d.")</f>
        <v>1700</v>
      </c>
      <c r="L14" s="9" t="n">
        <f aca="false">IF(ISNUMBER(H14),H14*$C$14/C14,"n.d.")</f>
        <v>425</v>
      </c>
      <c r="M14" s="9" t="n">
        <f aca="false">IF(ISNUMBER(I14),I14*$C$14/C14,"n.d.")</f>
        <v>310</v>
      </c>
      <c r="N14" s="5" t="n">
        <f aca="false">Observations!$X$20</f>
        <v>2731.10393817679</v>
      </c>
      <c r="O14" s="5" t="n">
        <f aca="false">Observations!$X$60</f>
        <v>2301.71380160331</v>
      </c>
    </row>
    <row r="15" customFormat="false" ht="15" hidden="false" customHeight="false" outlineLevel="0" collapsed="false">
      <c r="A15" s="10" t="n">
        <v>2026</v>
      </c>
      <c r="B15" s="12" t="s">
        <v>66</v>
      </c>
      <c r="C15" s="28" t="n">
        <f aca="false">C14</f>
        <v>124.56218978758</v>
      </c>
      <c r="D15" s="3" t="s">
        <v>1122</v>
      </c>
      <c r="E15" s="5" t="n">
        <f aca="false">Observations!$S$42</f>
        <v>1200</v>
      </c>
      <c r="F15" s="12" t="s">
        <v>66</v>
      </c>
      <c r="G15" s="5" t="n">
        <f aca="false">Observations!$S$61</f>
        <v>1300</v>
      </c>
      <c r="H15" s="5" t="n">
        <f aca="false">Observations!$S$74</f>
        <v>400</v>
      </c>
      <c r="I15" s="12" t="s">
        <v>66</v>
      </c>
      <c r="J15" s="9" t="n">
        <f aca="false">IF(ISNUMBER(E15),E15*$C$14/C15,"n.d.")</f>
        <v>1200</v>
      </c>
      <c r="K15" s="9" t="n">
        <f aca="false">IF(ISNUMBER(G15),G15*$C$14/C15,"n.d.")</f>
        <v>1300</v>
      </c>
      <c r="L15" s="9" t="n">
        <f aca="false">IF(ISNUMBER(H15),H15*$C$14/C15,"n.d.")</f>
        <v>400</v>
      </c>
      <c r="M15" s="9" t="str">
        <f aca="false">IF(ISNUMBER(I15),I15*$C$14/C15,"n.d.")</f>
        <v>n.d.</v>
      </c>
      <c r="N15" s="5" t="n">
        <f aca="false">Observations!$X$42</f>
        <v>3387.54479733635</v>
      </c>
      <c r="O15" s="5" t="n">
        <f aca="false">Observations!$X$61</f>
        <v>2253.19829443069</v>
      </c>
    </row>
    <row r="17" customFormat="false" ht="15" hidden="false" customHeight="false" outlineLevel="0" collapsed="false">
      <c r="A17" s="13" t="s">
        <v>1123</v>
      </c>
      <c r="E17" s="23" t="n">
        <f aca="false">IFERROR(E14/E5-1,"")</f>
        <v>1.54545454545455</v>
      </c>
      <c r="G17" s="23" t="n">
        <f aca="false">IFERROR(G14/G5-1,"")</f>
        <v>1.26666666666667</v>
      </c>
      <c r="H17" s="23" t="n">
        <f aca="false">IFERROR(H14/H5-1,"")</f>
        <v>0.214285714285714</v>
      </c>
      <c r="I17" s="23" t="n">
        <f aca="false">IFERROR(I14/I6-1,"")</f>
        <v>0.169811320754717</v>
      </c>
    </row>
    <row r="18" customFormat="false" ht="15" hidden="false" customHeight="false" outlineLevel="0" collapsed="false">
      <c r="A18" s="13" t="s">
        <v>1124</v>
      </c>
      <c r="J18" s="23" t="n">
        <f aca="false">IFERROR(J14/J5-1,"")</f>
        <v>1.05823438280423</v>
      </c>
      <c r="K18" s="23" t="n">
        <f aca="false">IFERROR(K14/K5-1,"")</f>
        <v>0.832808712306622</v>
      </c>
      <c r="L18" s="23" t="n">
        <f aca="false">IFERROR(L14/L5-1,"")</f>
        <v>-0.0181381898357386</v>
      </c>
      <c r="M18" s="23" t="n">
        <f aca="false">IFERROR(M14/M6-1,"")</f>
        <v>-0.0475731210033133</v>
      </c>
    </row>
    <row r="19" customFormat="false" ht="15" hidden="false" customHeight="false" outlineLevel="0" collapsed="false">
      <c r="A19" s="13" t="s">
        <v>1125</v>
      </c>
      <c r="E19" s="23" t="n">
        <f aca="false">IFERROR(E15/E5-1,"")</f>
        <v>0.0909090909090908</v>
      </c>
      <c r="G19" s="23" t="n">
        <f aca="false">IFERROR(G15/G5-1,"")</f>
        <v>0.733333333333333</v>
      </c>
      <c r="H19" s="23" t="n">
        <f aca="false">IFERROR(H15/H5-1,"")</f>
        <v>0.142857142857143</v>
      </c>
    </row>
    <row r="20" customFormat="false" ht="15" hidden="false" customHeight="false" outlineLevel="0" collapsed="false">
      <c r="A20" s="13" t="s">
        <v>1126</v>
      </c>
      <c r="J20" s="23" t="n">
        <f aca="false">IFERROR(J15/J5-1,"")</f>
        <v>-0.11789955022676</v>
      </c>
      <c r="K20" s="23" t="n">
        <f aca="false">IFERROR(K15/K5-1,"")</f>
        <v>0.401559603528593</v>
      </c>
      <c r="L20" s="23" t="n">
        <f aca="false">IFERROR(L15/L5-1,"")</f>
        <v>-0.0758947669042246</v>
      </c>
    </row>
    <row r="21" customFormat="false" ht="15" hidden="false" customHeight="false" outlineLevel="0" collapsed="false">
      <c r="A21" s="13" t="s">
        <v>1127</v>
      </c>
      <c r="E21" s="23" t="n">
        <f aca="false">STDEV(E5:E14)/AVERAGE(E5:E14)</f>
        <v>0.557178577426595</v>
      </c>
      <c r="G21" s="23" t="n">
        <f aca="false">STDEV(G5:G14)/AVERAGE(G5:G14)</f>
        <v>0.423908264528133</v>
      </c>
      <c r="H21" s="23" t="n">
        <f aca="false">STDEV(H5:H14)/AVERAGE(H5:H14)</f>
        <v>0.195088491225916</v>
      </c>
      <c r="I21" s="23" t="n">
        <f aca="false">STDEV(I6:I14)/AVERAGE(I6:I14)</f>
        <v>0.0624960546665365</v>
      </c>
      <c r="N21" s="23" t="n">
        <f aca="false">STDEV(N5:N14)/AVERAGE(N5:N14)</f>
        <v>0.651468509643441</v>
      </c>
      <c r="O21" s="23" t="n">
        <f aca="false">STDEV(O5:O14)/AVERAGE(O5:O14)</f>
        <v>0.449671600282866</v>
      </c>
    </row>
    <row r="23" customFormat="false" ht="39.75" hidden="false" customHeight="true" outlineLevel="0" collapsed="false">
      <c r="A23" s="3" t="s">
        <v>1128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</sheetData>
  <mergeCells count="1">
    <mergeCell ref="A23:O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6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1129</v>
      </c>
    </row>
    <row r="3" customFormat="false" ht="42" hidden="false" customHeight="true" outlineLevel="0" collapsed="false">
      <c r="A3" s="4" t="s">
        <v>1130</v>
      </c>
      <c r="B3" s="4" t="s">
        <v>1131</v>
      </c>
      <c r="C3" s="4" t="s">
        <v>1132</v>
      </c>
      <c r="D3" s="4" t="s">
        <v>1133</v>
      </c>
      <c r="E3" s="4" t="s">
        <v>1134</v>
      </c>
    </row>
    <row r="4" customFormat="false" ht="23.85" hidden="false" customHeight="false" outlineLevel="0" collapsed="false">
      <c r="A4" s="10" t="s">
        <v>1135</v>
      </c>
      <c r="B4" s="8" t="n">
        <f aca="false">1</f>
        <v>1</v>
      </c>
      <c r="C4" s="5" t="n">
        <f aca="false">Observations!$S$42/B5</f>
        <v>2000</v>
      </c>
      <c r="D4" s="21" t="n">
        <f aca="false">C4/Observations!$Q$42</f>
        <v>3.53840266968719</v>
      </c>
      <c r="E4" s="3" t="s">
        <v>1136</v>
      </c>
    </row>
    <row r="5" customFormat="false" ht="15" hidden="false" customHeight="false" outlineLevel="0" collapsed="false">
      <c r="A5" s="3" t="s">
        <v>1137</v>
      </c>
      <c r="B5" s="29" t="n">
        <f aca="false">0.6</f>
        <v>0.6</v>
      </c>
      <c r="C5" s="9" t="n">
        <f aca="false">$C$4*B5</f>
        <v>1200</v>
      </c>
      <c r="D5" s="21" t="n">
        <f aca="false">C5/Observations!$Q$42</f>
        <v>2.12304160181231</v>
      </c>
      <c r="E5" s="3" t="s">
        <v>1138</v>
      </c>
    </row>
    <row r="6" customFormat="false" ht="15" hidden="false" customHeight="false" outlineLevel="0" collapsed="false">
      <c r="A6" s="3" t="s">
        <v>1139</v>
      </c>
      <c r="B6" s="29" t="n">
        <f aca="false">0.146</f>
        <v>0.146</v>
      </c>
      <c r="C6" s="9" t="n">
        <f aca="false">$C$4*B6</f>
        <v>292</v>
      </c>
      <c r="D6" s="21" t="n">
        <f aca="false">C6/Observations!$Q$42</f>
        <v>0.51660678977433</v>
      </c>
      <c r="E6" s="3" t="s">
        <v>1140</v>
      </c>
    </row>
    <row r="7" customFormat="false" ht="15" hidden="false" customHeight="false" outlineLevel="0" collapsed="false">
      <c r="A7" s="3" t="s">
        <v>1141</v>
      </c>
      <c r="B7" s="29" t="n">
        <f aca="false">0.22-0.146</f>
        <v>0.074</v>
      </c>
      <c r="C7" s="9" t="n">
        <f aca="false">$C$4*B7</f>
        <v>148</v>
      </c>
      <c r="D7" s="21" t="n">
        <f aca="false">C7/Observations!$Q$42</f>
        <v>0.261841797556852</v>
      </c>
      <c r="E7" s="3" t="s">
        <v>1142</v>
      </c>
    </row>
    <row r="8" customFormat="false" ht="23.85" hidden="false" customHeight="false" outlineLevel="0" collapsed="false">
      <c r="A8" s="3" t="s">
        <v>1143</v>
      </c>
      <c r="B8" s="8" t="n">
        <f aca="false">1-B5-B6-B7</f>
        <v>0.18</v>
      </c>
      <c r="C8" s="9" t="n">
        <f aca="false">$C$4*B8</f>
        <v>360</v>
      </c>
      <c r="D8" s="21" t="n">
        <f aca="false">C8/Observations!$Q$42</f>
        <v>0.636912480543694</v>
      </c>
      <c r="E8" s="3" t="s">
        <v>1144</v>
      </c>
    </row>
    <row r="9" customFormat="false" ht="23.85" hidden="false" customHeight="false" outlineLevel="0" collapsed="false">
      <c r="A9" s="10" t="s">
        <v>1145</v>
      </c>
      <c r="C9" s="5" t="n">
        <f aca="false">Observations!$S$144</f>
        <v>3387.54479733635</v>
      </c>
      <c r="D9" s="21" t="n">
        <f aca="false">Observations!$R$144</f>
        <v>5.987</v>
      </c>
      <c r="E9" s="3" t="s">
        <v>1146</v>
      </c>
    </row>
    <row r="11" customFormat="false" ht="42" hidden="false" customHeight="true" outlineLevel="0" collapsed="false">
      <c r="A11" s="4" t="s">
        <v>1147</v>
      </c>
      <c r="B11" s="4" t="s">
        <v>1148</v>
      </c>
      <c r="C11" s="4" t="s">
        <v>1149</v>
      </c>
      <c r="D11" s="4" t="s">
        <v>1133</v>
      </c>
      <c r="E11" s="4" t="s">
        <v>1134</v>
      </c>
    </row>
    <row r="12" customFormat="false" ht="15" hidden="false" customHeight="false" outlineLevel="0" collapsed="false">
      <c r="A12" s="10" t="s">
        <v>1150</v>
      </c>
      <c r="B12" s="30" t="n">
        <f aca="false">400</f>
        <v>400</v>
      </c>
      <c r="C12" s="8" t="n">
        <f aca="false">B12/$B$18</f>
        <v>0.456947417453556</v>
      </c>
      <c r="D12" s="21" t="n">
        <f aca="false">B12/Observations!$Q$83</f>
        <v>0.712837971227547</v>
      </c>
      <c r="E12" s="3" t="s">
        <v>1151</v>
      </c>
    </row>
    <row r="13" customFormat="false" ht="15" hidden="false" customHeight="false" outlineLevel="0" collapsed="false">
      <c r="A13" s="10" t="s">
        <v>1152</v>
      </c>
      <c r="B13" s="30" t="n">
        <f aca="false">425-400</f>
        <v>25</v>
      </c>
      <c r="C13" s="8" t="n">
        <f aca="false">B13/$B$18</f>
        <v>0.0285592135908472</v>
      </c>
      <c r="D13" s="21" t="n">
        <f aca="false">B13/Observations!$Q$83</f>
        <v>0.0445523732017217</v>
      </c>
      <c r="E13" s="3" t="s">
        <v>1153</v>
      </c>
    </row>
    <row r="14" customFormat="false" ht="15" hidden="false" customHeight="false" outlineLevel="0" collapsed="false">
      <c r="A14" s="10" t="s">
        <v>1154</v>
      </c>
      <c r="B14" s="30" t="n">
        <f aca="false">454-425</f>
        <v>29</v>
      </c>
      <c r="C14" s="8" t="n">
        <f aca="false">B14/$B$18</f>
        <v>0.0331286877653828</v>
      </c>
      <c r="D14" s="21" t="n">
        <f aca="false">B14/Observations!$Q$83</f>
        <v>0.0516807529139972</v>
      </c>
      <c r="E14" s="3" t="s">
        <v>1155</v>
      </c>
    </row>
    <row r="15" customFormat="false" ht="15" hidden="false" customHeight="false" outlineLevel="0" collapsed="false">
      <c r="A15" s="10" t="s">
        <v>1156</v>
      </c>
      <c r="B15" s="30" t="n">
        <f aca="false">484-454</f>
        <v>30</v>
      </c>
      <c r="C15" s="8" t="n">
        <f aca="false">B15/$B$18</f>
        <v>0.0342710563090167</v>
      </c>
      <c r="D15" s="21" t="n">
        <f aca="false">B15/Observations!$Q$83</f>
        <v>0.053462847842066</v>
      </c>
      <c r="E15" s="3" t="s">
        <v>1157</v>
      </c>
    </row>
    <row r="16" customFormat="false" ht="15" hidden="false" customHeight="false" outlineLevel="0" collapsed="false">
      <c r="A16" s="10" t="s">
        <v>1158</v>
      </c>
      <c r="B16" s="5" t="n">
        <f aca="false">0.05*Observations!$S$83</f>
        <v>43.768712188931</v>
      </c>
      <c r="C16" s="8" t="n">
        <f aca="false">B16/$B$18</f>
        <v>0.05</v>
      </c>
      <c r="D16" s="21" t="n">
        <f aca="false">B16/Observations!$Q$83</f>
        <v>0.078</v>
      </c>
      <c r="E16" s="3" t="s">
        <v>1159</v>
      </c>
    </row>
    <row r="17" customFormat="false" ht="15" hidden="false" customHeight="false" outlineLevel="0" collapsed="false">
      <c r="A17" s="10" t="s">
        <v>1160</v>
      </c>
      <c r="B17" s="9" t="n">
        <f aca="false">Observations!$S$83-SUM(B12:B16)</f>
        <v>347.60553158969</v>
      </c>
      <c r="C17" s="8" t="n">
        <f aca="false">B17/$B$18</f>
        <v>0.397093624881198</v>
      </c>
      <c r="D17" s="21" t="n">
        <f aca="false">B17/Observations!$Q$83</f>
        <v>0.619466054814668</v>
      </c>
      <c r="E17" s="3" t="s">
        <v>1161</v>
      </c>
    </row>
    <row r="18" customFormat="false" ht="15" hidden="false" customHeight="false" outlineLevel="0" collapsed="false">
      <c r="A18" s="13" t="s">
        <v>1162</v>
      </c>
      <c r="B18" s="5" t="n">
        <f aca="false">Observations!$S$83</f>
        <v>875.374243778621</v>
      </c>
      <c r="C18" s="8" t="n">
        <f aca="false">B18/$B$18</f>
        <v>1</v>
      </c>
      <c r="D18" s="21" t="n">
        <f aca="false">B18/Observations!$Q$83</f>
        <v>1.56</v>
      </c>
      <c r="E18" s="3" t="s">
        <v>1163</v>
      </c>
    </row>
    <row r="20" customFormat="false" ht="42" hidden="false" customHeight="true" outlineLevel="0" collapsed="false">
      <c r="A20" s="4" t="s">
        <v>1164</v>
      </c>
      <c r="B20" s="4" t="s">
        <v>1165</v>
      </c>
      <c r="C20" s="4"/>
      <c r="D20" s="4"/>
      <c r="E20" s="4" t="s">
        <v>1134</v>
      </c>
    </row>
    <row r="21" customFormat="false" ht="15" hidden="false" customHeight="false" outlineLevel="0" collapsed="false">
      <c r="A21" s="10" t="s">
        <v>1166</v>
      </c>
      <c r="B21" s="29" t="n">
        <f aca="false">0.66</f>
        <v>0.66</v>
      </c>
      <c r="E21" s="3" t="s">
        <v>1167</v>
      </c>
    </row>
    <row r="22" customFormat="false" ht="15" hidden="false" customHeight="false" outlineLevel="0" collapsed="false">
      <c r="A22" s="10" t="s">
        <v>1168</v>
      </c>
      <c r="B22" s="6" t="n">
        <f aca="false">AVERAGE(Observations!$Y$101,Observations!$Y$102,Observations!$Y$103,Observations!$Y$104,Observations!$Y$105)</f>
        <v>0.598755269673713</v>
      </c>
      <c r="E22" s="3" t="s">
        <v>1169</v>
      </c>
    </row>
    <row r="23" customFormat="false" ht="15" hidden="false" customHeight="false" outlineLevel="0" collapsed="false">
      <c r="A23" s="10" t="s">
        <v>1170</v>
      </c>
      <c r="B23" s="6" t="n">
        <f aca="false">B22*Parametres!$C$6/0.66</f>
        <v>0.544322972430648</v>
      </c>
      <c r="E23" s="3" t="s">
        <v>1171</v>
      </c>
    </row>
    <row r="24" customFormat="false" ht="15" hidden="false" customHeight="false" outlineLevel="0" collapsed="false">
      <c r="A24" s="10" t="s">
        <v>1172</v>
      </c>
      <c r="B24" s="6" t="n">
        <f aca="false">Observations!$Y$109</f>
        <v>1.00609327286599</v>
      </c>
    </row>
    <row r="26" customFormat="false" ht="42" hidden="false" customHeight="true" outlineLevel="0" collapsed="false">
      <c r="A26" s="4" t="s">
        <v>1173</v>
      </c>
      <c r="B26" s="4" t="s">
        <v>1174</v>
      </c>
      <c r="C26" s="4"/>
      <c r="D26" s="4"/>
      <c r="E26" s="4" t="s">
        <v>1134</v>
      </c>
    </row>
    <row r="27" customFormat="false" ht="15" hidden="false" customHeight="false" outlineLevel="0" collapsed="false">
      <c r="A27" s="10" t="s">
        <v>1175</v>
      </c>
      <c r="B27" s="6" t="n">
        <f aca="false">Observations!$S$111/Observations!$S$112</f>
        <v>0.129032258064516</v>
      </c>
    </row>
    <row r="28" customFormat="false" ht="15" hidden="false" customHeight="false" outlineLevel="0" collapsed="false">
      <c r="A28" s="10" t="s">
        <v>1176</v>
      </c>
      <c r="B28" s="6" t="n">
        <f aca="false">Observations!$Y$111</f>
        <v>0.14347141986305</v>
      </c>
    </row>
    <row r="29" customFormat="false" ht="15" hidden="false" customHeight="false" outlineLevel="0" collapsed="false">
      <c r="A29" s="10" t="s">
        <v>1177</v>
      </c>
      <c r="B29" s="6" t="n">
        <f aca="false">Observations!$Y$114</f>
        <v>0.205966139125938</v>
      </c>
    </row>
    <row r="30" customFormat="false" ht="15" hidden="false" customHeight="false" outlineLevel="0" collapsed="false">
      <c r="A30" s="10" t="s">
        <v>1178</v>
      </c>
      <c r="B30" s="6" t="n">
        <f aca="false">Observations!$Y$115</f>
        <v>0.216889150377712</v>
      </c>
    </row>
    <row r="31" customFormat="false" ht="15" hidden="false" customHeight="false" outlineLevel="0" collapsed="false">
      <c r="A31" s="10" t="s">
        <v>1179</v>
      </c>
      <c r="B31" s="6" t="n">
        <f aca="false">Observations!$Y$112</f>
        <v>1.11190350393864</v>
      </c>
      <c r="E31" s="3" t="s">
        <v>1180</v>
      </c>
    </row>
    <row r="33" customFormat="false" ht="42" hidden="false" customHeight="true" outlineLevel="0" collapsed="false">
      <c r="A33" s="4" t="s">
        <v>1181</v>
      </c>
      <c r="B33" s="4" t="s">
        <v>1165</v>
      </c>
      <c r="C33" s="4"/>
      <c r="D33" s="4"/>
      <c r="E33" s="4" t="s">
        <v>1134</v>
      </c>
    </row>
    <row r="34" customFormat="false" ht="15" hidden="false" customHeight="false" outlineLevel="0" collapsed="false">
      <c r="A34" s="10" t="s">
        <v>1182</v>
      </c>
      <c r="B34" s="31" t="n">
        <v>25300000000</v>
      </c>
      <c r="E34" s="3" t="s">
        <v>1183</v>
      </c>
    </row>
    <row r="35" customFormat="false" ht="15" hidden="false" customHeight="false" outlineLevel="0" collapsed="false">
      <c r="A35" s="10" t="s">
        <v>1184</v>
      </c>
      <c r="B35" s="32" t="n">
        <f aca="false">Volumes_Rendements!B7</f>
        <v>351764</v>
      </c>
    </row>
    <row r="36" customFormat="false" ht="23.85" hidden="false" customHeight="false" outlineLevel="0" collapsed="false">
      <c r="A36" s="10" t="s">
        <v>1185</v>
      </c>
      <c r="B36" s="33" t="n">
        <f aca="false">B34/(B35*1000)</f>
        <v>71.9232212506112</v>
      </c>
      <c r="E36" s="3" t="s">
        <v>1186</v>
      </c>
    </row>
    <row r="37" customFormat="false" ht="15" hidden="false" customHeight="false" outlineLevel="0" collapsed="false">
      <c r="A37" s="10" t="s">
        <v>1187</v>
      </c>
      <c r="B37" s="6" t="n">
        <f aca="false">B36/Observations!$S$93</f>
        <v>0.232010391131004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2"/>
    <col collapsed="false" customWidth="true" hidden="false" outlineLevel="0" max="4" min="4" style="0" width="18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1188</v>
      </c>
    </row>
    <row r="3" customFormat="false" ht="42" hidden="false" customHeight="true" outlineLevel="0" collapsed="false">
      <c r="A3" s="4" t="s">
        <v>36</v>
      </c>
      <c r="B3" s="4" t="s">
        <v>1189</v>
      </c>
      <c r="C3" s="4" t="s">
        <v>1190</v>
      </c>
      <c r="D3" s="4" t="s">
        <v>1191</v>
      </c>
      <c r="E3" s="4" t="s">
        <v>221</v>
      </c>
    </row>
    <row r="4" customFormat="false" ht="15" hidden="false" customHeight="false" outlineLevel="0" collapsed="false">
      <c r="A4" s="13" t="s">
        <v>45</v>
      </c>
      <c r="B4" s="34" t="n">
        <f aca="false">Indicateurs!I32</f>
        <v>57.532424539678</v>
      </c>
      <c r="C4" s="6" t="n">
        <f aca="false">Indicateurs!J32</f>
        <v>0.354238857872395</v>
      </c>
      <c r="D4" s="32" t="n">
        <f aca="false">Volumes_Rendements!F4</f>
        <v>2400</v>
      </c>
      <c r="E4" s="3" t="s">
        <v>1192</v>
      </c>
    </row>
    <row r="5" customFormat="false" ht="15" hidden="false" customHeight="false" outlineLevel="0" collapsed="false">
      <c r="A5" s="13" t="s">
        <v>50</v>
      </c>
      <c r="B5" s="34" t="n">
        <f aca="false">Indicateurs!I33</f>
        <v>67.8270939424768</v>
      </c>
      <c r="C5" s="6" t="n">
        <f aca="false">Indicateurs!J33</f>
        <v>0.576957653133884</v>
      </c>
      <c r="D5" s="32" t="n">
        <f aca="false">Volumes_Rendements!F8</f>
        <v>32.2816</v>
      </c>
      <c r="E5" s="3" t="s">
        <v>1193</v>
      </c>
    </row>
    <row r="6" customFormat="false" ht="15" hidden="false" customHeight="false" outlineLevel="0" collapsed="false">
      <c r="A6" s="13" t="s">
        <v>55</v>
      </c>
      <c r="B6" s="34" t="n">
        <f aca="false">Indicateurs!I34</f>
        <v>97.5609756097561</v>
      </c>
      <c r="C6" s="6" t="n">
        <f aca="false">Indicateurs!J34</f>
        <v>0.456947417453556</v>
      </c>
      <c r="D6" s="32" t="n">
        <f aca="false">Volumes_Rendements!F5</f>
        <v>619.6884</v>
      </c>
      <c r="E6" s="3" t="s">
        <v>1194</v>
      </c>
    </row>
    <row r="7" customFormat="false" ht="15" hidden="false" customHeight="false" outlineLevel="0" collapsed="false">
      <c r="A7" s="13" t="s">
        <v>60</v>
      </c>
      <c r="B7" s="34" t="n">
        <f aca="false">Indicateurs!I35</f>
        <v>103.333333333333</v>
      </c>
      <c r="C7" s="6" t="n">
        <f aca="false">Indicateurs!J35</f>
        <v>0.727950319452892</v>
      </c>
      <c r="D7" s="32" t="n">
        <f aca="false">Volumes_Rendements!F7</f>
        <v>109.04684</v>
      </c>
      <c r="E7" s="3" t="s">
        <v>1195</v>
      </c>
    </row>
    <row r="8" customFormat="false" ht="15" hidden="false" customHeight="false" outlineLevel="0" collapsed="false">
      <c r="A8" s="13" t="s">
        <v>64</v>
      </c>
      <c r="B8" s="34" t="n">
        <f aca="false">Indicateurs!I36</f>
        <v>70.5087293943515</v>
      </c>
      <c r="C8" s="6" t="n">
        <f aca="false">Decomposition!B22</f>
        <v>0.598755269673713</v>
      </c>
      <c r="D8" s="32" t="n">
        <f aca="false">Volumes_Rendements!F6</f>
        <v>774.4</v>
      </c>
      <c r="E8" s="3" t="s">
        <v>1196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40"/>
    <col collapsed="false" customWidth="true" hidden="false" outlineLevel="0" max="8" min="8" style="0" width="50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" t="s">
        <v>1197</v>
      </c>
    </row>
    <row r="3" customFormat="false" ht="42" hidden="false" customHeight="true" outlineLevel="0" collapsed="false">
      <c r="A3" s="4" t="s">
        <v>36</v>
      </c>
      <c r="B3" s="4" t="s">
        <v>1198</v>
      </c>
      <c r="C3" s="4" t="s">
        <v>1199</v>
      </c>
      <c r="D3" s="4" t="s">
        <v>1200</v>
      </c>
      <c r="E3" s="4" t="s">
        <v>245</v>
      </c>
      <c r="F3" s="4" t="s">
        <v>1201</v>
      </c>
      <c r="G3" s="4" t="s">
        <v>255</v>
      </c>
      <c r="H3" s="4" t="s">
        <v>256</v>
      </c>
      <c r="I3" s="4" t="s">
        <v>1202</v>
      </c>
    </row>
    <row r="4" customFormat="false" ht="23.85" hidden="false" customHeight="false" outlineLevel="0" collapsed="false">
      <c r="A4" s="13" t="s">
        <v>45</v>
      </c>
      <c r="B4" s="31" t="n">
        <v>2000000</v>
      </c>
      <c r="C4" s="3" t="s">
        <v>1203</v>
      </c>
      <c r="D4" s="10" t="s">
        <v>103</v>
      </c>
      <c r="E4" s="5" t="n">
        <f aca="false">Observations!$S$42</f>
        <v>1200</v>
      </c>
      <c r="F4" s="33" t="n">
        <f aca="false">B4*1000*E4/1000000000</f>
        <v>2400</v>
      </c>
      <c r="G4" s="3" t="s">
        <v>1204</v>
      </c>
      <c r="H4" s="3" t="s">
        <v>1205</v>
      </c>
      <c r="I4" s="3" t="s">
        <v>1206</v>
      </c>
    </row>
    <row r="5" customFormat="false" ht="35.05" hidden="false" customHeight="false" outlineLevel="0" collapsed="false">
      <c r="A5" s="13" t="s">
        <v>55</v>
      </c>
      <c r="B5" s="31" t="n">
        <v>1549221</v>
      </c>
      <c r="C5" s="3" t="s">
        <v>1207</v>
      </c>
      <c r="D5" s="10" t="s">
        <v>136</v>
      </c>
      <c r="E5" s="5" t="n">
        <f aca="false">Observations!$S$74</f>
        <v>400</v>
      </c>
      <c r="F5" s="33" t="n">
        <f aca="false">B5*1000*E5/1000000000</f>
        <v>619.6884</v>
      </c>
      <c r="G5" s="3" t="s">
        <v>1208</v>
      </c>
      <c r="H5" s="3" t="s">
        <v>1209</v>
      </c>
      <c r="I5" s="3"/>
    </row>
    <row r="6" customFormat="false" ht="23.85" hidden="false" customHeight="false" outlineLevel="0" collapsed="false">
      <c r="A6" s="13" t="s">
        <v>64</v>
      </c>
      <c r="B6" s="31" t="n">
        <v>1600000</v>
      </c>
      <c r="C6" s="3" t="s">
        <v>1210</v>
      </c>
      <c r="D6" s="10" t="s">
        <v>172</v>
      </c>
      <c r="E6" s="5" t="n">
        <f aca="false">Observations!$S$108</f>
        <v>484</v>
      </c>
      <c r="F6" s="33" t="n">
        <f aca="false">B6*1000*E6/1000000000</f>
        <v>774.4</v>
      </c>
      <c r="G6" s="3" t="s">
        <v>1211</v>
      </c>
      <c r="H6" s="3" t="s">
        <v>1212</v>
      </c>
      <c r="I6" s="3" t="s">
        <v>1213</v>
      </c>
    </row>
    <row r="7" customFormat="false" ht="23.85" hidden="false" customHeight="false" outlineLevel="0" collapsed="false">
      <c r="A7" s="13" t="s">
        <v>60</v>
      </c>
      <c r="B7" s="31" t="n">
        <v>351764</v>
      </c>
      <c r="C7" s="3" t="s">
        <v>1214</v>
      </c>
      <c r="D7" s="10" t="s">
        <v>153</v>
      </c>
      <c r="E7" s="5" t="n">
        <f aca="false">Observations!$S$93</f>
        <v>310</v>
      </c>
      <c r="F7" s="33" t="n">
        <f aca="false">B7*1000*E7/1000000000</f>
        <v>109.04684</v>
      </c>
      <c r="G7" s="3" t="s">
        <v>1215</v>
      </c>
      <c r="H7" s="3" t="s">
        <v>1216</v>
      </c>
      <c r="I7" s="3"/>
    </row>
    <row r="8" customFormat="false" ht="23.85" hidden="false" customHeight="false" outlineLevel="0" collapsed="false">
      <c r="A8" s="13" t="s">
        <v>50</v>
      </c>
      <c r="B8" s="31" t="n">
        <v>24832</v>
      </c>
      <c r="C8" s="3" t="s">
        <v>1217</v>
      </c>
      <c r="D8" s="10" t="s">
        <v>128</v>
      </c>
      <c r="E8" s="5" t="n">
        <f aca="false">Observations!$S$61</f>
        <v>1300</v>
      </c>
      <c r="F8" s="33" t="n">
        <f aca="false">B8*1000*E8/1000000000</f>
        <v>32.2816</v>
      </c>
      <c r="G8" s="3" t="s">
        <v>1218</v>
      </c>
      <c r="H8" s="3" t="s">
        <v>1219</v>
      </c>
      <c r="I8" s="3"/>
    </row>
    <row r="10" customFormat="false" ht="42" hidden="false" customHeight="true" outlineLevel="0" collapsed="false">
      <c r="A10" s="4" t="s">
        <v>36</v>
      </c>
      <c r="B10" s="4" t="s">
        <v>230</v>
      </c>
      <c r="C10" s="4" t="s">
        <v>1220</v>
      </c>
      <c r="D10" s="4" t="s">
        <v>1200</v>
      </c>
      <c r="E10" s="4" t="s">
        <v>245</v>
      </c>
      <c r="F10" s="4" t="s">
        <v>1221</v>
      </c>
      <c r="G10" s="4" t="s">
        <v>255</v>
      </c>
      <c r="H10" s="4" t="s">
        <v>256</v>
      </c>
      <c r="I10" s="4"/>
    </row>
    <row r="11" customFormat="false" ht="35.05" hidden="false" customHeight="false" outlineLevel="0" collapsed="false">
      <c r="A11" s="13" t="s">
        <v>45</v>
      </c>
      <c r="B11" s="10" t="s">
        <v>261</v>
      </c>
      <c r="C11" s="31" t="n">
        <v>500</v>
      </c>
      <c r="D11" s="10" t="s">
        <v>103</v>
      </c>
      <c r="E11" s="5" t="n">
        <f aca="false">Observations!$S$42</f>
        <v>1200</v>
      </c>
      <c r="F11" s="33" t="n">
        <f aca="false">C11*E11</f>
        <v>600000</v>
      </c>
      <c r="G11" s="3" t="s">
        <v>1222</v>
      </c>
      <c r="H11" s="3" t="s">
        <v>1223</v>
      </c>
    </row>
    <row r="12" customFormat="false" ht="35.05" hidden="false" customHeight="false" outlineLevel="0" collapsed="false">
      <c r="A12" s="13" t="s">
        <v>45</v>
      </c>
      <c r="B12" s="10" t="s">
        <v>379</v>
      </c>
      <c r="C12" s="31" t="n">
        <v>400</v>
      </c>
      <c r="D12" s="10" t="s">
        <v>104</v>
      </c>
      <c r="E12" s="5" t="n">
        <f aca="false">Observations!$S$43</f>
        <v>2085.78033969767</v>
      </c>
      <c r="F12" s="33" t="n">
        <f aca="false">C12*E12</f>
        <v>834312.135879066</v>
      </c>
      <c r="G12" s="3" t="s">
        <v>1222</v>
      </c>
      <c r="H12" s="3" t="s">
        <v>1223</v>
      </c>
    </row>
    <row r="13" customFormat="false" ht="23.85" hidden="false" customHeight="false" outlineLevel="0" collapsed="false">
      <c r="A13" s="13" t="s">
        <v>60</v>
      </c>
      <c r="B13" s="10" t="s">
        <v>261</v>
      </c>
      <c r="C13" s="31" t="n">
        <v>984</v>
      </c>
      <c r="D13" s="10" t="s">
        <v>153</v>
      </c>
      <c r="E13" s="5" t="n">
        <f aca="false">Observations!$S$93</f>
        <v>310</v>
      </c>
      <c r="F13" s="33" t="n">
        <f aca="false">C13*E13</f>
        <v>305040</v>
      </c>
      <c r="G13" s="3" t="s">
        <v>1215</v>
      </c>
      <c r="H13" s="3" t="s">
        <v>1216</v>
      </c>
    </row>
    <row r="14" customFormat="false" ht="23.85" hidden="false" customHeight="false" outlineLevel="0" collapsed="false">
      <c r="A14" s="13" t="s">
        <v>60</v>
      </c>
      <c r="B14" s="10" t="s">
        <v>83</v>
      </c>
      <c r="C14" s="31" t="n">
        <v>865</v>
      </c>
      <c r="D14" s="10" t="s">
        <v>154</v>
      </c>
      <c r="E14" s="5" t="n">
        <f aca="false">Observations!$S$94</f>
        <v>325</v>
      </c>
      <c r="F14" s="33" t="n">
        <f aca="false">C14*E14</f>
        <v>281125</v>
      </c>
      <c r="G14" s="3" t="s">
        <v>1224</v>
      </c>
      <c r="H14" s="3" t="s">
        <v>1225</v>
      </c>
    </row>
    <row r="15" customFormat="false" ht="23.85" hidden="false" customHeight="false" outlineLevel="0" collapsed="false">
      <c r="A15" s="13" t="s">
        <v>60</v>
      </c>
      <c r="B15" s="10" t="s">
        <v>662</v>
      </c>
      <c r="C15" s="31" t="n">
        <v>914</v>
      </c>
      <c r="D15" s="10" t="s">
        <v>157</v>
      </c>
      <c r="E15" s="5" t="n">
        <f aca="false">Observations!$S$95</f>
        <v>300</v>
      </c>
      <c r="F15" s="33" t="n">
        <f aca="false">C15*E15</f>
        <v>274200</v>
      </c>
      <c r="G15" s="3" t="s">
        <v>1226</v>
      </c>
      <c r="H15" s="3" t="s">
        <v>1227</v>
      </c>
    </row>
    <row r="16" customFormat="false" ht="23.85" hidden="false" customHeight="false" outlineLevel="0" collapsed="false">
      <c r="A16" s="13" t="s">
        <v>60</v>
      </c>
      <c r="B16" s="10" t="s">
        <v>772</v>
      </c>
      <c r="C16" s="31" t="n">
        <v>1248</v>
      </c>
      <c r="D16" s="10" t="s">
        <v>159</v>
      </c>
      <c r="E16" s="5" t="n">
        <f aca="false">Observations!$S$96</f>
        <v>300</v>
      </c>
      <c r="F16" s="33" t="n">
        <f aca="false">C16*E16</f>
        <v>374400</v>
      </c>
      <c r="G16" s="3" t="s">
        <v>1226</v>
      </c>
      <c r="H16" s="3" t="s">
        <v>1227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6"/>
    <col collapsed="false" customWidth="true" hidden="false" outlineLevel="0" max="12" min="12" style="0" width="22"/>
  </cols>
  <sheetData>
    <row r="1" customFormat="false" ht="17.35" hidden="false" customHeight="false" outlineLevel="0" collapsed="false">
      <c r="A1" s="1" t="s">
        <v>1228</v>
      </c>
    </row>
    <row r="3" customFormat="false" ht="42" hidden="false" customHeight="true" outlineLevel="0" collapsed="false">
      <c r="A3" s="4" t="s">
        <v>91</v>
      </c>
      <c r="B3" s="4" t="s">
        <v>218</v>
      </c>
      <c r="C3" s="4" t="s">
        <v>1229</v>
      </c>
      <c r="D3" s="4" t="s">
        <v>1230</v>
      </c>
      <c r="E3" s="4" t="s">
        <v>1231</v>
      </c>
      <c r="F3" s="4" t="s">
        <v>1232</v>
      </c>
      <c r="G3" s="4" t="s">
        <v>237</v>
      </c>
      <c r="H3" s="4" t="s">
        <v>1233</v>
      </c>
      <c r="I3" s="4" t="s">
        <v>1234</v>
      </c>
      <c r="J3" s="4" t="s">
        <v>1235</v>
      </c>
      <c r="K3" s="4" t="s">
        <v>1236</v>
      </c>
      <c r="L3" s="4" t="s">
        <v>1237</v>
      </c>
    </row>
    <row r="4" customFormat="false" ht="60" hidden="false" customHeight="true" outlineLevel="0" collapsed="false">
      <c r="A4" s="2" t="s">
        <v>1238</v>
      </c>
      <c r="B4" s="3" t="s">
        <v>1239</v>
      </c>
      <c r="C4" s="3" t="s">
        <v>1240</v>
      </c>
      <c r="D4" s="3" t="s">
        <v>1241</v>
      </c>
      <c r="E4" s="3" t="s">
        <v>1242</v>
      </c>
      <c r="F4" s="3" t="s">
        <v>1243</v>
      </c>
      <c r="G4" s="3" t="s">
        <v>1244</v>
      </c>
      <c r="H4" s="3" t="s">
        <v>1245</v>
      </c>
      <c r="I4" s="35" t="s">
        <v>1246</v>
      </c>
      <c r="J4" s="3" t="s">
        <v>1247</v>
      </c>
      <c r="K4" s="3" t="s">
        <v>1248</v>
      </c>
      <c r="L4" s="2" t="s">
        <v>1249</v>
      </c>
    </row>
    <row r="5" customFormat="false" ht="60" hidden="false" customHeight="true" outlineLevel="0" collapsed="false">
      <c r="A5" s="2" t="s">
        <v>1250</v>
      </c>
      <c r="B5" s="35" t="s">
        <v>1251</v>
      </c>
      <c r="C5" s="3" t="s">
        <v>1240</v>
      </c>
      <c r="D5" s="35" t="s">
        <v>1252</v>
      </c>
      <c r="E5" s="3" t="s">
        <v>1240</v>
      </c>
      <c r="F5" s="3" t="s">
        <v>1253</v>
      </c>
      <c r="G5" s="3" t="s">
        <v>1240</v>
      </c>
      <c r="H5" s="3" t="s">
        <v>1240</v>
      </c>
      <c r="I5" s="35" t="s">
        <v>1254</v>
      </c>
      <c r="J5" s="3" t="s">
        <v>1255</v>
      </c>
      <c r="K5" s="35" t="s">
        <v>1256</v>
      </c>
      <c r="L5" s="2" t="s">
        <v>116</v>
      </c>
    </row>
    <row r="6" customFormat="false" ht="60" hidden="false" customHeight="true" outlineLevel="0" collapsed="false">
      <c r="A6" s="2" t="s">
        <v>1257</v>
      </c>
      <c r="B6" s="3" t="s">
        <v>1258</v>
      </c>
      <c r="C6" s="3" t="s">
        <v>1259</v>
      </c>
      <c r="D6" s="3" t="s">
        <v>1260</v>
      </c>
      <c r="E6" s="3" t="s">
        <v>1240</v>
      </c>
      <c r="F6" s="3" t="s">
        <v>1240</v>
      </c>
      <c r="G6" s="35" t="s">
        <v>1261</v>
      </c>
      <c r="H6" s="3" t="s">
        <v>1262</v>
      </c>
      <c r="I6" s="3" t="s">
        <v>1263</v>
      </c>
      <c r="J6" s="3" t="s">
        <v>1264</v>
      </c>
      <c r="K6" s="35" t="s">
        <v>1256</v>
      </c>
      <c r="L6" s="2" t="s">
        <v>1265</v>
      </c>
    </row>
    <row r="7" customFormat="false" ht="60" hidden="false" customHeight="true" outlineLevel="0" collapsed="false">
      <c r="A7" s="2" t="s">
        <v>1266</v>
      </c>
      <c r="B7" s="3" t="s">
        <v>1267</v>
      </c>
      <c r="C7" s="3" t="s">
        <v>1268</v>
      </c>
      <c r="D7" s="35" t="s">
        <v>1269</v>
      </c>
      <c r="E7" s="3" t="s">
        <v>1242</v>
      </c>
      <c r="F7" s="3" t="s">
        <v>1240</v>
      </c>
      <c r="G7" s="3" t="s">
        <v>1240</v>
      </c>
      <c r="H7" s="35" t="s">
        <v>1270</v>
      </c>
      <c r="I7" s="3" t="s">
        <v>1271</v>
      </c>
      <c r="J7" s="3" t="s">
        <v>1272</v>
      </c>
      <c r="K7" s="3" t="s">
        <v>1273</v>
      </c>
      <c r="L7" s="2" t="s">
        <v>1249</v>
      </c>
    </row>
    <row r="8" customFormat="false" ht="60" hidden="false" customHeight="true" outlineLevel="0" collapsed="false">
      <c r="A8" s="2" t="s">
        <v>1274</v>
      </c>
      <c r="B8" s="35" t="s">
        <v>1275</v>
      </c>
      <c r="C8" s="3" t="s">
        <v>1240</v>
      </c>
      <c r="D8" s="35" t="s">
        <v>1276</v>
      </c>
      <c r="E8" s="35" t="s">
        <v>1277</v>
      </c>
      <c r="F8" s="3" t="s">
        <v>1240</v>
      </c>
      <c r="G8" s="35" t="s">
        <v>1278</v>
      </c>
      <c r="H8" s="35" t="s">
        <v>1279</v>
      </c>
      <c r="I8" s="35" t="s">
        <v>1280</v>
      </c>
      <c r="J8" s="3" t="s">
        <v>1281</v>
      </c>
      <c r="K8" s="35" t="s">
        <v>1256</v>
      </c>
      <c r="L8" s="2" t="s">
        <v>116</v>
      </c>
    </row>
    <row r="9" customFormat="false" ht="60" hidden="false" customHeight="true" outlineLevel="0" collapsed="false">
      <c r="A9" s="2" t="s">
        <v>1282</v>
      </c>
      <c r="B9" s="3" t="s">
        <v>1283</v>
      </c>
      <c r="C9" s="3" t="s">
        <v>1284</v>
      </c>
      <c r="D9" s="3" t="s">
        <v>1240</v>
      </c>
      <c r="E9" s="3" t="s">
        <v>1240</v>
      </c>
      <c r="F9" s="3" t="s">
        <v>1240</v>
      </c>
      <c r="G9" s="3" t="s">
        <v>1285</v>
      </c>
      <c r="H9" s="3" t="s">
        <v>1286</v>
      </c>
      <c r="I9" s="35" t="s">
        <v>1287</v>
      </c>
      <c r="J9" s="3" t="s">
        <v>1288</v>
      </c>
      <c r="K9" s="35" t="s">
        <v>1256</v>
      </c>
      <c r="L9" s="2" t="s">
        <v>1249</v>
      </c>
    </row>
    <row r="10" customFormat="false" ht="60" hidden="false" customHeight="true" outlineLevel="0" collapsed="false">
      <c r="A10" s="2" t="s">
        <v>1289</v>
      </c>
      <c r="B10" s="35" t="s">
        <v>1290</v>
      </c>
      <c r="C10" s="3" t="s">
        <v>1240</v>
      </c>
      <c r="D10" s="3" t="s">
        <v>1291</v>
      </c>
      <c r="E10" s="3" t="s">
        <v>1292</v>
      </c>
      <c r="F10" s="3" t="s">
        <v>1293</v>
      </c>
      <c r="G10" s="3" t="s">
        <v>1294</v>
      </c>
      <c r="H10" s="35" t="s">
        <v>1295</v>
      </c>
      <c r="I10" s="35" t="s">
        <v>1296</v>
      </c>
      <c r="J10" s="3" t="s">
        <v>1297</v>
      </c>
      <c r="K10" s="35" t="s">
        <v>1256</v>
      </c>
      <c r="L10" s="2" t="s">
        <v>116</v>
      </c>
    </row>
    <row r="11" customFormat="false" ht="60" hidden="false" customHeight="true" outlineLevel="0" collapsed="false">
      <c r="A11" s="2" t="s">
        <v>1298</v>
      </c>
      <c r="B11" s="3" t="s">
        <v>1299</v>
      </c>
      <c r="C11" s="3" t="s">
        <v>1300</v>
      </c>
      <c r="D11" s="35" t="s">
        <v>1301</v>
      </c>
      <c r="E11" s="35" t="s">
        <v>1302</v>
      </c>
      <c r="F11" s="3" t="s">
        <v>1240</v>
      </c>
      <c r="G11" s="3" t="s">
        <v>1294</v>
      </c>
      <c r="H11" s="3" t="s">
        <v>1303</v>
      </c>
      <c r="I11" s="3" t="s">
        <v>1304</v>
      </c>
      <c r="J11" s="3" t="s">
        <v>1305</v>
      </c>
      <c r="K11" s="3" t="s">
        <v>1306</v>
      </c>
      <c r="L11" s="2" t="s">
        <v>116</v>
      </c>
    </row>
    <row r="12" customFormat="false" ht="60" hidden="false" customHeight="true" outlineLevel="0" collapsed="false">
      <c r="A12" s="2" t="s">
        <v>1307</v>
      </c>
      <c r="B12" s="3" t="s">
        <v>1308</v>
      </c>
      <c r="C12" s="3" t="s">
        <v>1309</v>
      </c>
      <c r="D12" s="35" t="s">
        <v>1310</v>
      </c>
      <c r="E12" s="3" t="s">
        <v>1240</v>
      </c>
      <c r="F12" s="3" t="s">
        <v>1240</v>
      </c>
      <c r="G12" s="3" t="s">
        <v>1240</v>
      </c>
      <c r="H12" s="35" t="s">
        <v>1311</v>
      </c>
      <c r="I12" s="3" t="s">
        <v>1312</v>
      </c>
      <c r="J12" s="3" t="s">
        <v>1313</v>
      </c>
      <c r="K12" s="3" t="s">
        <v>1314</v>
      </c>
      <c r="L12" s="2" t="s">
        <v>1315</v>
      </c>
    </row>
    <row r="13" customFormat="false" ht="60" hidden="false" customHeight="true" outlineLevel="0" collapsed="false">
      <c r="A13" s="2" t="s">
        <v>1316</v>
      </c>
      <c r="B13" s="35" t="s">
        <v>87</v>
      </c>
      <c r="C13" s="35" t="s">
        <v>87</v>
      </c>
      <c r="D13" s="35" t="s">
        <v>87</v>
      </c>
      <c r="E13" s="35" t="s">
        <v>87</v>
      </c>
      <c r="F13" s="35" t="s">
        <v>87</v>
      </c>
      <c r="G13" s="35" t="s">
        <v>87</v>
      </c>
      <c r="H13" s="35" t="s">
        <v>87</v>
      </c>
      <c r="I13" s="35" t="s">
        <v>87</v>
      </c>
      <c r="J13" s="35" t="s">
        <v>87</v>
      </c>
      <c r="K13" s="35" t="s">
        <v>87</v>
      </c>
      <c r="L13" s="2" t="s">
        <v>1317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4" min="3" style="0" width="70"/>
    <col collapsed="false" customWidth="true" hidden="false" outlineLevel="0" max="5" min="5" style="0" width="22"/>
    <col collapsed="false" customWidth="true" hidden="false" outlineLevel="0" max="6" min="6" style="0" width="9"/>
    <col collapsed="false" customWidth="true" hidden="false" outlineLevel="0" max="7" min="7" style="0" width="12"/>
  </cols>
  <sheetData>
    <row r="1" customFormat="false" ht="42" hidden="false" customHeight="true" outlineLevel="0" collapsed="false">
      <c r="A1" s="4" t="s">
        <v>1318</v>
      </c>
      <c r="B1" s="4" t="s">
        <v>1319</v>
      </c>
      <c r="C1" s="4" t="s">
        <v>1320</v>
      </c>
      <c r="D1" s="4" t="s">
        <v>256</v>
      </c>
      <c r="E1" s="4" t="s">
        <v>1321</v>
      </c>
      <c r="F1" s="4" t="s">
        <v>9</v>
      </c>
      <c r="G1" s="4" t="s">
        <v>257</v>
      </c>
    </row>
    <row r="2" customFormat="false" ht="23.85" hidden="false" customHeight="false" outlineLevel="0" collapsed="false">
      <c r="A2" s="10" t="s">
        <v>1322</v>
      </c>
      <c r="B2" s="3" t="s">
        <v>1323</v>
      </c>
      <c r="C2" s="3" t="s">
        <v>1324</v>
      </c>
      <c r="D2" s="3" t="s">
        <v>1325</v>
      </c>
      <c r="E2" s="10" t="s">
        <v>1326</v>
      </c>
      <c r="F2" s="7" t="s">
        <v>401</v>
      </c>
      <c r="G2" s="10" t="s">
        <v>275</v>
      </c>
    </row>
    <row r="3" customFormat="false" ht="23.85" hidden="false" customHeight="false" outlineLevel="0" collapsed="false">
      <c r="A3" s="10" t="s">
        <v>1327</v>
      </c>
      <c r="B3" s="3" t="s">
        <v>1328</v>
      </c>
      <c r="C3" s="3" t="s">
        <v>1329</v>
      </c>
      <c r="D3" s="3" t="s">
        <v>654</v>
      </c>
      <c r="E3" s="10" t="s">
        <v>1330</v>
      </c>
      <c r="F3" s="7" t="s">
        <v>81</v>
      </c>
      <c r="G3" s="10" t="s">
        <v>275</v>
      </c>
    </row>
    <row r="4" customFormat="false" ht="23.85" hidden="false" customHeight="false" outlineLevel="0" collapsed="false">
      <c r="A4" s="10" t="s">
        <v>1331</v>
      </c>
      <c r="B4" s="3" t="s">
        <v>1332</v>
      </c>
      <c r="C4" s="3" t="s">
        <v>1333</v>
      </c>
      <c r="D4" s="3" t="s">
        <v>767</v>
      </c>
      <c r="E4" s="10" t="s">
        <v>1334</v>
      </c>
      <c r="F4" s="7" t="s">
        <v>401</v>
      </c>
      <c r="G4" s="10" t="s">
        <v>275</v>
      </c>
    </row>
    <row r="5" customFormat="false" ht="23.85" hidden="false" customHeight="false" outlineLevel="0" collapsed="false">
      <c r="A5" s="10" t="s">
        <v>1335</v>
      </c>
      <c r="B5" s="3" t="s">
        <v>1336</v>
      </c>
      <c r="C5" s="3" t="s">
        <v>1337</v>
      </c>
      <c r="D5" s="3" t="s">
        <v>1225</v>
      </c>
      <c r="E5" s="10" t="s">
        <v>1338</v>
      </c>
      <c r="F5" s="7" t="s">
        <v>81</v>
      </c>
      <c r="G5" s="10" t="s">
        <v>275</v>
      </c>
    </row>
    <row r="6" customFormat="false" ht="15" hidden="false" customHeight="false" outlineLevel="0" collapsed="false">
      <c r="A6" s="10" t="s">
        <v>1339</v>
      </c>
      <c r="B6" s="3" t="s">
        <v>1340</v>
      </c>
      <c r="C6" s="3" t="s">
        <v>1341</v>
      </c>
      <c r="D6" s="3" t="s">
        <v>932</v>
      </c>
      <c r="E6" s="10" t="s">
        <v>1330</v>
      </c>
      <c r="F6" s="7" t="s">
        <v>81</v>
      </c>
      <c r="G6" s="10" t="s">
        <v>275</v>
      </c>
    </row>
    <row r="7" customFormat="false" ht="23.85" hidden="false" customHeight="false" outlineLevel="0" collapsed="false">
      <c r="A7" s="10" t="s">
        <v>1342</v>
      </c>
      <c r="B7" s="3" t="s">
        <v>1343</v>
      </c>
      <c r="C7" s="3" t="s">
        <v>1344</v>
      </c>
      <c r="D7" s="3" t="s">
        <v>774</v>
      </c>
      <c r="E7" s="10" t="s">
        <v>1345</v>
      </c>
      <c r="F7" s="7" t="s">
        <v>81</v>
      </c>
      <c r="G7" s="10" t="s">
        <v>275</v>
      </c>
    </row>
    <row r="8" customFormat="false" ht="23.85" hidden="false" customHeight="false" outlineLevel="0" collapsed="false">
      <c r="A8" s="10" t="s">
        <v>1346</v>
      </c>
      <c r="B8" s="3" t="s">
        <v>1347</v>
      </c>
      <c r="C8" s="3" t="s">
        <v>1348</v>
      </c>
      <c r="D8" s="3" t="s">
        <v>787</v>
      </c>
      <c r="E8" s="10" t="s">
        <v>1330</v>
      </c>
      <c r="F8" s="7" t="s">
        <v>81</v>
      </c>
      <c r="G8" s="10" t="s">
        <v>275</v>
      </c>
    </row>
    <row r="9" customFormat="false" ht="23.85" hidden="false" customHeight="false" outlineLevel="0" collapsed="false">
      <c r="A9" s="10" t="s">
        <v>1349</v>
      </c>
      <c r="B9" s="3" t="s">
        <v>1350</v>
      </c>
      <c r="C9" s="3" t="s">
        <v>1351</v>
      </c>
      <c r="D9" s="3" t="s">
        <v>1352</v>
      </c>
      <c r="E9" s="10" t="s">
        <v>1353</v>
      </c>
      <c r="F9" s="7" t="s">
        <v>401</v>
      </c>
      <c r="G9" s="10" t="s">
        <v>275</v>
      </c>
    </row>
    <row r="10" customFormat="false" ht="15" hidden="false" customHeight="false" outlineLevel="0" collapsed="false">
      <c r="A10" s="10" t="s">
        <v>1354</v>
      </c>
      <c r="B10" s="3" t="s">
        <v>1350</v>
      </c>
      <c r="C10" s="3" t="s">
        <v>1355</v>
      </c>
      <c r="D10" s="3" t="s">
        <v>941</v>
      </c>
      <c r="E10" s="10" t="s">
        <v>1353</v>
      </c>
      <c r="F10" s="7" t="s">
        <v>401</v>
      </c>
      <c r="G10" s="10" t="s">
        <v>275</v>
      </c>
    </row>
    <row r="11" customFormat="false" ht="15" hidden="false" customHeight="false" outlineLevel="0" collapsed="false">
      <c r="A11" s="10" t="s">
        <v>1356</v>
      </c>
      <c r="B11" s="3" t="s">
        <v>1357</v>
      </c>
      <c r="C11" s="3" t="s">
        <v>1358</v>
      </c>
      <c r="D11" s="3" t="s">
        <v>1359</v>
      </c>
      <c r="E11" s="10" t="s">
        <v>1326</v>
      </c>
      <c r="F11" s="7" t="s">
        <v>401</v>
      </c>
      <c r="G11" s="10" t="s">
        <v>275</v>
      </c>
    </row>
    <row r="12" customFormat="false" ht="15" hidden="false" customHeight="false" outlineLevel="0" collapsed="false">
      <c r="A12" s="10" t="s">
        <v>1360</v>
      </c>
      <c r="B12" s="3" t="s">
        <v>1361</v>
      </c>
      <c r="C12" s="3" t="s">
        <v>1362</v>
      </c>
      <c r="D12" s="3" t="s">
        <v>1363</v>
      </c>
      <c r="E12" s="10" t="s">
        <v>1353</v>
      </c>
      <c r="F12" s="7" t="s">
        <v>401</v>
      </c>
      <c r="G12" s="10" t="s">
        <v>275</v>
      </c>
    </row>
    <row r="13" customFormat="false" ht="23.85" hidden="false" customHeight="false" outlineLevel="0" collapsed="false">
      <c r="A13" s="10" t="s">
        <v>1364</v>
      </c>
      <c r="B13" s="3" t="s">
        <v>1365</v>
      </c>
      <c r="C13" s="3" t="s">
        <v>1366</v>
      </c>
      <c r="D13" s="3" t="s">
        <v>590</v>
      </c>
      <c r="E13" s="10" t="s">
        <v>1330</v>
      </c>
      <c r="F13" s="7" t="s">
        <v>81</v>
      </c>
      <c r="G13" s="10" t="s">
        <v>275</v>
      </c>
    </row>
    <row r="14" customFormat="false" ht="15" hidden="false" customHeight="false" outlineLevel="0" collapsed="false">
      <c r="A14" s="10" t="s">
        <v>1367</v>
      </c>
      <c r="B14" s="3" t="s">
        <v>1368</v>
      </c>
      <c r="C14" s="3" t="s">
        <v>1369</v>
      </c>
      <c r="D14" s="3" t="s">
        <v>596</v>
      </c>
      <c r="E14" s="10" t="s">
        <v>1330</v>
      </c>
      <c r="F14" s="7" t="s">
        <v>81</v>
      </c>
      <c r="G14" s="10" t="s">
        <v>275</v>
      </c>
    </row>
    <row r="15" customFormat="false" ht="23.85" hidden="false" customHeight="false" outlineLevel="0" collapsed="false">
      <c r="A15" s="10" t="s">
        <v>1370</v>
      </c>
      <c r="B15" s="3" t="s">
        <v>1371</v>
      </c>
      <c r="C15" s="3" t="s">
        <v>1372</v>
      </c>
      <c r="D15" s="3" t="s">
        <v>601</v>
      </c>
      <c r="E15" s="10" t="s">
        <v>1330</v>
      </c>
      <c r="F15" s="7" t="s">
        <v>81</v>
      </c>
      <c r="G15" s="10" t="s">
        <v>275</v>
      </c>
    </row>
    <row r="16" customFormat="false" ht="15" hidden="false" customHeight="false" outlineLevel="0" collapsed="false">
      <c r="A16" s="10" t="s">
        <v>1373</v>
      </c>
      <c r="B16" s="3" t="s">
        <v>1374</v>
      </c>
      <c r="C16" s="3" t="s">
        <v>1375</v>
      </c>
      <c r="D16" s="3" t="s">
        <v>606</v>
      </c>
      <c r="E16" s="10" t="s">
        <v>1330</v>
      </c>
      <c r="F16" s="7" t="s">
        <v>81</v>
      </c>
      <c r="G16" s="10" t="s">
        <v>275</v>
      </c>
    </row>
    <row r="17" customFormat="false" ht="15" hidden="false" customHeight="false" outlineLevel="0" collapsed="false">
      <c r="A17" s="10" t="s">
        <v>1376</v>
      </c>
      <c r="B17" s="3" t="s">
        <v>1374</v>
      </c>
      <c r="C17" s="3" t="s">
        <v>1377</v>
      </c>
      <c r="D17" s="3" t="s">
        <v>611</v>
      </c>
      <c r="E17" s="10" t="s">
        <v>1330</v>
      </c>
      <c r="F17" s="7" t="s">
        <v>81</v>
      </c>
      <c r="G17" s="10" t="s">
        <v>275</v>
      </c>
    </row>
    <row r="18" customFormat="false" ht="15" hidden="false" customHeight="false" outlineLevel="0" collapsed="false">
      <c r="A18" s="10" t="s">
        <v>1378</v>
      </c>
      <c r="B18" s="3" t="s">
        <v>1365</v>
      </c>
      <c r="C18" s="3" t="s">
        <v>1379</v>
      </c>
      <c r="D18" s="3" t="s">
        <v>624</v>
      </c>
      <c r="E18" s="10" t="s">
        <v>1330</v>
      </c>
      <c r="F18" s="7" t="s">
        <v>81</v>
      </c>
      <c r="G18" s="10" t="s">
        <v>275</v>
      </c>
    </row>
    <row r="19" customFormat="false" ht="23.85" hidden="false" customHeight="false" outlineLevel="0" collapsed="false">
      <c r="A19" s="10" t="s">
        <v>1380</v>
      </c>
      <c r="B19" s="3" t="s">
        <v>1381</v>
      </c>
      <c r="C19" s="3" t="s">
        <v>1382</v>
      </c>
      <c r="D19" s="3" t="s">
        <v>629</v>
      </c>
      <c r="E19" s="10" t="s">
        <v>1383</v>
      </c>
      <c r="F19" s="7" t="s">
        <v>81</v>
      </c>
      <c r="G19" s="10" t="s">
        <v>275</v>
      </c>
    </row>
    <row r="20" customFormat="false" ht="23.85" hidden="false" customHeight="false" outlineLevel="0" collapsed="false">
      <c r="A20" s="10" t="s">
        <v>1384</v>
      </c>
      <c r="B20" s="3" t="s">
        <v>1385</v>
      </c>
      <c r="C20" s="3" t="s">
        <v>1386</v>
      </c>
      <c r="D20" s="3" t="s">
        <v>632</v>
      </c>
      <c r="E20" s="10" t="s">
        <v>1330</v>
      </c>
      <c r="F20" s="7" t="s">
        <v>81</v>
      </c>
      <c r="G20" s="10" t="s">
        <v>275</v>
      </c>
    </row>
    <row r="21" customFormat="false" ht="23.85" hidden="false" customHeight="false" outlineLevel="0" collapsed="false">
      <c r="A21" s="10" t="s">
        <v>1387</v>
      </c>
      <c r="B21" s="3" t="s">
        <v>1388</v>
      </c>
      <c r="C21" s="3" t="s">
        <v>1389</v>
      </c>
      <c r="D21" s="3" t="s">
        <v>637</v>
      </c>
      <c r="E21" s="10" t="s">
        <v>1330</v>
      </c>
      <c r="F21" s="7" t="s">
        <v>81</v>
      </c>
      <c r="G21" s="10" t="s">
        <v>275</v>
      </c>
    </row>
    <row r="22" customFormat="false" ht="23.85" hidden="false" customHeight="false" outlineLevel="0" collapsed="false">
      <c r="A22" s="10" t="s">
        <v>1390</v>
      </c>
      <c r="B22" s="3" t="s">
        <v>1391</v>
      </c>
      <c r="C22" s="3" t="s">
        <v>1392</v>
      </c>
      <c r="D22" s="3" t="s">
        <v>616</v>
      </c>
      <c r="E22" s="10" t="s">
        <v>1330</v>
      </c>
      <c r="F22" s="7" t="s">
        <v>81</v>
      </c>
      <c r="G22" s="10" t="s">
        <v>275</v>
      </c>
    </row>
    <row r="23" customFormat="false" ht="23.85" hidden="false" customHeight="false" outlineLevel="0" collapsed="false">
      <c r="A23" s="10" t="s">
        <v>1393</v>
      </c>
      <c r="B23" s="3" t="s">
        <v>1394</v>
      </c>
      <c r="C23" s="3" t="s">
        <v>1395</v>
      </c>
      <c r="D23" s="3" t="s">
        <v>649</v>
      </c>
      <c r="E23" s="10" t="s">
        <v>1330</v>
      </c>
      <c r="F23" s="7" t="s">
        <v>81</v>
      </c>
      <c r="G23" s="10" t="s">
        <v>275</v>
      </c>
    </row>
    <row r="24" customFormat="false" ht="23.85" hidden="false" customHeight="false" outlineLevel="0" collapsed="false">
      <c r="A24" s="10" t="s">
        <v>1396</v>
      </c>
      <c r="B24" s="3" t="s">
        <v>1397</v>
      </c>
      <c r="C24" s="3" t="s">
        <v>1398</v>
      </c>
      <c r="D24" s="3" t="s">
        <v>1399</v>
      </c>
      <c r="E24" s="10" t="s">
        <v>1383</v>
      </c>
      <c r="F24" s="7" t="s">
        <v>81</v>
      </c>
      <c r="G24" s="10" t="s">
        <v>275</v>
      </c>
    </row>
    <row r="25" customFormat="false" ht="15" hidden="false" customHeight="false" outlineLevel="0" collapsed="false">
      <c r="A25" s="10" t="s">
        <v>1400</v>
      </c>
      <c r="B25" s="3" t="s">
        <v>1401</v>
      </c>
      <c r="C25" s="3" t="s">
        <v>1402</v>
      </c>
      <c r="D25" s="3" t="s">
        <v>1403</v>
      </c>
      <c r="E25" s="10" t="s">
        <v>1338</v>
      </c>
      <c r="F25" s="7" t="s">
        <v>81</v>
      </c>
      <c r="G25" s="10" t="s">
        <v>275</v>
      </c>
    </row>
    <row r="26" customFormat="false" ht="23.85" hidden="false" customHeight="false" outlineLevel="0" collapsed="false">
      <c r="A26" s="10" t="s">
        <v>1404</v>
      </c>
      <c r="B26" s="3" t="s">
        <v>1381</v>
      </c>
      <c r="C26" s="3" t="s">
        <v>1405</v>
      </c>
      <c r="D26" s="3" t="s">
        <v>1209</v>
      </c>
      <c r="E26" s="10" t="s">
        <v>1383</v>
      </c>
      <c r="F26" s="7" t="s">
        <v>81</v>
      </c>
      <c r="G26" s="10" t="s">
        <v>275</v>
      </c>
    </row>
    <row r="27" customFormat="false" ht="15" hidden="false" customHeight="false" outlineLevel="0" collapsed="false">
      <c r="A27" s="10" t="s">
        <v>1406</v>
      </c>
      <c r="B27" s="3" t="s">
        <v>1407</v>
      </c>
      <c r="C27" s="3" t="s">
        <v>1408</v>
      </c>
      <c r="D27" s="3" t="s">
        <v>702</v>
      </c>
      <c r="E27" s="10" t="s">
        <v>1409</v>
      </c>
      <c r="F27" s="20" t="s">
        <v>484</v>
      </c>
      <c r="G27" s="10" t="s">
        <v>275</v>
      </c>
    </row>
    <row r="28" customFormat="false" ht="23.85" hidden="false" customHeight="false" outlineLevel="0" collapsed="false">
      <c r="A28" s="10" t="s">
        <v>1410</v>
      </c>
      <c r="B28" s="3" t="s">
        <v>1397</v>
      </c>
      <c r="C28" s="3" t="s">
        <v>1411</v>
      </c>
      <c r="D28" s="3" t="s">
        <v>643</v>
      </c>
      <c r="E28" s="10" t="s">
        <v>1383</v>
      </c>
      <c r="F28" s="7" t="s">
        <v>81</v>
      </c>
      <c r="G28" s="10" t="s">
        <v>275</v>
      </c>
    </row>
    <row r="29" customFormat="false" ht="23.85" hidden="false" customHeight="false" outlineLevel="0" collapsed="false">
      <c r="A29" s="10" t="s">
        <v>1412</v>
      </c>
      <c r="B29" s="3" t="s">
        <v>1336</v>
      </c>
      <c r="C29" s="3" t="s">
        <v>1413</v>
      </c>
      <c r="D29" s="3" t="s">
        <v>1414</v>
      </c>
      <c r="E29" s="10" t="s">
        <v>1338</v>
      </c>
      <c r="F29" s="7" t="s">
        <v>81</v>
      </c>
      <c r="G29" s="10" t="s">
        <v>275</v>
      </c>
    </row>
    <row r="30" customFormat="false" ht="15" hidden="false" customHeight="false" outlineLevel="0" collapsed="false">
      <c r="A30" s="10" t="s">
        <v>1415</v>
      </c>
      <c r="B30" s="3" t="s">
        <v>1416</v>
      </c>
      <c r="C30" s="3" t="s">
        <v>1417</v>
      </c>
      <c r="D30" s="3" t="s">
        <v>1418</v>
      </c>
      <c r="E30" s="10" t="s">
        <v>1338</v>
      </c>
      <c r="F30" s="7" t="s">
        <v>81</v>
      </c>
      <c r="G30" s="10" t="s">
        <v>275</v>
      </c>
    </row>
    <row r="31" customFormat="false" ht="23.85" hidden="false" customHeight="false" outlineLevel="0" collapsed="false">
      <c r="A31" s="10" t="s">
        <v>1419</v>
      </c>
      <c r="B31" s="3" t="s">
        <v>1336</v>
      </c>
      <c r="C31" s="3" t="s">
        <v>1420</v>
      </c>
      <c r="D31" s="3" t="s">
        <v>1421</v>
      </c>
      <c r="E31" s="10" t="s">
        <v>1338</v>
      </c>
      <c r="F31" s="7" t="s">
        <v>81</v>
      </c>
      <c r="G31" s="10" t="s">
        <v>275</v>
      </c>
    </row>
    <row r="32" customFormat="false" ht="23.85" hidden="false" customHeight="false" outlineLevel="0" collapsed="false">
      <c r="A32" s="10" t="s">
        <v>1422</v>
      </c>
      <c r="B32" s="3" t="s">
        <v>1423</v>
      </c>
      <c r="C32" s="3" t="s">
        <v>1424</v>
      </c>
      <c r="D32" s="3" t="s">
        <v>282</v>
      </c>
      <c r="E32" s="10" t="s">
        <v>1330</v>
      </c>
      <c r="F32" s="7" t="s">
        <v>81</v>
      </c>
      <c r="G32" s="10" t="s">
        <v>275</v>
      </c>
    </row>
    <row r="33" customFormat="false" ht="23.85" hidden="false" customHeight="false" outlineLevel="0" collapsed="false">
      <c r="A33" s="10" t="s">
        <v>1425</v>
      </c>
      <c r="B33" s="3" t="s">
        <v>1426</v>
      </c>
      <c r="C33" s="3" t="s">
        <v>1427</v>
      </c>
      <c r="D33" s="3" t="s">
        <v>274</v>
      </c>
      <c r="E33" s="10" t="s">
        <v>1330</v>
      </c>
      <c r="F33" s="7" t="s">
        <v>81</v>
      </c>
      <c r="G33" s="10" t="s">
        <v>275</v>
      </c>
    </row>
    <row r="34" customFormat="false" ht="23.85" hidden="false" customHeight="false" outlineLevel="0" collapsed="false">
      <c r="A34" s="10" t="s">
        <v>1428</v>
      </c>
      <c r="B34" s="3" t="s">
        <v>1423</v>
      </c>
      <c r="C34" s="3" t="s">
        <v>1429</v>
      </c>
      <c r="D34" s="3" t="s">
        <v>288</v>
      </c>
      <c r="E34" s="10" t="s">
        <v>1330</v>
      </c>
      <c r="F34" s="7" t="s">
        <v>81</v>
      </c>
      <c r="G34" s="10" t="s">
        <v>275</v>
      </c>
    </row>
    <row r="35" customFormat="false" ht="15" hidden="false" customHeight="false" outlineLevel="0" collapsed="false">
      <c r="A35" s="10" t="s">
        <v>1430</v>
      </c>
      <c r="B35" s="3" t="s">
        <v>1431</v>
      </c>
      <c r="C35" s="3" t="s">
        <v>1432</v>
      </c>
      <c r="D35" s="3" t="s">
        <v>302</v>
      </c>
      <c r="E35" s="10" t="s">
        <v>1330</v>
      </c>
      <c r="F35" s="7" t="s">
        <v>81</v>
      </c>
      <c r="G35" s="10" t="s">
        <v>275</v>
      </c>
    </row>
    <row r="36" customFormat="false" ht="23.85" hidden="false" customHeight="false" outlineLevel="0" collapsed="false">
      <c r="A36" s="10" t="s">
        <v>1433</v>
      </c>
      <c r="B36" s="3" t="s">
        <v>1434</v>
      </c>
      <c r="C36" s="3" t="s">
        <v>1435</v>
      </c>
      <c r="D36" s="3" t="s">
        <v>297</v>
      </c>
      <c r="E36" s="10" t="s">
        <v>1330</v>
      </c>
      <c r="F36" s="7" t="s">
        <v>81</v>
      </c>
      <c r="G36" s="10" t="s">
        <v>275</v>
      </c>
    </row>
    <row r="37" customFormat="false" ht="23.85" hidden="false" customHeight="false" outlineLevel="0" collapsed="false">
      <c r="A37" s="10" t="s">
        <v>1436</v>
      </c>
      <c r="B37" s="3" t="s">
        <v>1423</v>
      </c>
      <c r="C37" s="3" t="s">
        <v>1437</v>
      </c>
      <c r="D37" s="3" t="s">
        <v>313</v>
      </c>
      <c r="E37" s="10" t="s">
        <v>1330</v>
      </c>
      <c r="F37" s="7" t="s">
        <v>81</v>
      </c>
      <c r="G37" s="10" t="s">
        <v>275</v>
      </c>
    </row>
    <row r="38" customFormat="false" ht="23.85" hidden="false" customHeight="false" outlineLevel="0" collapsed="false">
      <c r="A38" s="10" t="s">
        <v>1438</v>
      </c>
      <c r="B38" s="3" t="s">
        <v>1423</v>
      </c>
      <c r="C38" s="3" t="s">
        <v>1439</v>
      </c>
      <c r="D38" s="3" t="s">
        <v>308</v>
      </c>
      <c r="E38" s="10" t="s">
        <v>1330</v>
      </c>
      <c r="F38" s="7" t="s">
        <v>81</v>
      </c>
      <c r="G38" s="10" t="s">
        <v>275</v>
      </c>
    </row>
    <row r="39" customFormat="false" ht="23.85" hidden="false" customHeight="false" outlineLevel="0" collapsed="false">
      <c r="A39" s="10" t="s">
        <v>1440</v>
      </c>
      <c r="B39" s="3" t="s">
        <v>1441</v>
      </c>
      <c r="C39" s="3" t="s">
        <v>1442</v>
      </c>
      <c r="D39" s="3" t="s">
        <v>324</v>
      </c>
      <c r="E39" s="10" t="s">
        <v>1330</v>
      </c>
      <c r="F39" s="7" t="s">
        <v>81</v>
      </c>
      <c r="G39" s="10" t="s">
        <v>275</v>
      </c>
    </row>
    <row r="40" customFormat="false" ht="15" hidden="false" customHeight="false" outlineLevel="0" collapsed="false">
      <c r="A40" s="10" t="s">
        <v>1443</v>
      </c>
      <c r="B40" s="3" t="s">
        <v>1444</v>
      </c>
      <c r="C40" s="3" t="s">
        <v>1445</v>
      </c>
      <c r="D40" s="3" t="s">
        <v>319</v>
      </c>
      <c r="E40" s="10" t="s">
        <v>1330</v>
      </c>
      <c r="F40" s="7" t="s">
        <v>81</v>
      </c>
      <c r="G40" s="10" t="s">
        <v>275</v>
      </c>
    </row>
    <row r="41" customFormat="false" ht="23.85" hidden="false" customHeight="false" outlineLevel="0" collapsed="false">
      <c r="A41" s="10" t="s">
        <v>1446</v>
      </c>
      <c r="B41" s="3" t="s">
        <v>1447</v>
      </c>
      <c r="C41" s="3" t="s">
        <v>1448</v>
      </c>
      <c r="D41" s="3" t="s">
        <v>335</v>
      </c>
      <c r="E41" s="10" t="s">
        <v>1330</v>
      </c>
      <c r="F41" s="7" t="s">
        <v>81</v>
      </c>
      <c r="G41" s="10" t="s">
        <v>275</v>
      </c>
    </row>
    <row r="42" customFormat="false" ht="15" hidden="false" customHeight="false" outlineLevel="0" collapsed="false">
      <c r="A42" s="10" t="s">
        <v>1449</v>
      </c>
      <c r="B42" s="3" t="s">
        <v>1423</v>
      </c>
      <c r="C42" s="3" t="s">
        <v>1450</v>
      </c>
      <c r="D42" s="3" t="s">
        <v>330</v>
      </c>
      <c r="E42" s="10" t="s">
        <v>1330</v>
      </c>
      <c r="F42" s="7" t="s">
        <v>81</v>
      </c>
      <c r="G42" s="10" t="s">
        <v>275</v>
      </c>
    </row>
    <row r="43" customFormat="false" ht="23.85" hidden="false" customHeight="false" outlineLevel="0" collapsed="false">
      <c r="A43" s="10" t="s">
        <v>1451</v>
      </c>
      <c r="B43" s="3" t="s">
        <v>1452</v>
      </c>
      <c r="C43" s="3" t="s">
        <v>1453</v>
      </c>
      <c r="D43" s="3" t="s">
        <v>346</v>
      </c>
      <c r="E43" s="10" t="s">
        <v>1330</v>
      </c>
      <c r="F43" s="7" t="s">
        <v>81</v>
      </c>
      <c r="G43" s="10" t="s">
        <v>275</v>
      </c>
    </row>
    <row r="44" customFormat="false" ht="15" hidden="false" customHeight="false" outlineLevel="0" collapsed="false">
      <c r="A44" s="10" t="s">
        <v>1454</v>
      </c>
      <c r="B44" s="3" t="s">
        <v>1455</v>
      </c>
      <c r="C44" s="3" t="s">
        <v>1456</v>
      </c>
      <c r="D44" s="3" t="s">
        <v>341</v>
      </c>
      <c r="E44" s="10" t="s">
        <v>1330</v>
      </c>
      <c r="F44" s="7" t="s">
        <v>81</v>
      </c>
      <c r="G44" s="10" t="s">
        <v>275</v>
      </c>
    </row>
    <row r="45" customFormat="false" ht="15" hidden="false" customHeight="false" outlineLevel="0" collapsed="false">
      <c r="A45" s="10" t="s">
        <v>1457</v>
      </c>
      <c r="B45" s="3" t="s">
        <v>1458</v>
      </c>
      <c r="C45" s="3" t="s">
        <v>1459</v>
      </c>
      <c r="D45" s="3" t="s">
        <v>357</v>
      </c>
      <c r="E45" s="10" t="s">
        <v>1330</v>
      </c>
      <c r="F45" s="7" t="s">
        <v>81</v>
      </c>
      <c r="G45" s="10" t="s">
        <v>275</v>
      </c>
    </row>
    <row r="46" customFormat="false" ht="23.85" hidden="false" customHeight="false" outlineLevel="0" collapsed="false">
      <c r="A46" s="10" t="s">
        <v>1460</v>
      </c>
      <c r="B46" s="3" t="s">
        <v>1461</v>
      </c>
      <c r="C46" s="3" t="s">
        <v>1462</v>
      </c>
      <c r="D46" s="3" t="s">
        <v>352</v>
      </c>
      <c r="E46" s="10" t="s">
        <v>1330</v>
      </c>
      <c r="F46" s="7" t="s">
        <v>81</v>
      </c>
      <c r="G46" s="10" t="s">
        <v>275</v>
      </c>
    </row>
    <row r="47" customFormat="false" ht="15" hidden="false" customHeight="false" outlineLevel="0" collapsed="false">
      <c r="A47" s="10" t="s">
        <v>1463</v>
      </c>
      <c r="B47" s="3" t="s">
        <v>1464</v>
      </c>
      <c r="C47" s="3" t="s">
        <v>1465</v>
      </c>
      <c r="D47" s="3" t="s">
        <v>368</v>
      </c>
      <c r="E47" s="10" t="s">
        <v>1330</v>
      </c>
      <c r="F47" s="7" t="s">
        <v>81</v>
      </c>
      <c r="G47" s="10" t="s">
        <v>275</v>
      </c>
    </row>
    <row r="48" customFormat="false" ht="23.85" hidden="false" customHeight="false" outlineLevel="0" collapsed="false">
      <c r="A48" s="10" t="s">
        <v>1466</v>
      </c>
      <c r="B48" s="3" t="s">
        <v>1434</v>
      </c>
      <c r="C48" s="3" t="s">
        <v>1467</v>
      </c>
      <c r="D48" s="3" t="s">
        <v>363</v>
      </c>
      <c r="E48" s="10" t="s">
        <v>1330</v>
      </c>
      <c r="F48" s="7" t="s">
        <v>81</v>
      </c>
      <c r="G48" s="10" t="s">
        <v>275</v>
      </c>
    </row>
    <row r="49" customFormat="false" ht="23.85" hidden="false" customHeight="false" outlineLevel="0" collapsed="false">
      <c r="A49" s="10" t="s">
        <v>1468</v>
      </c>
      <c r="B49" s="3" t="s">
        <v>1469</v>
      </c>
      <c r="C49" s="3" t="s">
        <v>1470</v>
      </c>
      <c r="D49" s="3" t="s">
        <v>377</v>
      </c>
      <c r="E49" s="10" t="s">
        <v>1330</v>
      </c>
      <c r="F49" s="7" t="s">
        <v>81</v>
      </c>
      <c r="G49" s="10" t="s">
        <v>275</v>
      </c>
    </row>
    <row r="50" customFormat="false" ht="23.85" hidden="false" customHeight="false" outlineLevel="0" collapsed="false">
      <c r="A50" s="10" t="s">
        <v>1471</v>
      </c>
      <c r="B50" s="3" t="s">
        <v>1472</v>
      </c>
      <c r="C50" s="3" t="s">
        <v>1473</v>
      </c>
      <c r="D50" s="3" t="s">
        <v>373</v>
      </c>
      <c r="E50" s="10" t="s">
        <v>1383</v>
      </c>
      <c r="F50" s="7" t="s">
        <v>81</v>
      </c>
      <c r="G50" s="10" t="s">
        <v>275</v>
      </c>
    </row>
    <row r="51" customFormat="false" ht="23.85" hidden="false" customHeight="false" outlineLevel="0" collapsed="false">
      <c r="A51" s="10" t="s">
        <v>1474</v>
      </c>
      <c r="B51" s="3" t="s">
        <v>1475</v>
      </c>
      <c r="C51" s="3" t="s">
        <v>1476</v>
      </c>
      <c r="D51" s="3" t="s">
        <v>437</v>
      </c>
      <c r="E51" s="10" t="s">
        <v>1477</v>
      </c>
      <c r="F51" s="7" t="s">
        <v>401</v>
      </c>
      <c r="G51" s="10" t="s">
        <v>275</v>
      </c>
    </row>
    <row r="52" customFormat="false" ht="23.85" hidden="false" customHeight="false" outlineLevel="0" collapsed="false">
      <c r="A52" s="10" t="s">
        <v>1478</v>
      </c>
      <c r="B52" s="3" t="s">
        <v>1479</v>
      </c>
      <c r="C52" s="3" t="s">
        <v>1480</v>
      </c>
      <c r="D52" s="3" t="s">
        <v>1205</v>
      </c>
      <c r="E52" s="10" t="s">
        <v>1338</v>
      </c>
      <c r="F52" s="7" t="s">
        <v>81</v>
      </c>
      <c r="G52" s="10" t="s">
        <v>275</v>
      </c>
    </row>
    <row r="53" customFormat="false" ht="15" hidden="false" customHeight="false" outlineLevel="0" collapsed="false">
      <c r="A53" s="10" t="s">
        <v>1481</v>
      </c>
      <c r="B53" s="3" t="s">
        <v>1482</v>
      </c>
      <c r="C53" s="3" t="s">
        <v>1483</v>
      </c>
      <c r="D53" s="3" t="s">
        <v>1484</v>
      </c>
      <c r="E53" s="10" t="s">
        <v>1338</v>
      </c>
      <c r="F53" s="7" t="s">
        <v>81</v>
      </c>
      <c r="G53" s="10" t="s">
        <v>275</v>
      </c>
    </row>
    <row r="54" customFormat="false" ht="23.85" hidden="false" customHeight="false" outlineLevel="0" collapsed="false">
      <c r="A54" s="10" t="s">
        <v>1485</v>
      </c>
      <c r="B54" s="3" t="s">
        <v>1486</v>
      </c>
      <c r="C54" s="3" t="s">
        <v>1487</v>
      </c>
      <c r="D54" s="3" t="s">
        <v>1488</v>
      </c>
      <c r="E54" s="10" t="s">
        <v>1338</v>
      </c>
      <c r="F54" s="7" t="s">
        <v>81</v>
      </c>
      <c r="G54" s="10" t="s">
        <v>275</v>
      </c>
    </row>
    <row r="55" customFormat="false" ht="23.85" hidden="false" customHeight="false" outlineLevel="0" collapsed="false">
      <c r="A55" s="10" t="s">
        <v>1489</v>
      </c>
      <c r="B55" s="3" t="s">
        <v>1423</v>
      </c>
      <c r="C55" s="3" t="s">
        <v>1490</v>
      </c>
      <c r="D55" s="3" t="s">
        <v>514</v>
      </c>
      <c r="E55" s="10" t="s">
        <v>1330</v>
      </c>
      <c r="F55" s="7" t="s">
        <v>81</v>
      </c>
      <c r="G55" s="10" t="s">
        <v>275</v>
      </c>
    </row>
    <row r="56" customFormat="false" ht="15" hidden="false" customHeight="false" outlineLevel="0" collapsed="false">
      <c r="A56" s="10" t="s">
        <v>1491</v>
      </c>
      <c r="B56" s="3" t="s">
        <v>1447</v>
      </c>
      <c r="C56" s="3" t="s">
        <v>1492</v>
      </c>
      <c r="D56" s="3" t="s">
        <v>524</v>
      </c>
      <c r="E56" s="10" t="s">
        <v>1330</v>
      </c>
      <c r="F56" s="7" t="s">
        <v>81</v>
      </c>
      <c r="G56" s="10" t="s">
        <v>275</v>
      </c>
    </row>
    <row r="57" customFormat="false" ht="23.85" hidden="false" customHeight="false" outlineLevel="0" collapsed="false">
      <c r="A57" s="10" t="s">
        <v>1493</v>
      </c>
      <c r="B57" s="3" t="s">
        <v>1423</v>
      </c>
      <c r="C57" s="3" t="s">
        <v>1494</v>
      </c>
      <c r="D57" s="3" t="s">
        <v>529</v>
      </c>
      <c r="E57" s="10" t="s">
        <v>1330</v>
      </c>
      <c r="F57" s="7" t="s">
        <v>81</v>
      </c>
      <c r="G57" s="10" t="s">
        <v>275</v>
      </c>
    </row>
    <row r="58" customFormat="false" ht="35.05" hidden="false" customHeight="false" outlineLevel="0" collapsed="false">
      <c r="A58" s="10" t="s">
        <v>1495</v>
      </c>
      <c r="B58" s="3" t="s">
        <v>1441</v>
      </c>
      <c r="C58" s="3" t="s">
        <v>1496</v>
      </c>
      <c r="D58" s="3" t="s">
        <v>535</v>
      </c>
      <c r="E58" s="10" t="s">
        <v>1330</v>
      </c>
      <c r="F58" s="7" t="s">
        <v>81</v>
      </c>
      <c r="G58" s="10" t="s">
        <v>275</v>
      </c>
    </row>
    <row r="59" customFormat="false" ht="23.85" hidden="false" customHeight="false" outlineLevel="0" collapsed="false">
      <c r="A59" s="10" t="s">
        <v>1497</v>
      </c>
      <c r="B59" s="3" t="s">
        <v>1447</v>
      </c>
      <c r="C59" s="3" t="s">
        <v>1498</v>
      </c>
      <c r="D59" s="3" t="s">
        <v>544</v>
      </c>
      <c r="E59" s="10" t="s">
        <v>1330</v>
      </c>
      <c r="F59" s="7" t="s">
        <v>81</v>
      </c>
      <c r="G59" s="10" t="s">
        <v>275</v>
      </c>
    </row>
    <row r="60" customFormat="false" ht="23.85" hidden="false" customHeight="false" outlineLevel="0" collapsed="false">
      <c r="A60" s="10" t="s">
        <v>1499</v>
      </c>
      <c r="B60" s="3" t="s">
        <v>1447</v>
      </c>
      <c r="C60" s="3" t="s">
        <v>1500</v>
      </c>
      <c r="D60" s="3" t="s">
        <v>549</v>
      </c>
      <c r="E60" s="10" t="s">
        <v>1330</v>
      </c>
      <c r="F60" s="7" t="s">
        <v>81</v>
      </c>
      <c r="G60" s="10" t="s">
        <v>275</v>
      </c>
    </row>
    <row r="61" customFormat="false" ht="23.85" hidden="false" customHeight="false" outlineLevel="0" collapsed="false">
      <c r="A61" s="10" t="s">
        <v>1501</v>
      </c>
      <c r="B61" s="3" t="s">
        <v>1434</v>
      </c>
      <c r="C61" s="3" t="s">
        <v>1502</v>
      </c>
      <c r="D61" s="3" t="s">
        <v>554</v>
      </c>
      <c r="E61" s="10" t="s">
        <v>1330</v>
      </c>
      <c r="F61" s="7" t="s">
        <v>81</v>
      </c>
      <c r="G61" s="10" t="s">
        <v>275</v>
      </c>
    </row>
    <row r="62" customFormat="false" ht="23.85" hidden="false" customHeight="false" outlineLevel="0" collapsed="false">
      <c r="A62" s="10" t="s">
        <v>1503</v>
      </c>
      <c r="B62" s="3" t="s">
        <v>1397</v>
      </c>
      <c r="C62" s="3" t="s">
        <v>1504</v>
      </c>
      <c r="D62" s="3" t="s">
        <v>1219</v>
      </c>
      <c r="E62" s="10" t="s">
        <v>1383</v>
      </c>
      <c r="F62" s="7" t="s">
        <v>81</v>
      </c>
      <c r="G62" s="10" t="s">
        <v>275</v>
      </c>
    </row>
    <row r="63" customFormat="false" ht="15" hidden="false" customHeight="false" outlineLevel="0" collapsed="false">
      <c r="A63" s="10" t="s">
        <v>1505</v>
      </c>
      <c r="B63" s="3" t="s">
        <v>1506</v>
      </c>
      <c r="C63" s="3" t="s">
        <v>1507</v>
      </c>
      <c r="D63" s="3" t="s">
        <v>798</v>
      </c>
      <c r="E63" s="10" t="s">
        <v>1508</v>
      </c>
      <c r="F63" s="7" t="s">
        <v>81</v>
      </c>
      <c r="G63" s="10" t="s">
        <v>275</v>
      </c>
    </row>
    <row r="64" customFormat="false" ht="15" hidden="false" customHeight="false" outlineLevel="0" collapsed="false">
      <c r="A64" s="10" t="s">
        <v>1509</v>
      </c>
      <c r="B64" s="3" t="s">
        <v>1510</v>
      </c>
      <c r="C64" s="3" t="s">
        <v>1511</v>
      </c>
      <c r="D64" s="3" t="s">
        <v>804</v>
      </c>
      <c r="E64" s="10" t="s">
        <v>1508</v>
      </c>
      <c r="F64" s="7" t="s">
        <v>81</v>
      </c>
      <c r="G64" s="10" t="s">
        <v>275</v>
      </c>
    </row>
    <row r="65" customFormat="false" ht="15" hidden="false" customHeight="false" outlineLevel="0" collapsed="false">
      <c r="A65" s="10" t="s">
        <v>1512</v>
      </c>
      <c r="B65" s="3" t="s">
        <v>1513</v>
      </c>
      <c r="C65" s="3" t="s">
        <v>1514</v>
      </c>
      <c r="D65" s="3" t="s">
        <v>824</v>
      </c>
      <c r="E65" s="10" t="s">
        <v>1508</v>
      </c>
      <c r="F65" s="7" t="s">
        <v>81</v>
      </c>
      <c r="G65" s="10" t="s">
        <v>275</v>
      </c>
    </row>
    <row r="66" customFormat="false" ht="15" hidden="false" customHeight="false" outlineLevel="0" collapsed="false">
      <c r="A66" s="10" t="s">
        <v>1515</v>
      </c>
      <c r="B66" s="3" t="s">
        <v>1510</v>
      </c>
      <c r="C66" s="3" t="s">
        <v>1516</v>
      </c>
      <c r="D66" s="3" t="s">
        <v>810</v>
      </c>
      <c r="E66" s="10" t="s">
        <v>1508</v>
      </c>
      <c r="F66" s="7" t="s">
        <v>81</v>
      </c>
      <c r="G66" s="10" t="s">
        <v>275</v>
      </c>
    </row>
    <row r="67" customFormat="false" ht="23.85" hidden="false" customHeight="false" outlineLevel="0" collapsed="false">
      <c r="A67" s="10" t="s">
        <v>1517</v>
      </c>
      <c r="B67" s="3" t="s">
        <v>1518</v>
      </c>
      <c r="C67" s="3" t="s">
        <v>1519</v>
      </c>
      <c r="D67" s="3" t="s">
        <v>1520</v>
      </c>
      <c r="E67" s="10" t="s">
        <v>1338</v>
      </c>
      <c r="F67" s="20" t="s">
        <v>484</v>
      </c>
      <c r="G67" s="10" t="s">
        <v>275</v>
      </c>
    </row>
    <row r="68" customFormat="false" ht="23.85" hidden="false" customHeight="false" outlineLevel="0" collapsed="false">
      <c r="A68" s="10" t="s">
        <v>1521</v>
      </c>
      <c r="B68" s="3" t="s">
        <v>1336</v>
      </c>
      <c r="C68" s="3" t="s">
        <v>1522</v>
      </c>
      <c r="D68" s="3" t="s">
        <v>1523</v>
      </c>
      <c r="E68" s="10" t="s">
        <v>1338</v>
      </c>
      <c r="F68" s="7" t="s">
        <v>81</v>
      </c>
      <c r="G68" s="10" t="s">
        <v>275</v>
      </c>
    </row>
    <row r="69" customFormat="false" ht="23.85" hidden="false" customHeight="false" outlineLevel="0" collapsed="false">
      <c r="A69" s="10" t="s">
        <v>1524</v>
      </c>
      <c r="B69" s="3" t="s">
        <v>1525</v>
      </c>
      <c r="C69" s="3" t="s">
        <v>1526</v>
      </c>
      <c r="D69" s="3" t="s">
        <v>1212</v>
      </c>
      <c r="E69" s="10" t="s">
        <v>1338</v>
      </c>
      <c r="F69" s="20" t="s">
        <v>484</v>
      </c>
      <c r="G69" s="10" t="s">
        <v>275</v>
      </c>
    </row>
    <row r="70" customFormat="false" ht="35.05" hidden="false" customHeight="false" outlineLevel="0" collapsed="false">
      <c r="A70" s="10" t="s">
        <v>1527</v>
      </c>
      <c r="B70" s="3" t="s">
        <v>1528</v>
      </c>
      <c r="C70" s="3" t="s">
        <v>1529</v>
      </c>
      <c r="D70" s="3" t="s">
        <v>725</v>
      </c>
      <c r="E70" s="10" t="s">
        <v>1330</v>
      </c>
      <c r="F70" s="7" t="s">
        <v>81</v>
      </c>
      <c r="G70" s="10" t="s">
        <v>275</v>
      </c>
    </row>
    <row r="71" customFormat="false" ht="15" hidden="false" customHeight="false" outlineLevel="0" collapsed="false">
      <c r="A71" s="10" t="s">
        <v>1530</v>
      </c>
      <c r="B71" s="3" t="s">
        <v>1365</v>
      </c>
      <c r="C71" s="3" t="s">
        <v>1531</v>
      </c>
      <c r="D71" s="3" t="s">
        <v>731</v>
      </c>
      <c r="E71" s="10" t="s">
        <v>1330</v>
      </c>
      <c r="F71" s="7" t="s">
        <v>81</v>
      </c>
      <c r="G71" s="10" t="s">
        <v>275</v>
      </c>
    </row>
    <row r="72" customFormat="false" ht="23.85" hidden="false" customHeight="false" outlineLevel="0" collapsed="false">
      <c r="A72" s="10" t="s">
        <v>1532</v>
      </c>
      <c r="B72" s="3" t="s">
        <v>1528</v>
      </c>
      <c r="C72" s="3" t="s">
        <v>1533</v>
      </c>
      <c r="D72" s="3" t="s">
        <v>736</v>
      </c>
      <c r="E72" s="10" t="s">
        <v>1330</v>
      </c>
      <c r="F72" s="7" t="s">
        <v>81</v>
      </c>
      <c r="G72" s="10" t="s">
        <v>275</v>
      </c>
    </row>
    <row r="73" customFormat="false" ht="15" hidden="false" customHeight="false" outlineLevel="0" collapsed="false">
      <c r="A73" s="10" t="s">
        <v>1534</v>
      </c>
      <c r="B73" s="3" t="s">
        <v>1535</v>
      </c>
      <c r="C73" s="3" t="s">
        <v>1536</v>
      </c>
      <c r="D73" s="3" t="s">
        <v>741</v>
      </c>
      <c r="E73" s="10" t="s">
        <v>1330</v>
      </c>
      <c r="F73" s="7" t="s">
        <v>81</v>
      </c>
      <c r="G73" s="10" t="s">
        <v>275</v>
      </c>
    </row>
    <row r="74" customFormat="false" ht="23.85" hidden="false" customHeight="false" outlineLevel="0" collapsed="false">
      <c r="A74" s="10" t="s">
        <v>1537</v>
      </c>
      <c r="B74" s="3" t="s">
        <v>1538</v>
      </c>
      <c r="C74" s="3" t="s">
        <v>1539</v>
      </c>
      <c r="D74" s="3" t="s">
        <v>749</v>
      </c>
      <c r="E74" s="10" t="s">
        <v>1330</v>
      </c>
      <c r="F74" s="7" t="s">
        <v>81</v>
      </c>
      <c r="G74" s="10" t="s">
        <v>275</v>
      </c>
    </row>
    <row r="75" customFormat="false" ht="23.85" hidden="false" customHeight="false" outlineLevel="0" collapsed="false">
      <c r="A75" s="10" t="s">
        <v>1540</v>
      </c>
      <c r="B75" s="3" t="s">
        <v>1365</v>
      </c>
      <c r="C75" s="3" t="s">
        <v>1541</v>
      </c>
      <c r="D75" s="3" t="s">
        <v>754</v>
      </c>
      <c r="E75" s="10" t="s">
        <v>1330</v>
      </c>
      <c r="F75" s="7" t="s">
        <v>81</v>
      </c>
      <c r="G75" s="10" t="s">
        <v>275</v>
      </c>
    </row>
    <row r="76" customFormat="false" ht="23.85" hidden="false" customHeight="false" outlineLevel="0" collapsed="false">
      <c r="A76" s="10" t="s">
        <v>1542</v>
      </c>
      <c r="B76" s="3" t="s">
        <v>1385</v>
      </c>
      <c r="C76" s="3" t="s">
        <v>1543</v>
      </c>
      <c r="D76" s="3" t="s">
        <v>763</v>
      </c>
      <c r="E76" s="10" t="s">
        <v>1330</v>
      </c>
      <c r="F76" s="7" t="s">
        <v>81</v>
      </c>
      <c r="G76" s="10" t="s">
        <v>275</v>
      </c>
    </row>
    <row r="77" customFormat="false" ht="23.85" hidden="false" customHeight="false" outlineLevel="0" collapsed="false">
      <c r="A77" s="10" t="s">
        <v>1544</v>
      </c>
      <c r="B77" s="3" t="s">
        <v>1336</v>
      </c>
      <c r="C77" s="3" t="s">
        <v>1545</v>
      </c>
      <c r="D77" s="3" t="s">
        <v>1216</v>
      </c>
      <c r="E77" s="10" t="s">
        <v>1546</v>
      </c>
      <c r="F77" s="7" t="s">
        <v>81</v>
      </c>
      <c r="G77" s="10" t="s">
        <v>275</v>
      </c>
    </row>
    <row r="78" customFormat="false" ht="23.85" hidden="false" customHeight="false" outlineLevel="0" collapsed="false">
      <c r="A78" s="10" t="s">
        <v>1547</v>
      </c>
      <c r="B78" s="3" t="s">
        <v>1336</v>
      </c>
      <c r="C78" s="3" t="s">
        <v>1548</v>
      </c>
      <c r="D78" s="3" t="s">
        <v>759</v>
      </c>
      <c r="E78" s="10" t="s">
        <v>1338</v>
      </c>
      <c r="F78" s="7" t="s">
        <v>81</v>
      </c>
      <c r="G78" s="10" t="s">
        <v>275</v>
      </c>
    </row>
    <row r="79" customFormat="false" ht="23.85" hidden="false" customHeight="false" outlineLevel="0" collapsed="false">
      <c r="A79" s="10" t="s">
        <v>1549</v>
      </c>
      <c r="B79" s="3" t="s">
        <v>1550</v>
      </c>
      <c r="C79" s="3" t="s">
        <v>1551</v>
      </c>
      <c r="D79" s="3" t="s">
        <v>928</v>
      </c>
      <c r="E79" s="10" t="s">
        <v>1383</v>
      </c>
      <c r="F79" s="7" t="s">
        <v>81</v>
      </c>
      <c r="G79" s="10" t="s">
        <v>275</v>
      </c>
    </row>
    <row r="80" customFormat="false" ht="23.85" hidden="false" customHeight="false" outlineLevel="0" collapsed="false">
      <c r="A80" s="10" t="s">
        <v>1552</v>
      </c>
      <c r="B80" s="3" t="s">
        <v>1553</v>
      </c>
      <c r="C80" s="3" t="s">
        <v>1554</v>
      </c>
      <c r="D80" s="3" t="s">
        <v>853</v>
      </c>
      <c r="E80" s="10" t="s">
        <v>1508</v>
      </c>
      <c r="F80" s="7" t="s">
        <v>81</v>
      </c>
      <c r="G80" s="10" t="s">
        <v>275</v>
      </c>
    </row>
    <row r="81" customFormat="false" ht="23.85" hidden="false" customHeight="false" outlineLevel="0" collapsed="false">
      <c r="A81" s="10" t="s">
        <v>1555</v>
      </c>
      <c r="B81" s="3" t="s">
        <v>1556</v>
      </c>
      <c r="C81" s="3" t="s">
        <v>1557</v>
      </c>
      <c r="D81" s="3" t="s">
        <v>868</v>
      </c>
      <c r="E81" s="10" t="s">
        <v>1508</v>
      </c>
      <c r="F81" s="7" t="s">
        <v>81</v>
      </c>
      <c r="G81" s="10" t="s">
        <v>275</v>
      </c>
    </row>
    <row r="82" customFormat="false" ht="15" hidden="false" customHeight="false" outlineLevel="0" collapsed="false">
      <c r="A82" s="10" t="s">
        <v>1558</v>
      </c>
      <c r="B82" s="3" t="s">
        <v>1559</v>
      </c>
      <c r="C82" s="3" t="s">
        <v>1560</v>
      </c>
      <c r="D82" s="3" t="s">
        <v>459</v>
      </c>
      <c r="E82" s="10" t="s">
        <v>1561</v>
      </c>
      <c r="F82" s="7" t="s">
        <v>81</v>
      </c>
      <c r="G82" s="10" t="s">
        <v>275</v>
      </c>
    </row>
    <row r="83" customFormat="false" ht="23.85" hidden="false" customHeight="false" outlineLevel="0" collapsed="false">
      <c r="A83" s="10" t="s">
        <v>1562</v>
      </c>
      <c r="B83" s="3" t="s">
        <v>1563</v>
      </c>
      <c r="C83" s="3" t="s">
        <v>1564</v>
      </c>
      <c r="D83" s="3" t="s">
        <v>466</v>
      </c>
      <c r="E83" s="10" t="s">
        <v>1561</v>
      </c>
      <c r="F83" s="7" t="s">
        <v>81</v>
      </c>
      <c r="G83" s="10" t="s">
        <v>275</v>
      </c>
    </row>
    <row r="84" customFormat="false" ht="23.85" hidden="false" customHeight="false" outlineLevel="0" collapsed="false">
      <c r="A84" s="10" t="s">
        <v>1565</v>
      </c>
      <c r="B84" s="3" t="s">
        <v>1563</v>
      </c>
      <c r="C84" s="3" t="s">
        <v>1566</v>
      </c>
      <c r="D84" s="3" t="s">
        <v>472</v>
      </c>
      <c r="E84" s="10" t="s">
        <v>1561</v>
      </c>
      <c r="F84" s="7" t="s">
        <v>81</v>
      </c>
      <c r="G84" s="10" t="s">
        <v>275</v>
      </c>
    </row>
    <row r="85" customFormat="false" ht="23.85" hidden="false" customHeight="false" outlineLevel="0" collapsed="false">
      <c r="A85" s="10" t="s">
        <v>1567</v>
      </c>
      <c r="B85" s="3" t="s">
        <v>1336</v>
      </c>
      <c r="C85" s="3" t="s">
        <v>1568</v>
      </c>
      <c r="D85" s="3" t="s">
        <v>1569</v>
      </c>
      <c r="E85" s="10" t="s">
        <v>1338</v>
      </c>
      <c r="F85" s="7" t="s">
        <v>81</v>
      </c>
      <c r="G85" s="10" t="s">
        <v>275</v>
      </c>
    </row>
    <row r="86" customFormat="false" ht="23.85" hidden="false" customHeight="false" outlineLevel="0" collapsed="false">
      <c r="A86" s="10" t="s">
        <v>1570</v>
      </c>
      <c r="B86" s="3" t="s">
        <v>1571</v>
      </c>
      <c r="C86" s="3" t="s">
        <v>1572</v>
      </c>
      <c r="D86" s="3" t="s">
        <v>919</v>
      </c>
      <c r="E86" s="10" t="s">
        <v>1573</v>
      </c>
      <c r="F86" s="7" t="s">
        <v>81</v>
      </c>
      <c r="G86" s="10" t="s">
        <v>275</v>
      </c>
    </row>
    <row r="87" customFormat="false" ht="15" hidden="false" customHeight="false" outlineLevel="0" collapsed="false">
      <c r="A87" s="10" t="s">
        <v>1574</v>
      </c>
      <c r="B87" s="3" t="s">
        <v>1575</v>
      </c>
      <c r="C87" s="3" t="s">
        <v>1576</v>
      </c>
      <c r="D87" s="3" t="s">
        <v>496</v>
      </c>
      <c r="E87" s="10" t="s">
        <v>1338</v>
      </c>
      <c r="F87" s="7" t="s">
        <v>81</v>
      </c>
      <c r="G87" s="10" t="s">
        <v>275</v>
      </c>
    </row>
    <row r="88" customFormat="false" ht="23.85" hidden="false" customHeight="false" outlineLevel="0" collapsed="false">
      <c r="A88" s="10" t="s">
        <v>1577</v>
      </c>
      <c r="B88" s="3" t="s">
        <v>1578</v>
      </c>
      <c r="C88" s="3" t="s">
        <v>1579</v>
      </c>
      <c r="D88" s="3" t="s">
        <v>505</v>
      </c>
      <c r="E88" s="10" t="s">
        <v>1338</v>
      </c>
      <c r="F88" s="7" t="s">
        <v>81</v>
      </c>
      <c r="G88" s="10" t="s">
        <v>275</v>
      </c>
    </row>
    <row r="89" customFormat="false" ht="15" hidden="false" customHeight="false" outlineLevel="0" collapsed="false">
      <c r="A89" s="10" t="s">
        <v>1580</v>
      </c>
      <c r="B89" s="3" t="s">
        <v>1581</v>
      </c>
      <c r="C89" s="3" t="s">
        <v>1582</v>
      </c>
      <c r="D89" s="3" t="s">
        <v>990</v>
      </c>
      <c r="E89" s="10" t="s">
        <v>1353</v>
      </c>
      <c r="F89" s="7" t="s">
        <v>401</v>
      </c>
      <c r="G89" s="10" t="s">
        <v>275</v>
      </c>
    </row>
    <row r="90" customFormat="false" ht="23.85" hidden="false" customHeight="false" outlineLevel="0" collapsed="false">
      <c r="A90" s="10" t="s">
        <v>1583</v>
      </c>
      <c r="B90" s="3" t="s">
        <v>1584</v>
      </c>
      <c r="C90" s="3" t="s">
        <v>1585</v>
      </c>
      <c r="D90" s="3" t="s">
        <v>675</v>
      </c>
      <c r="E90" s="10" t="s">
        <v>1477</v>
      </c>
      <c r="F90" s="7" t="s">
        <v>401</v>
      </c>
      <c r="G90" s="10" t="s">
        <v>275</v>
      </c>
    </row>
    <row r="91" customFormat="false" ht="15" hidden="false" customHeight="false" outlineLevel="0" collapsed="false">
      <c r="A91" s="10" t="s">
        <v>1586</v>
      </c>
      <c r="B91" s="3" t="s">
        <v>1587</v>
      </c>
      <c r="C91" s="3" t="s">
        <v>1588</v>
      </c>
      <c r="D91" s="3" t="s">
        <v>387</v>
      </c>
      <c r="E91" s="10" t="s">
        <v>1330</v>
      </c>
      <c r="F91" s="7" t="s">
        <v>81</v>
      </c>
      <c r="G91" s="10" t="s">
        <v>275</v>
      </c>
    </row>
    <row r="92" customFormat="false" ht="15" hidden="false" customHeight="false" outlineLevel="0" collapsed="false">
      <c r="A92" s="10" t="s">
        <v>1589</v>
      </c>
      <c r="B92" s="3" t="s">
        <v>1590</v>
      </c>
      <c r="C92" s="3" t="s">
        <v>1591</v>
      </c>
      <c r="D92" s="3" t="s">
        <v>400</v>
      </c>
      <c r="E92" s="10" t="s">
        <v>1477</v>
      </c>
      <c r="F92" s="7" t="s">
        <v>401</v>
      </c>
      <c r="G92" s="10" t="s">
        <v>275</v>
      </c>
    </row>
    <row r="93" customFormat="false" ht="15" hidden="false" customHeight="false" outlineLevel="0" collapsed="false">
      <c r="A93" s="10" t="s">
        <v>1592</v>
      </c>
      <c r="B93" s="3" t="s">
        <v>1593</v>
      </c>
      <c r="C93" s="3" t="s">
        <v>1594</v>
      </c>
      <c r="D93" s="3" t="s">
        <v>406</v>
      </c>
      <c r="E93" s="10" t="s">
        <v>1330</v>
      </c>
      <c r="F93" s="7" t="s">
        <v>81</v>
      </c>
      <c r="G93" s="10" t="s">
        <v>275</v>
      </c>
    </row>
    <row r="94" customFormat="false" ht="15" hidden="false" customHeight="false" outlineLevel="0" collapsed="false">
      <c r="A94" s="10" t="s">
        <v>1595</v>
      </c>
      <c r="B94" s="3" t="s">
        <v>1590</v>
      </c>
      <c r="C94" s="3" t="s">
        <v>1596</v>
      </c>
      <c r="D94" s="3" t="s">
        <v>411</v>
      </c>
      <c r="E94" s="10" t="s">
        <v>1477</v>
      </c>
      <c r="F94" s="7" t="s">
        <v>401</v>
      </c>
      <c r="G94" s="10" t="s">
        <v>275</v>
      </c>
    </row>
    <row r="95" customFormat="false" ht="15" hidden="false" customHeight="false" outlineLevel="0" collapsed="false">
      <c r="A95" s="10" t="s">
        <v>1597</v>
      </c>
      <c r="B95" s="3" t="s">
        <v>1598</v>
      </c>
      <c r="C95" s="3" t="s">
        <v>1599</v>
      </c>
      <c r="D95" s="3" t="s">
        <v>420</v>
      </c>
      <c r="E95" s="10" t="s">
        <v>1477</v>
      </c>
      <c r="F95" s="7" t="s">
        <v>401</v>
      </c>
      <c r="G95" s="10" t="s">
        <v>275</v>
      </c>
    </row>
    <row r="96" customFormat="false" ht="23.85" hidden="false" customHeight="false" outlineLevel="0" collapsed="false">
      <c r="A96" s="10" t="s">
        <v>1600</v>
      </c>
      <c r="B96" s="3" t="s">
        <v>1601</v>
      </c>
      <c r="C96" s="3" t="s">
        <v>1602</v>
      </c>
      <c r="D96" s="3" t="s">
        <v>416</v>
      </c>
      <c r="E96" s="10" t="s">
        <v>1330</v>
      </c>
      <c r="F96" s="7" t="s">
        <v>81</v>
      </c>
      <c r="G96" s="10" t="s">
        <v>275</v>
      </c>
    </row>
    <row r="97" customFormat="false" ht="23.85" hidden="false" customHeight="false" outlineLevel="0" collapsed="false">
      <c r="A97" s="10" t="s">
        <v>1603</v>
      </c>
      <c r="B97" s="3" t="s">
        <v>1601</v>
      </c>
      <c r="C97" s="3" t="s">
        <v>1604</v>
      </c>
      <c r="D97" s="3" t="s">
        <v>427</v>
      </c>
      <c r="E97" s="10" t="s">
        <v>1330</v>
      </c>
      <c r="F97" s="7" t="s">
        <v>81</v>
      </c>
      <c r="G97" s="10" t="s">
        <v>275</v>
      </c>
    </row>
    <row r="98" customFormat="false" ht="23.85" hidden="false" customHeight="false" outlineLevel="0" collapsed="false">
      <c r="A98" s="10" t="s">
        <v>1605</v>
      </c>
      <c r="B98" s="3" t="s">
        <v>1590</v>
      </c>
      <c r="C98" s="3" t="s">
        <v>1606</v>
      </c>
      <c r="D98" s="3" t="s">
        <v>423</v>
      </c>
      <c r="E98" s="10" t="s">
        <v>1477</v>
      </c>
      <c r="F98" s="7" t="s">
        <v>401</v>
      </c>
      <c r="G98" s="10" t="s">
        <v>275</v>
      </c>
    </row>
    <row r="99" customFormat="false" ht="23.85" hidden="false" customHeight="false" outlineLevel="0" collapsed="false">
      <c r="A99" s="10" t="s">
        <v>1607</v>
      </c>
      <c r="B99" s="3" t="s">
        <v>1608</v>
      </c>
      <c r="C99" s="3" t="s">
        <v>1609</v>
      </c>
      <c r="D99" s="3" t="s">
        <v>429</v>
      </c>
      <c r="E99" s="10" t="s">
        <v>1330</v>
      </c>
      <c r="F99" s="7" t="s">
        <v>81</v>
      </c>
      <c r="G99" s="10" t="s">
        <v>275</v>
      </c>
    </row>
    <row r="100" customFormat="false" ht="23.85" hidden="false" customHeight="false" outlineLevel="0" collapsed="false">
      <c r="A100" s="10" t="s">
        <v>1610</v>
      </c>
      <c r="B100" s="3" t="s">
        <v>1611</v>
      </c>
      <c r="C100" s="3" t="s">
        <v>1612</v>
      </c>
      <c r="D100" s="3" t="s">
        <v>443</v>
      </c>
      <c r="E100" s="10" t="s">
        <v>1330</v>
      </c>
      <c r="F100" s="7" t="s">
        <v>81</v>
      </c>
      <c r="G100" s="10" t="s">
        <v>275</v>
      </c>
    </row>
    <row r="101" customFormat="false" ht="23.85" hidden="false" customHeight="false" outlineLevel="0" collapsed="false">
      <c r="A101" s="10" t="s">
        <v>1613</v>
      </c>
      <c r="B101" s="3" t="s">
        <v>1614</v>
      </c>
      <c r="C101" s="3" t="s">
        <v>1615</v>
      </c>
      <c r="D101" s="3" t="s">
        <v>1616</v>
      </c>
      <c r="E101" s="10" t="s">
        <v>1338</v>
      </c>
      <c r="F101" s="7" t="s">
        <v>81</v>
      </c>
      <c r="G101" s="10" t="s">
        <v>275</v>
      </c>
    </row>
    <row r="102" customFormat="false" ht="23.85" hidden="false" customHeight="false" outlineLevel="0" collapsed="false">
      <c r="A102" s="10" t="s">
        <v>1617</v>
      </c>
      <c r="B102" s="3" t="s">
        <v>1590</v>
      </c>
      <c r="C102" s="3" t="s">
        <v>1618</v>
      </c>
      <c r="D102" s="3" t="s">
        <v>1619</v>
      </c>
      <c r="E102" s="10" t="s">
        <v>1477</v>
      </c>
      <c r="F102" s="7" t="s">
        <v>401</v>
      </c>
      <c r="G102" s="10" t="s">
        <v>275</v>
      </c>
    </row>
    <row r="103" customFormat="false" ht="23.85" hidden="false" customHeight="false" outlineLevel="0" collapsed="false">
      <c r="A103" s="10" t="s">
        <v>1620</v>
      </c>
      <c r="B103" s="3" t="s">
        <v>1621</v>
      </c>
      <c r="C103" s="3" t="s">
        <v>1622</v>
      </c>
      <c r="D103" s="3" t="s">
        <v>660</v>
      </c>
      <c r="E103" s="10" t="s">
        <v>1330</v>
      </c>
      <c r="F103" s="7" t="s">
        <v>81</v>
      </c>
      <c r="G103" s="10" t="s">
        <v>275</v>
      </c>
    </row>
    <row r="104" customFormat="false" ht="23.85" hidden="false" customHeight="false" outlineLevel="0" collapsed="false">
      <c r="A104" s="10" t="s">
        <v>1623</v>
      </c>
      <c r="B104" s="3" t="s">
        <v>1624</v>
      </c>
      <c r="C104" s="3" t="s">
        <v>1625</v>
      </c>
      <c r="D104" s="3" t="s">
        <v>846</v>
      </c>
      <c r="E104" s="10" t="s">
        <v>1626</v>
      </c>
      <c r="F104" s="7" t="s">
        <v>81</v>
      </c>
      <c r="G104" s="10" t="s">
        <v>275</v>
      </c>
    </row>
    <row r="105" customFormat="false" ht="15" hidden="false" customHeight="false" outlineLevel="0" collapsed="false">
      <c r="A105" s="10" t="s">
        <v>1627</v>
      </c>
      <c r="B105" s="3" t="s">
        <v>1628</v>
      </c>
      <c r="C105" s="3" t="s">
        <v>1629</v>
      </c>
      <c r="D105" s="3" t="s">
        <v>875</v>
      </c>
      <c r="E105" s="10" t="s">
        <v>1630</v>
      </c>
      <c r="F105" s="7" t="s">
        <v>81</v>
      </c>
      <c r="G105" s="10" t="s">
        <v>275</v>
      </c>
    </row>
    <row r="106" customFormat="false" ht="15" hidden="false" customHeight="false" outlineLevel="0" collapsed="false">
      <c r="A106" s="10" t="s">
        <v>1631</v>
      </c>
      <c r="B106" s="3" t="s">
        <v>1407</v>
      </c>
      <c r="C106" s="3" t="s">
        <v>1632</v>
      </c>
      <c r="D106" s="3" t="s">
        <v>702</v>
      </c>
      <c r="E106" s="10" t="s">
        <v>1409</v>
      </c>
      <c r="F106" s="20" t="s">
        <v>484</v>
      </c>
      <c r="G106" s="10" t="s">
        <v>275</v>
      </c>
    </row>
    <row r="107" customFormat="false" ht="15" hidden="false" customHeight="false" outlineLevel="0" collapsed="false">
      <c r="A107" s="10" t="s">
        <v>1633</v>
      </c>
      <c r="B107" s="3" t="s">
        <v>1634</v>
      </c>
      <c r="C107" s="3" t="s">
        <v>1635</v>
      </c>
      <c r="D107" s="3" t="s">
        <v>713</v>
      </c>
      <c r="E107" s="10" t="s">
        <v>1636</v>
      </c>
      <c r="F107" s="7" t="s">
        <v>81</v>
      </c>
      <c r="G107" s="10" t="s">
        <v>275</v>
      </c>
    </row>
    <row r="108" customFormat="false" ht="23.85" hidden="false" customHeight="false" outlineLevel="0" collapsed="false">
      <c r="A108" s="10" t="s">
        <v>1637</v>
      </c>
      <c r="B108" s="3" t="s">
        <v>1638</v>
      </c>
      <c r="C108" s="3" t="s">
        <v>1639</v>
      </c>
      <c r="D108" s="3" t="s">
        <v>666</v>
      </c>
      <c r="E108" s="10" t="s">
        <v>1330</v>
      </c>
      <c r="F108" s="7" t="s">
        <v>81</v>
      </c>
      <c r="G108" s="10" t="s">
        <v>275</v>
      </c>
    </row>
    <row r="109" customFormat="false" ht="23.85" hidden="false" customHeight="false" outlineLevel="0" collapsed="false">
      <c r="A109" s="10" t="s">
        <v>1640</v>
      </c>
      <c r="B109" s="3" t="s">
        <v>1641</v>
      </c>
      <c r="C109" s="3" t="s">
        <v>1642</v>
      </c>
      <c r="D109" s="3" t="s">
        <v>770</v>
      </c>
      <c r="E109" s="10" t="s">
        <v>1330</v>
      </c>
      <c r="F109" s="7" t="s">
        <v>81</v>
      </c>
      <c r="G109" s="10" t="s">
        <v>275</v>
      </c>
    </row>
    <row r="110" customFormat="false" ht="15" hidden="false" customHeight="false" outlineLevel="0" collapsed="false">
      <c r="A110" s="10" t="s">
        <v>1643</v>
      </c>
      <c r="B110" s="3" t="s">
        <v>1644</v>
      </c>
      <c r="C110" s="3" t="s">
        <v>1645</v>
      </c>
      <c r="D110" s="3" t="s">
        <v>886</v>
      </c>
      <c r="E110" s="10" t="s">
        <v>1477</v>
      </c>
      <c r="F110" s="7" t="s">
        <v>401</v>
      </c>
      <c r="G110" s="10" t="s">
        <v>275</v>
      </c>
    </row>
    <row r="111" customFormat="false" ht="15" hidden="false" customHeight="false" outlineLevel="0" collapsed="false">
      <c r="A111" s="10" t="s">
        <v>1646</v>
      </c>
      <c r="B111" s="3" t="s">
        <v>1647</v>
      </c>
      <c r="C111" s="3" t="s">
        <v>1648</v>
      </c>
      <c r="D111" s="3" t="s">
        <v>483</v>
      </c>
      <c r="E111" s="10" t="s">
        <v>1649</v>
      </c>
      <c r="F111" s="20" t="s">
        <v>484</v>
      </c>
      <c r="G111" s="10" t="s">
        <v>275</v>
      </c>
    </row>
    <row r="112" customFormat="false" ht="15" hidden="false" customHeight="false" outlineLevel="0" collapsed="false">
      <c r="A112" s="10" t="s">
        <v>1650</v>
      </c>
      <c r="B112" s="3" t="s">
        <v>1651</v>
      </c>
      <c r="C112" s="3" t="s">
        <v>1652</v>
      </c>
      <c r="D112" s="3" t="s">
        <v>1653</v>
      </c>
      <c r="E112" s="10" t="s">
        <v>1654</v>
      </c>
      <c r="F112" s="7" t="s">
        <v>401</v>
      </c>
      <c r="G112" s="10" t="s">
        <v>275</v>
      </c>
    </row>
    <row r="113" customFormat="false" ht="15" hidden="false" customHeight="false" outlineLevel="0" collapsed="false">
      <c r="A113" s="10" t="s">
        <v>1655</v>
      </c>
      <c r="B113" s="3" t="s">
        <v>1656</v>
      </c>
      <c r="C113" s="3" t="s">
        <v>1657</v>
      </c>
      <c r="D113" s="3" t="s">
        <v>1031</v>
      </c>
      <c r="E113" s="10" t="s">
        <v>1353</v>
      </c>
      <c r="F113" s="7" t="s">
        <v>401</v>
      </c>
      <c r="G113" s="10" t="s">
        <v>275</v>
      </c>
    </row>
    <row r="114" customFormat="false" ht="23.85" hidden="false" customHeight="false" outlineLevel="0" collapsed="false">
      <c r="A114" s="10" t="s">
        <v>1658</v>
      </c>
      <c r="B114" s="3" t="s">
        <v>1659</v>
      </c>
      <c r="C114" s="3" t="s">
        <v>1660</v>
      </c>
      <c r="D114" s="3" t="s">
        <v>1661</v>
      </c>
      <c r="E114" s="10" t="s">
        <v>1353</v>
      </c>
      <c r="F114" s="7" t="s">
        <v>401</v>
      </c>
      <c r="G114" s="10" t="s">
        <v>275</v>
      </c>
    </row>
    <row r="115" customFormat="false" ht="23.85" hidden="false" customHeight="false" outlineLevel="0" collapsed="false">
      <c r="A115" s="10" t="s">
        <v>1662</v>
      </c>
      <c r="B115" s="3" t="s">
        <v>1663</v>
      </c>
      <c r="C115" s="3" t="s">
        <v>1664</v>
      </c>
      <c r="D115" s="3" t="s">
        <v>1223</v>
      </c>
      <c r="E115" s="10" t="s">
        <v>1665</v>
      </c>
      <c r="F115" s="7" t="s">
        <v>401</v>
      </c>
      <c r="G115" s="10" t="s">
        <v>275</v>
      </c>
    </row>
    <row r="116" customFormat="false" ht="23.85" hidden="false" customHeight="false" outlineLevel="0" collapsed="false">
      <c r="A116" s="10" t="s">
        <v>1666</v>
      </c>
      <c r="B116" s="3" t="s">
        <v>1667</v>
      </c>
      <c r="C116" s="3" t="s">
        <v>1668</v>
      </c>
      <c r="D116" s="3" t="s">
        <v>778</v>
      </c>
      <c r="E116" s="10" t="s">
        <v>1338</v>
      </c>
      <c r="F116" s="20" t="s">
        <v>484</v>
      </c>
      <c r="G116" s="10" t="s">
        <v>275</v>
      </c>
    </row>
    <row r="117" customFormat="false" ht="23.85" hidden="false" customHeight="false" outlineLevel="0" collapsed="false">
      <c r="A117" s="10" t="s">
        <v>1669</v>
      </c>
      <c r="B117" s="3" t="s">
        <v>1670</v>
      </c>
      <c r="C117" s="3" t="s">
        <v>1671</v>
      </c>
      <c r="D117" s="3" t="s">
        <v>1227</v>
      </c>
      <c r="E117" s="10" t="s">
        <v>1338</v>
      </c>
      <c r="F117" s="20" t="s">
        <v>484</v>
      </c>
      <c r="G117" s="10" t="s">
        <v>275</v>
      </c>
    </row>
    <row r="118" customFormat="false" ht="15" hidden="false" customHeight="false" outlineLevel="0" collapsed="false">
      <c r="A118" s="10" t="s">
        <v>1672</v>
      </c>
      <c r="B118" s="3" t="s">
        <v>1673</v>
      </c>
      <c r="C118" s="3" t="s">
        <v>1674</v>
      </c>
      <c r="D118" s="3" t="s">
        <v>1072</v>
      </c>
      <c r="E118" s="10" t="s">
        <v>1675</v>
      </c>
      <c r="F118" s="7" t="s">
        <v>401</v>
      </c>
      <c r="G118" s="10" t="s">
        <v>275</v>
      </c>
    </row>
    <row r="119" customFormat="false" ht="15" hidden="false" customHeight="false" outlineLevel="0" collapsed="false">
      <c r="A119" s="10" t="s">
        <v>1676</v>
      </c>
      <c r="B119" s="3" t="s">
        <v>1677</v>
      </c>
      <c r="C119" s="3" t="s">
        <v>1678</v>
      </c>
      <c r="D119" s="3" t="s">
        <v>835</v>
      </c>
      <c r="E119" s="10" t="s">
        <v>1679</v>
      </c>
      <c r="F119" s="7" t="s">
        <v>81</v>
      </c>
      <c r="G119" s="10" t="s">
        <v>275</v>
      </c>
    </row>
    <row r="120" customFormat="false" ht="23.85" hidden="false" customHeight="false" outlineLevel="0" collapsed="false">
      <c r="A120" s="10" t="s">
        <v>1680</v>
      </c>
      <c r="B120" s="3" t="s">
        <v>1681</v>
      </c>
      <c r="C120" s="3" t="s">
        <v>1682</v>
      </c>
      <c r="D120" s="3" t="s">
        <v>692</v>
      </c>
      <c r="E120" s="10" t="s">
        <v>1683</v>
      </c>
      <c r="F120" s="7" t="s">
        <v>81</v>
      </c>
      <c r="G120" s="10" t="s">
        <v>275</v>
      </c>
    </row>
    <row r="121" customFormat="false" ht="15" hidden="false" customHeight="false" outlineLevel="0" collapsed="false">
      <c r="A121" s="10" t="s">
        <v>1684</v>
      </c>
      <c r="B121" s="3" t="s">
        <v>1685</v>
      </c>
      <c r="C121" s="3" t="s">
        <v>1686</v>
      </c>
      <c r="D121" s="3" t="s">
        <v>569</v>
      </c>
      <c r="E121" s="10" t="s">
        <v>1477</v>
      </c>
      <c r="F121" s="7" t="s">
        <v>401</v>
      </c>
      <c r="G121" s="10" t="s">
        <v>275</v>
      </c>
    </row>
    <row r="122" customFormat="false" ht="15" hidden="false" customHeight="false" outlineLevel="0" collapsed="false">
      <c r="A122" s="10" t="s">
        <v>1687</v>
      </c>
      <c r="B122" s="3" t="s">
        <v>1688</v>
      </c>
      <c r="C122" s="3" t="s">
        <v>1689</v>
      </c>
      <c r="D122" s="3" t="s">
        <v>1690</v>
      </c>
      <c r="E122" s="10" t="s">
        <v>1691</v>
      </c>
      <c r="F122" s="7" t="s">
        <v>401</v>
      </c>
      <c r="G122" s="10" t="s">
        <v>275</v>
      </c>
    </row>
    <row r="123" customFormat="false" ht="15" hidden="false" customHeight="false" outlineLevel="0" collapsed="false">
      <c r="A123" s="10" t="s">
        <v>1692</v>
      </c>
      <c r="B123" s="3" t="s">
        <v>1688</v>
      </c>
      <c r="C123" s="3" t="s">
        <v>1693</v>
      </c>
      <c r="D123" s="3" t="s">
        <v>1694</v>
      </c>
      <c r="E123" s="10" t="s">
        <v>1691</v>
      </c>
      <c r="F123" s="7" t="s">
        <v>401</v>
      </c>
      <c r="G123" s="10" t="s">
        <v>275</v>
      </c>
    </row>
    <row r="124" customFormat="false" ht="23.85" hidden="false" customHeight="false" outlineLevel="0" collapsed="false">
      <c r="A124" s="10" t="s">
        <v>1695</v>
      </c>
      <c r="B124" s="3" t="s">
        <v>1688</v>
      </c>
      <c r="C124" s="3" t="s">
        <v>1696</v>
      </c>
      <c r="D124" s="3" t="s">
        <v>894</v>
      </c>
      <c r="E124" s="10" t="s">
        <v>1691</v>
      </c>
      <c r="F124" s="7" t="s">
        <v>401</v>
      </c>
      <c r="G124" s="10" t="s">
        <v>275</v>
      </c>
    </row>
    <row r="125" customFormat="false" ht="15" hidden="false" customHeight="false" outlineLevel="0" collapsed="false">
      <c r="A125" s="10" t="s">
        <v>1697</v>
      </c>
      <c r="B125" s="3" t="s">
        <v>1688</v>
      </c>
      <c r="C125" s="3" t="s">
        <v>1698</v>
      </c>
      <c r="D125" s="3" t="s">
        <v>1699</v>
      </c>
      <c r="E125" s="10" t="s">
        <v>1691</v>
      </c>
      <c r="F125" s="7" t="s">
        <v>401</v>
      </c>
      <c r="G125" s="10" t="s">
        <v>275</v>
      </c>
    </row>
    <row r="126" customFormat="false" ht="23.85" hidden="false" customHeight="false" outlineLevel="0" collapsed="false">
      <c r="A126" s="10" t="s">
        <v>1700</v>
      </c>
      <c r="B126" s="3" t="s">
        <v>1688</v>
      </c>
      <c r="C126" s="3" t="s">
        <v>1701</v>
      </c>
      <c r="D126" s="3" t="s">
        <v>899</v>
      </c>
      <c r="E126" s="10" t="s">
        <v>1691</v>
      </c>
      <c r="F126" s="7" t="s">
        <v>401</v>
      </c>
      <c r="G126" s="10" t="s">
        <v>275</v>
      </c>
    </row>
    <row r="127" customFormat="false" ht="23.85" hidden="false" customHeight="false" outlineLevel="0" collapsed="false">
      <c r="A127" s="10" t="s">
        <v>1702</v>
      </c>
      <c r="B127" s="3" t="s">
        <v>1703</v>
      </c>
      <c r="C127" s="3" t="s">
        <v>1704</v>
      </c>
      <c r="D127" s="3" t="s">
        <v>580</v>
      </c>
      <c r="E127" s="10" t="s">
        <v>1338</v>
      </c>
      <c r="F127" s="7" t="s">
        <v>81</v>
      </c>
      <c r="G127" s="10" t="s">
        <v>275</v>
      </c>
    </row>
    <row r="128" customFormat="false" ht="15" hidden="false" customHeight="false" outlineLevel="0" collapsed="false">
      <c r="A128" s="10" t="s">
        <v>1705</v>
      </c>
      <c r="B128" s="3" t="s">
        <v>1706</v>
      </c>
      <c r="C128" s="3" t="s">
        <v>1707</v>
      </c>
      <c r="D128" s="3" t="s">
        <v>908</v>
      </c>
      <c r="E128" s="10" t="s">
        <v>1338</v>
      </c>
      <c r="F128" s="7" t="s">
        <v>81</v>
      </c>
      <c r="G128" s="10" t="s">
        <v>275</v>
      </c>
    </row>
  </sheetData>
  <autoFilter ref="A1:G1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1" min="11" style="0" width="9"/>
    <col collapsed="false" customWidth="true" hidden="false" outlineLevel="0" max="12" min="12" style="0" width="12"/>
    <col collapsed="false" customWidth="true" hidden="false" outlineLevel="0" max="13" min="13" style="0" width="9"/>
  </cols>
  <sheetData>
    <row r="1" customFormat="false" ht="42" hidden="false" customHeight="true" outlineLevel="0" collapsed="false">
      <c r="A1" s="4" t="s">
        <v>1708</v>
      </c>
      <c r="B1" s="4" t="s">
        <v>1709</v>
      </c>
      <c r="C1" s="4" t="s">
        <v>255</v>
      </c>
      <c r="D1" s="4" t="s">
        <v>1710</v>
      </c>
      <c r="E1" s="4" t="s">
        <v>255</v>
      </c>
      <c r="F1" s="4" t="s">
        <v>1711</v>
      </c>
      <c r="G1" s="4" t="s">
        <v>255</v>
      </c>
      <c r="H1" s="4" t="s">
        <v>1712</v>
      </c>
      <c r="I1" s="4" t="s">
        <v>255</v>
      </c>
      <c r="J1" s="4" t="s">
        <v>1713</v>
      </c>
      <c r="K1" s="4" t="s">
        <v>255</v>
      </c>
      <c r="L1" s="4" t="s">
        <v>1714</v>
      </c>
      <c r="M1" s="4" t="s">
        <v>255</v>
      </c>
    </row>
    <row r="2" customFormat="false" ht="15" hidden="false" customHeight="false" outlineLevel="0" collapsed="false">
      <c r="A2" s="10" t="s">
        <v>1715</v>
      </c>
      <c r="B2" s="19" t="n">
        <v>2.81943</v>
      </c>
      <c r="C2" s="10" t="s">
        <v>1716</v>
      </c>
      <c r="D2" s="19" t="n">
        <v>1.934113</v>
      </c>
      <c r="E2" s="10" t="s">
        <v>1716</v>
      </c>
      <c r="F2" s="19" t="n">
        <v>2.005322</v>
      </c>
      <c r="G2" s="10" t="s">
        <v>1716</v>
      </c>
      <c r="H2" s="19" t="n">
        <v>2.1442</v>
      </c>
      <c r="I2" s="10" t="s">
        <v>1716</v>
      </c>
      <c r="J2" s="14" t="n">
        <v>862.63</v>
      </c>
      <c r="K2" s="10" t="s">
        <v>1716</v>
      </c>
      <c r="L2" s="14" t="n">
        <v>450</v>
      </c>
      <c r="M2" s="10" t="s">
        <v>1716</v>
      </c>
    </row>
    <row r="3" customFormat="false" ht="15" hidden="false" customHeight="false" outlineLevel="0" collapsed="false">
      <c r="A3" s="10" t="s">
        <v>1717</v>
      </c>
      <c r="B3" s="19" t="n">
        <v>2.99284</v>
      </c>
      <c r="C3" s="10" t="s">
        <v>1716</v>
      </c>
      <c r="D3" s="19" t="n">
        <v>2.114231</v>
      </c>
      <c r="E3" s="10" t="s">
        <v>1716</v>
      </c>
      <c r="F3" s="19" t="n">
        <v>2.073445</v>
      </c>
      <c r="G3" s="10" t="s">
        <v>1716</v>
      </c>
      <c r="H3" s="19" t="n">
        <v>1.9011</v>
      </c>
      <c r="I3" s="10" t="s">
        <v>1716</v>
      </c>
      <c r="J3" s="14" t="n">
        <v>904.34</v>
      </c>
      <c r="K3" s="10" t="s">
        <v>1716</v>
      </c>
      <c r="L3" s="14" t="n">
        <v>459</v>
      </c>
      <c r="M3" s="10" t="s">
        <v>1716</v>
      </c>
    </row>
    <row r="4" customFormat="false" ht="15" hidden="false" customHeight="false" outlineLevel="0" collapsed="false">
      <c r="A4" s="10" t="s">
        <v>1718</v>
      </c>
      <c r="B4" s="19" t="n">
        <v>3.04167</v>
      </c>
      <c r="C4" s="10" t="s">
        <v>1716</v>
      </c>
      <c r="D4" s="19" t="n">
        <v>2.323008</v>
      </c>
      <c r="E4" s="10" t="s">
        <v>1716</v>
      </c>
      <c r="F4" s="19" t="n">
        <v>2.137379</v>
      </c>
      <c r="G4" s="10" t="s">
        <v>1716</v>
      </c>
      <c r="H4" s="19" t="n">
        <v>1.929</v>
      </c>
      <c r="I4" s="10" t="s">
        <v>1716</v>
      </c>
      <c r="J4" s="14" t="n">
        <v>953.81</v>
      </c>
      <c r="K4" s="10" t="s">
        <v>1716</v>
      </c>
      <c r="L4" s="14" t="n">
        <v>422</v>
      </c>
      <c r="M4" s="10" t="s">
        <v>1716</v>
      </c>
    </row>
    <row r="5" customFormat="false" ht="15" hidden="false" customHeight="false" outlineLevel="0" collapsed="false">
      <c r="A5" s="10" t="s">
        <v>1719</v>
      </c>
      <c r="B5" s="19" t="n">
        <v>3.05061</v>
      </c>
      <c r="C5" s="10" t="s">
        <v>1716</v>
      </c>
      <c r="D5" s="19" t="n">
        <v>2.326976</v>
      </c>
      <c r="E5" s="10" t="s">
        <v>1716</v>
      </c>
      <c r="F5" s="19" t="n">
        <v>2.076752</v>
      </c>
      <c r="G5" s="10" t="s">
        <v>1716</v>
      </c>
      <c r="H5" s="19" t="n">
        <v>1.7757</v>
      </c>
      <c r="I5" s="10" t="s">
        <v>1716</v>
      </c>
      <c r="J5" s="14" t="n">
        <v>926.63</v>
      </c>
      <c r="K5" s="10" t="s">
        <v>1716</v>
      </c>
      <c r="L5" s="14" t="n">
        <v>395</v>
      </c>
      <c r="M5" s="10" t="s">
        <v>1716</v>
      </c>
    </row>
    <row r="6" customFormat="false" ht="15" hidden="false" customHeight="false" outlineLevel="0" collapsed="false">
      <c r="A6" s="10" t="s">
        <v>1720</v>
      </c>
      <c r="B6" s="19" t="n">
        <v>3.02999</v>
      </c>
      <c r="C6" s="10" t="s">
        <v>1716</v>
      </c>
      <c r="D6" s="19" t="n">
        <v>2.270538</v>
      </c>
      <c r="E6" s="10" t="s">
        <v>1716</v>
      </c>
      <c r="F6" s="19" t="n">
        <v>2.043903</v>
      </c>
      <c r="G6" s="10" t="s">
        <v>1716</v>
      </c>
      <c r="H6" s="19" t="n">
        <v>1.6931</v>
      </c>
      <c r="I6" s="10" t="s">
        <v>1716</v>
      </c>
      <c r="J6" s="14" t="n">
        <v>898.42</v>
      </c>
      <c r="K6" s="10" t="s">
        <v>1716</v>
      </c>
      <c r="L6" s="14" t="n">
        <v>388</v>
      </c>
      <c r="M6" s="10" t="s">
        <v>1716</v>
      </c>
    </row>
    <row r="7" customFormat="false" ht="15" hidden="false" customHeight="false" outlineLevel="0" collapsed="false">
      <c r="A7" s="10" t="s">
        <v>1721</v>
      </c>
      <c r="B7" s="19" t="n">
        <v>3.17433</v>
      </c>
      <c r="C7" s="10" t="s">
        <v>1716</v>
      </c>
      <c r="D7" s="19" t="n">
        <v>2.18059</v>
      </c>
      <c r="E7" s="10" t="s">
        <v>1716</v>
      </c>
      <c r="F7" s="19" t="n">
        <v>2.004</v>
      </c>
      <c r="G7" s="10" t="s">
        <v>1716</v>
      </c>
      <c r="H7" s="19" t="n">
        <v>1.7113</v>
      </c>
      <c r="I7" s="10" t="s">
        <v>1716</v>
      </c>
      <c r="J7" s="14" t="n">
        <v>861.88</v>
      </c>
      <c r="K7" s="10" t="s">
        <v>1716</v>
      </c>
      <c r="L7" s="14" t="n">
        <v>397</v>
      </c>
      <c r="M7" s="10" t="s">
        <v>1716</v>
      </c>
    </row>
    <row r="8" customFormat="false" ht="15" hidden="false" customHeight="false" outlineLevel="0" collapsed="false">
      <c r="A8" s="10" t="s">
        <v>1722</v>
      </c>
      <c r="B8" s="19" t="n">
        <v>3.19604</v>
      </c>
      <c r="C8" s="10" t="s">
        <v>1716</v>
      </c>
      <c r="D8" s="19" t="n">
        <v>2.244083</v>
      </c>
      <c r="E8" s="10" t="s">
        <v>1716</v>
      </c>
      <c r="F8" s="19" t="n">
        <v>1.848353</v>
      </c>
      <c r="G8" s="10" t="s">
        <v>1716</v>
      </c>
      <c r="H8" s="19" t="n">
        <v>1.7004</v>
      </c>
      <c r="I8" s="10" t="s">
        <v>1716</v>
      </c>
      <c r="J8" s="14" t="n">
        <v>853.69</v>
      </c>
      <c r="K8" s="10" t="s">
        <v>1716</v>
      </c>
      <c r="L8" s="14" t="n">
        <v>422</v>
      </c>
      <c r="M8" s="10" t="s">
        <v>1716</v>
      </c>
    </row>
    <row r="9" customFormat="false" ht="15" hidden="false" customHeight="false" outlineLevel="0" collapsed="false">
      <c r="A9" s="10" t="s">
        <v>1723</v>
      </c>
      <c r="B9" s="19" t="n">
        <v>3.27027</v>
      </c>
      <c r="C9" s="10" t="s">
        <v>1716</v>
      </c>
      <c r="D9" s="19" t="n">
        <v>2.210132</v>
      </c>
      <c r="E9" s="10" t="s">
        <v>1716</v>
      </c>
      <c r="F9" s="19" t="n">
        <v>1.631419</v>
      </c>
      <c r="G9" s="10" t="s">
        <v>1716</v>
      </c>
      <c r="H9" s="19" t="n">
        <v>1.6661</v>
      </c>
      <c r="I9" s="10" t="s">
        <v>1716</v>
      </c>
      <c r="J9" s="14" t="n">
        <v>778.69</v>
      </c>
      <c r="K9" s="10" t="s">
        <v>1716</v>
      </c>
      <c r="L9" s="14" t="n">
        <v>445</v>
      </c>
      <c r="M9" s="10" t="s">
        <v>1716</v>
      </c>
    </row>
    <row r="10" customFormat="false" ht="15" hidden="false" customHeight="false" outlineLevel="0" collapsed="false">
      <c r="A10" s="10" t="s">
        <v>1724</v>
      </c>
      <c r="B10" s="19" t="n">
        <v>3.21483</v>
      </c>
      <c r="C10" s="10" t="s">
        <v>1716</v>
      </c>
      <c r="D10" s="19" t="n">
        <v>2.216084</v>
      </c>
      <c r="E10" s="10" t="s">
        <v>1716</v>
      </c>
      <c r="F10" s="19" t="n">
        <v>1.61775</v>
      </c>
      <c r="G10" s="10" t="s">
        <v>1716</v>
      </c>
      <c r="H10" s="19" t="n">
        <v>1.5319</v>
      </c>
      <c r="I10" s="10" t="s">
        <v>1716</v>
      </c>
      <c r="J10" s="14" t="n">
        <v>760.75</v>
      </c>
      <c r="K10" s="10" t="s">
        <v>1716</v>
      </c>
      <c r="L10" s="14" t="n">
        <v>432</v>
      </c>
      <c r="M10" s="10" t="s">
        <v>1716</v>
      </c>
    </row>
    <row r="11" customFormat="false" ht="15" hidden="false" customHeight="false" outlineLevel="0" collapsed="false">
      <c r="A11" s="10" t="s">
        <v>1725</v>
      </c>
      <c r="B11" s="19" t="n">
        <v>3.10083</v>
      </c>
      <c r="C11" s="10" t="s">
        <v>1716</v>
      </c>
      <c r="D11" s="19" t="n">
        <v>2.308237</v>
      </c>
      <c r="E11" s="10" t="s">
        <v>1716</v>
      </c>
      <c r="F11" s="19" t="n">
        <v>1.55073</v>
      </c>
      <c r="G11" s="10" t="s">
        <v>1716</v>
      </c>
      <c r="H11" s="19" t="n">
        <v>1.5061</v>
      </c>
      <c r="I11" s="10" t="s">
        <v>1716</v>
      </c>
      <c r="J11" s="14" t="n">
        <v>764.4</v>
      </c>
      <c r="K11" s="10" t="s">
        <v>1716</v>
      </c>
      <c r="L11" s="14" t="n">
        <v>428</v>
      </c>
      <c r="M11" s="10" t="s">
        <v>1716</v>
      </c>
    </row>
    <row r="12" customFormat="false" ht="15" hidden="false" customHeight="false" outlineLevel="0" collapsed="false">
      <c r="A12" s="10" t="s">
        <v>1726</v>
      </c>
      <c r="B12" s="19" t="n">
        <v>2.90909</v>
      </c>
      <c r="C12" s="10" t="s">
        <v>1716</v>
      </c>
      <c r="D12" s="19" t="n">
        <v>2.272081</v>
      </c>
      <c r="E12" s="10" t="s">
        <v>1716</v>
      </c>
      <c r="F12" s="19" t="n">
        <v>1.488559</v>
      </c>
      <c r="G12" s="10" t="s">
        <v>1716</v>
      </c>
      <c r="H12" s="19" t="n">
        <v>1.537</v>
      </c>
      <c r="I12" s="10" t="s">
        <v>1716</v>
      </c>
      <c r="J12" s="14" t="n">
        <v>764.75</v>
      </c>
      <c r="K12" s="10" t="s">
        <v>1716</v>
      </c>
      <c r="L12" s="14" t="n">
        <v>418</v>
      </c>
      <c r="M12" s="10" t="s">
        <v>1716</v>
      </c>
    </row>
    <row r="13" customFormat="false" ht="15" hidden="false" customHeight="false" outlineLevel="0" collapsed="false">
      <c r="A13" s="10" t="s">
        <v>1727</v>
      </c>
      <c r="B13" s="19" t="n">
        <v>2.94695</v>
      </c>
      <c r="C13" s="10" t="s">
        <v>1716</v>
      </c>
      <c r="D13" s="19" t="n">
        <v>2.197345</v>
      </c>
      <c r="E13" s="10" t="s">
        <v>1716</v>
      </c>
      <c r="F13" s="19" t="n">
        <v>1.505755</v>
      </c>
      <c r="G13" s="10" t="s">
        <v>1716</v>
      </c>
      <c r="H13" s="19" t="n">
        <v>1.4711</v>
      </c>
      <c r="I13" s="10" t="s">
        <v>1716</v>
      </c>
      <c r="J13" s="14" t="n">
        <v>719.64</v>
      </c>
      <c r="K13" s="10" t="s">
        <v>1716</v>
      </c>
      <c r="L13" s="14" t="n">
        <v>418</v>
      </c>
      <c r="M13" s="10" t="s">
        <v>1716</v>
      </c>
    </row>
    <row r="14" customFormat="false" ht="15" hidden="false" customHeight="false" outlineLevel="0" collapsed="false">
      <c r="A14" s="10" t="s">
        <v>1728</v>
      </c>
      <c r="B14" s="19" t="n">
        <v>2.91591</v>
      </c>
      <c r="C14" s="10" t="s">
        <v>1716</v>
      </c>
      <c r="D14" s="19" t="n">
        <v>2.160748</v>
      </c>
      <c r="E14" s="10" t="s">
        <v>1716</v>
      </c>
      <c r="F14" s="19" t="n">
        <v>1.484812</v>
      </c>
      <c r="G14" s="10" t="s">
        <v>1716</v>
      </c>
      <c r="H14" s="19" t="n">
        <v>1.4198</v>
      </c>
      <c r="I14" s="10" t="s">
        <v>1716</v>
      </c>
      <c r="J14" s="14" t="n">
        <v>719.64</v>
      </c>
      <c r="K14" s="10" t="s">
        <v>1716</v>
      </c>
      <c r="L14" s="14" t="n">
        <v>420</v>
      </c>
      <c r="M14" s="10" t="s">
        <v>1716</v>
      </c>
    </row>
    <row r="15" customFormat="false" ht="15" hidden="false" customHeight="false" outlineLevel="0" collapsed="false">
      <c r="A15" s="10" t="s">
        <v>1729</v>
      </c>
      <c r="B15" s="19" t="n">
        <v>2.9617</v>
      </c>
      <c r="C15" s="10" t="s">
        <v>1716</v>
      </c>
      <c r="D15" s="19" t="n">
        <v>2.168464</v>
      </c>
      <c r="E15" s="10" t="s">
        <v>1716</v>
      </c>
      <c r="F15" s="19" t="n">
        <v>1.539707</v>
      </c>
      <c r="G15" s="10" t="s">
        <v>1716</v>
      </c>
      <c r="H15" s="19" t="n">
        <v>1.4293</v>
      </c>
      <c r="I15" s="10" t="s">
        <v>1716</v>
      </c>
      <c r="J15" s="14" t="n">
        <v>723.04</v>
      </c>
      <c r="K15" s="10" t="s">
        <v>1716</v>
      </c>
      <c r="L15" s="14" t="n">
        <v>420</v>
      </c>
      <c r="M15" s="10" t="s">
        <v>1716</v>
      </c>
    </row>
    <row r="16" customFormat="false" ht="15" hidden="false" customHeight="false" outlineLevel="0" collapsed="false">
      <c r="A16" s="10" t="s">
        <v>1730</v>
      </c>
      <c r="B16" s="19" t="n">
        <v>2.877</v>
      </c>
      <c r="C16" s="10" t="s">
        <v>1716</v>
      </c>
      <c r="D16" s="19" t="n">
        <v>2.031778</v>
      </c>
      <c r="E16" s="10" t="s">
        <v>1716</v>
      </c>
      <c r="F16" s="19" t="n">
        <v>1.528904</v>
      </c>
      <c r="G16" s="10" t="s">
        <v>1716</v>
      </c>
      <c r="H16" s="19" t="n">
        <v>1.4297</v>
      </c>
      <c r="I16" s="10" t="s">
        <v>1716</v>
      </c>
      <c r="J16" s="14" t="n">
        <v>698.86</v>
      </c>
      <c r="K16" s="10" t="s">
        <v>1716</v>
      </c>
      <c r="L16" s="14" t="n">
        <v>410</v>
      </c>
      <c r="M16" s="10" t="s">
        <v>1716</v>
      </c>
    </row>
    <row r="17" customFormat="false" ht="15" hidden="false" customHeight="false" outlineLevel="0" collapsed="false">
      <c r="A17" s="10" t="s">
        <v>1731</v>
      </c>
      <c r="B17" s="19" t="n">
        <v>2.86827</v>
      </c>
      <c r="C17" s="10" t="s">
        <v>1716</v>
      </c>
      <c r="D17" s="19" t="n">
        <v>2.029573</v>
      </c>
      <c r="E17" s="10" t="s">
        <v>1716</v>
      </c>
      <c r="F17" s="19" t="n">
        <v>1.580713</v>
      </c>
      <c r="G17" s="10" t="s">
        <v>1716</v>
      </c>
      <c r="H17" s="19" t="n">
        <v>1.4071</v>
      </c>
      <c r="I17" s="10" t="s">
        <v>1716</v>
      </c>
      <c r="J17" s="14" t="n">
        <v>682.75</v>
      </c>
      <c r="K17" s="10" t="s">
        <v>1716</v>
      </c>
      <c r="L17" s="14" t="n">
        <v>399</v>
      </c>
      <c r="M17" s="10" t="s">
        <v>1716</v>
      </c>
    </row>
    <row r="18" customFormat="false" ht="15" hidden="false" customHeight="false" outlineLevel="0" collapsed="false">
      <c r="A18" s="10" t="s">
        <v>1732</v>
      </c>
      <c r="B18" s="19" t="n">
        <v>3.096</v>
      </c>
      <c r="C18" s="10" t="s">
        <v>1716</v>
      </c>
      <c r="D18" s="19" t="n">
        <v>1.930365</v>
      </c>
      <c r="E18" s="10" t="s">
        <v>1716</v>
      </c>
      <c r="F18" s="19" t="n">
        <v>1.606286</v>
      </c>
      <c r="G18" s="10" t="s">
        <v>1716</v>
      </c>
      <c r="H18" s="19" t="n">
        <v>1.5501</v>
      </c>
      <c r="I18" s="10" t="s">
        <v>1716</v>
      </c>
      <c r="J18" s="14" t="n">
        <v>697.35</v>
      </c>
      <c r="K18" s="10" t="s">
        <v>1716</v>
      </c>
      <c r="L18" s="14" t="n">
        <v>381</v>
      </c>
      <c r="M18" s="10" t="s">
        <v>1716</v>
      </c>
    </row>
    <row r="19" customFormat="false" ht="15" hidden="false" customHeight="false" outlineLevel="0" collapsed="false">
      <c r="A19" s="10" t="s">
        <v>1733</v>
      </c>
      <c r="B19" s="19" t="n">
        <v>3.23951</v>
      </c>
      <c r="C19" s="10" t="s">
        <v>1716</v>
      </c>
      <c r="D19" s="19" t="n">
        <v>1.98967</v>
      </c>
      <c r="E19" s="10" t="s">
        <v>1716</v>
      </c>
      <c r="F19" s="19" t="n">
        <v>1.595043</v>
      </c>
      <c r="G19" s="10" t="s">
        <v>1716</v>
      </c>
      <c r="H19" s="19" t="n">
        <v>1.5829</v>
      </c>
      <c r="I19" s="10" t="s">
        <v>1716</v>
      </c>
      <c r="J19" s="14" t="n">
        <v>705.91</v>
      </c>
      <c r="K19" s="10" t="s">
        <v>1716</v>
      </c>
      <c r="L19" s="14" t="n">
        <v>376</v>
      </c>
      <c r="M19" s="10" t="s">
        <v>1716</v>
      </c>
    </row>
    <row r="20" customFormat="false" ht="15" hidden="false" customHeight="false" outlineLevel="0" collapsed="false">
      <c r="A20" s="10" t="s">
        <v>1734</v>
      </c>
      <c r="B20" s="19" t="n">
        <v>3.32596</v>
      </c>
      <c r="C20" s="10" t="s">
        <v>1716</v>
      </c>
      <c r="D20" s="19" t="n">
        <v>1.920665</v>
      </c>
      <c r="E20" s="10" t="s">
        <v>1716</v>
      </c>
      <c r="F20" s="19" t="n">
        <v>1.595043</v>
      </c>
      <c r="G20" s="10" t="s">
        <v>1716</v>
      </c>
      <c r="H20" s="19" t="n">
        <v>1.4531</v>
      </c>
      <c r="I20" s="10" t="s">
        <v>1716</v>
      </c>
      <c r="J20" s="14" t="n">
        <v>680</v>
      </c>
      <c r="K20" s="10" t="s">
        <v>1716</v>
      </c>
      <c r="L20" s="14" t="n">
        <v>392</v>
      </c>
      <c r="M20" s="10" t="s">
        <v>1716</v>
      </c>
    </row>
    <row r="21" customFormat="false" ht="15" hidden="false" customHeight="false" outlineLevel="0" collapsed="false">
      <c r="A21" s="10" t="s">
        <v>1735</v>
      </c>
      <c r="B21" s="19" t="n">
        <v>3.15391</v>
      </c>
      <c r="C21" s="10" t="s">
        <v>1716</v>
      </c>
      <c r="D21" s="19" t="n">
        <v>1.891123</v>
      </c>
      <c r="E21" s="10" t="s">
        <v>1716</v>
      </c>
      <c r="F21" s="19" t="n">
        <v>1.583358</v>
      </c>
      <c r="G21" s="10" t="s">
        <v>1716</v>
      </c>
      <c r="H21" s="19" t="n">
        <v>1.314</v>
      </c>
      <c r="I21" s="10" t="s">
        <v>1716</v>
      </c>
      <c r="J21" s="14" t="n">
        <v>601.38</v>
      </c>
      <c r="K21" s="10" t="s">
        <v>1716</v>
      </c>
      <c r="L21" s="14" t="n">
        <v>373</v>
      </c>
      <c r="M21" s="10" t="s">
        <v>1716</v>
      </c>
    </row>
    <row r="22" customFormat="false" ht="15" hidden="false" customHeight="false" outlineLevel="0" collapsed="false">
      <c r="A22" s="10" t="s">
        <v>1736</v>
      </c>
      <c r="B22" s="19" t="n">
        <v>3.27845</v>
      </c>
      <c r="C22" s="10" t="s">
        <v>1716</v>
      </c>
      <c r="D22" s="19" t="n">
        <v>1.796765</v>
      </c>
      <c r="E22" s="10" t="s">
        <v>1716</v>
      </c>
      <c r="F22" s="19" t="n">
        <v>1.515456</v>
      </c>
      <c r="G22" s="10" t="s">
        <v>1716</v>
      </c>
      <c r="H22" s="19" t="n">
        <v>1.2393</v>
      </c>
      <c r="I22" s="10" t="s">
        <v>1716</v>
      </c>
      <c r="J22" s="14" t="n">
        <v>599.5</v>
      </c>
      <c r="K22" s="10" t="s">
        <v>1716</v>
      </c>
      <c r="L22" s="14" t="n">
        <v>357</v>
      </c>
      <c r="M22" s="10" t="s">
        <v>1716</v>
      </c>
    </row>
    <row r="23" customFormat="false" ht="15" hidden="false" customHeight="false" outlineLevel="0" collapsed="false">
      <c r="A23" s="10" t="s">
        <v>1737</v>
      </c>
      <c r="B23" s="19" t="n">
        <v>3.19734</v>
      </c>
      <c r="C23" s="10" t="s">
        <v>1716</v>
      </c>
      <c r="D23" s="19" t="n">
        <v>1.824984</v>
      </c>
      <c r="E23" s="10" t="s">
        <v>1716</v>
      </c>
      <c r="F23" s="19" t="n">
        <v>1.521849</v>
      </c>
      <c r="G23" s="10" t="s">
        <v>1716</v>
      </c>
      <c r="H23" s="19" t="n">
        <v>1.2424</v>
      </c>
      <c r="I23" s="10" t="s">
        <v>1716</v>
      </c>
      <c r="J23" s="14" t="n">
        <v>636.67</v>
      </c>
      <c r="K23" s="10" t="s">
        <v>1716</v>
      </c>
      <c r="L23" s="14" t="n">
        <v>373</v>
      </c>
      <c r="M23" s="10" t="s">
        <v>1716</v>
      </c>
    </row>
    <row r="24" customFormat="false" ht="15" hidden="false" customHeight="false" outlineLevel="0" collapsed="false">
      <c r="A24" s="10" t="s">
        <v>1738</v>
      </c>
      <c r="B24" s="19" t="n">
        <v>3.36084</v>
      </c>
      <c r="C24" s="10" t="s">
        <v>1716</v>
      </c>
      <c r="D24" s="19" t="n">
        <v>1.802056</v>
      </c>
      <c r="E24" s="10" t="s">
        <v>1716</v>
      </c>
      <c r="F24" s="19" t="n">
        <v>1.526038</v>
      </c>
      <c r="G24" s="10" t="s">
        <v>1716</v>
      </c>
      <c r="H24" s="19" t="n">
        <v>1.161</v>
      </c>
      <c r="I24" s="10" t="s">
        <v>1716</v>
      </c>
      <c r="J24" s="14" t="n">
        <v>608.21</v>
      </c>
      <c r="K24" s="10" t="s">
        <v>1716</v>
      </c>
      <c r="L24" s="14" t="n">
        <v>368</v>
      </c>
      <c r="M24" s="10" t="s">
        <v>1716</v>
      </c>
    </row>
    <row r="25" customFormat="false" ht="15" hidden="false" customHeight="false" outlineLevel="0" collapsed="false">
      <c r="A25" s="10" t="s">
        <v>1739</v>
      </c>
      <c r="B25" s="19" t="n">
        <v>3.34565</v>
      </c>
      <c r="C25" s="10" t="s">
        <v>1716</v>
      </c>
      <c r="D25" s="19" t="n">
        <v>1.747823</v>
      </c>
      <c r="E25" s="10" t="s">
        <v>1716</v>
      </c>
      <c r="F25" s="19" t="n">
        <v>1.551832</v>
      </c>
      <c r="G25" s="10" t="s">
        <v>1716</v>
      </c>
      <c r="H25" s="19" t="n">
        <v>1.1611</v>
      </c>
      <c r="I25" s="10" t="s">
        <v>1716</v>
      </c>
      <c r="J25" s="14" t="n">
        <v>607.38</v>
      </c>
      <c r="K25" s="10" t="s">
        <v>1716</v>
      </c>
      <c r="L25" s="14" t="n">
        <v>363</v>
      </c>
      <c r="M25" s="10" t="s">
        <v>1716</v>
      </c>
    </row>
    <row r="26" customFormat="false" ht="15" hidden="false" customHeight="false" outlineLevel="0" collapsed="false">
      <c r="A26" s="10" t="s">
        <v>1740</v>
      </c>
      <c r="B26" s="19" t="n">
        <v>2.95242</v>
      </c>
      <c r="C26" s="10" t="s">
        <v>1716</v>
      </c>
      <c r="D26" s="19" t="n">
        <v>1.647072</v>
      </c>
      <c r="E26" s="10" t="s">
        <v>1716</v>
      </c>
      <c r="F26" s="19" t="n">
        <v>1.515676</v>
      </c>
      <c r="G26" s="10" t="s">
        <v>1716</v>
      </c>
      <c r="H26" s="19" t="n">
        <v>1.0829</v>
      </c>
      <c r="I26" s="10" t="s">
        <v>1716</v>
      </c>
      <c r="J26" s="14" t="n">
        <v>611.63</v>
      </c>
      <c r="K26" s="10" t="s">
        <v>1716</v>
      </c>
      <c r="L26" s="14" t="n">
        <v>369</v>
      </c>
      <c r="M26" s="10" t="s">
        <v>1716</v>
      </c>
    </row>
    <row r="27" customFormat="false" ht="15" hidden="false" customHeight="false" outlineLevel="0" collapsed="false">
      <c r="A27" s="10" t="s">
        <v>1741</v>
      </c>
      <c r="B27" s="19" t="n">
        <v>2.91637</v>
      </c>
      <c r="C27" s="10" t="s">
        <v>1716</v>
      </c>
      <c r="D27" s="19" t="n">
        <v>1.632301</v>
      </c>
      <c r="E27" s="10" t="s">
        <v>1716</v>
      </c>
      <c r="F27" s="19" t="n">
        <v>1.467616</v>
      </c>
      <c r="G27" s="10" t="s">
        <v>1716</v>
      </c>
      <c r="H27" s="19" t="n">
        <v>1.0963</v>
      </c>
      <c r="I27" s="10" t="s">
        <v>1716</v>
      </c>
      <c r="J27" s="14" t="n">
        <v>679.17</v>
      </c>
      <c r="K27" s="10" t="s">
        <v>1716</v>
      </c>
      <c r="L27" s="14" t="n">
        <v>384</v>
      </c>
      <c r="M27" s="10" t="s">
        <v>1716</v>
      </c>
    </row>
    <row r="28" customFormat="false" ht="15" hidden="false" customHeight="false" outlineLevel="0" collapsed="false">
      <c r="A28" s="10" t="s">
        <v>1742</v>
      </c>
      <c r="B28" s="19" t="n">
        <v>3.07352</v>
      </c>
      <c r="C28" s="10" t="s">
        <v>1716</v>
      </c>
      <c r="D28" s="19" t="n">
        <v>1.666693</v>
      </c>
      <c r="E28" s="10" t="s">
        <v>1716</v>
      </c>
      <c r="F28" s="19" t="n">
        <v>1.443144</v>
      </c>
      <c r="G28" s="10" t="s">
        <v>1716</v>
      </c>
      <c r="H28" s="19" t="n">
        <v>1.2835</v>
      </c>
      <c r="I28" s="10" t="s">
        <v>1716</v>
      </c>
      <c r="J28" s="14" t="n">
        <v>715.95</v>
      </c>
      <c r="K28" s="10" t="s">
        <v>1716</v>
      </c>
      <c r="L28" s="14" t="n">
        <v>384</v>
      </c>
      <c r="M28" s="10" t="s">
        <v>1716</v>
      </c>
    </row>
    <row r="29" customFormat="false" ht="15" hidden="false" customHeight="false" outlineLevel="0" collapsed="false">
      <c r="A29" s="10" t="s">
        <v>1743</v>
      </c>
      <c r="B29" s="19" t="n">
        <v>3.0785</v>
      </c>
      <c r="C29" s="10" t="s">
        <v>1716</v>
      </c>
      <c r="D29" s="19" t="n">
        <v>1.767664</v>
      </c>
      <c r="E29" s="10" t="s">
        <v>1716</v>
      </c>
      <c r="F29" s="19" t="n">
        <v>1.527361</v>
      </c>
      <c r="G29" s="10" t="s">
        <v>1716</v>
      </c>
      <c r="H29" s="19" t="n">
        <v>1.4886</v>
      </c>
      <c r="I29" s="10" t="s">
        <v>1716</v>
      </c>
      <c r="J29" s="14" t="n">
        <v>775</v>
      </c>
      <c r="K29" s="10" t="s">
        <v>1716</v>
      </c>
      <c r="L29" s="14" t="n">
        <v>395</v>
      </c>
      <c r="M29" s="10" t="s">
        <v>1716</v>
      </c>
    </row>
    <row r="30" customFormat="false" ht="15" hidden="false" customHeight="false" outlineLevel="0" collapsed="false">
      <c r="A30" s="10" t="s">
        <v>1744</v>
      </c>
      <c r="B30" s="19" t="n">
        <v>3.09866</v>
      </c>
      <c r="C30" s="10" t="s">
        <v>1716</v>
      </c>
      <c r="D30" s="19" t="n">
        <v>1.850338</v>
      </c>
      <c r="E30" s="10" t="s">
        <v>1716</v>
      </c>
      <c r="F30" s="19" t="n">
        <v>1.549407</v>
      </c>
      <c r="G30" s="10" t="s">
        <v>1716</v>
      </c>
      <c r="H30" s="19" t="n">
        <v>1.3583</v>
      </c>
      <c r="I30" s="10" t="s">
        <v>1716</v>
      </c>
      <c r="J30" s="14" t="n">
        <v>753.42</v>
      </c>
      <c r="K30" s="10" t="s">
        <v>1716</v>
      </c>
      <c r="L30" s="14" t="n">
        <v>433</v>
      </c>
      <c r="M30" s="10" t="s">
        <v>1716</v>
      </c>
    </row>
    <row r="31" customFormat="false" ht="15" hidden="false" customHeight="false" outlineLevel="0" collapsed="false">
      <c r="A31" s="10" t="s">
        <v>1745</v>
      </c>
      <c r="B31" s="19" t="n">
        <v>3.1208</v>
      </c>
      <c r="C31" s="10" t="s">
        <v>1716</v>
      </c>
      <c r="D31" s="19" t="n">
        <v>1.89465</v>
      </c>
      <c r="E31" s="10" t="s">
        <v>1716</v>
      </c>
      <c r="F31" s="19" t="n">
        <v>1.633623</v>
      </c>
      <c r="G31" s="10" t="s">
        <v>1716</v>
      </c>
      <c r="H31" s="19" t="n">
        <v>1.2641</v>
      </c>
      <c r="I31" s="10" t="s">
        <v>1716</v>
      </c>
      <c r="J31" s="14" t="n">
        <v>718.18</v>
      </c>
      <c r="K31" s="10" t="s">
        <v>1716</v>
      </c>
      <c r="L31" s="14" t="n">
        <v>441</v>
      </c>
      <c r="M31" s="10" t="s">
        <v>1716</v>
      </c>
    </row>
    <row r="32" customFormat="false" ht="15" hidden="false" customHeight="false" outlineLevel="0" collapsed="false">
      <c r="A32" s="10" t="s">
        <v>1746</v>
      </c>
      <c r="B32" s="19" t="n">
        <v>3.04998</v>
      </c>
      <c r="C32" s="10" t="s">
        <v>1716</v>
      </c>
      <c r="D32" s="19" t="n">
        <v>2.002236</v>
      </c>
      <c r="E32" s="10" t="s">
        <v>1716</v>
      </c>
      <c r="F32" s="19" t="n">
        <v>1.787065</v>
      </c>
      <c r="G32" s="10" t="s">
        <v>1716</v>
      </c>
      <c r="H32" s="19" t="n">
        <v>1.2816</v>
      </c>
      <c r="I32" s="10" t="s">
        <v>1716</v>
      </c>
      <c r="J32" s="14" t="n">
        <v>678.16</v>
      </c>
      <c r="K32" s="10" t="s">
        <v>1716</v>
      </c>
      <c r="L32" s="14" t="n">
        <v>442</v>
      </c>
      <c r="M32" s="10" t="s">
        <v>1716</v>
      </c>
    </row>
    <row r="33" customFormat="false" ht="15" hidden="false" customHeight="false" outlineLevel="0" collapsed="false">
      <c r="A33" s="10" t="s">
        <v>1747</v>
      </c>
      <c r="B33" s="19" t="n">
        <v>3.03249</v>
      </c>
      <c r="C33" s="10" t="s">
        <v>1716</v>
      </c>
      <c r="D33" s="19" t="n">
        <v>2.023621</v>
      </c>
      <c r="E33" s="10" t="s">
        <v>1716</v>
      </c>
      <c r="F33" s="19" t="n">
        <v>1.769428</v>
      </c>
      <c r="G33" s="10" t="s">
        <v>1716</v>
      </c>
      <c r="H33" s="19" t="n">
        <v>1.2973</v>
      </c>
      <c r="I33" s="10" t="s">
        <v>1716</v>
      </c>
      <c r="J33" s="14" t="n">
        <v>771.02</v>
      </c>
      <c r="K33" s="10" t="s">
        <v>1716</v>
      </c>
      <c r="L33" s="14" t="n">
        <v>415</v>
      </c>
      <c r="M33" s="10" t="s">
        <v>1716</v>
      </c>
    </row>
    <row r="34" customFormat="false" ht="15" hidden="false" customHeight="false" outlineLevel="0" collapsed="false">
      <c r="A34" s="10" t="s">
        <v>1748</v>
      </c>
      <c r="B34" s="19" t="n">
        <v>2.88119</v>
      </c>
      <c r="C34" s="10" t="s">
        <v>1716</v>
      </c>
      <c r="D34" s="19" t="n">
        <v>2.135836</v>
      </c>
      <c r="E34" s="10" t="s">
        <v>1716</v>
      </c>
      <c r="F34" s="19" t="n">
        <v>1.716517</v>
      </c>
      <c r="G34" s="10" t="s">
        <v>1716</v>
      </c>
      <c r="H34" s="19" t="n">
        <v>1.3577</v>
      </c>
      <c r="I34" s="10" t="s">
        <v>1716</v>
      </c>
      <c r="J34" s="14" t="n">
        <v>797.85</v>
      </c>
      <c r="K34" s="10" t="s">
        <v>1716</v>
      </c>
      <c r="L34" s="14" t="n">
        <v>384</v>
      </c>
      <c r="M34" s="10" t="s">
        <v>1716</v>
      </c>
    </row>
    <row r="35" customFormat="false" ht="15" hidden="false" customHeight="false" outlineLevel="0" collapsed="false">
      <c r="A35" s="10" t="s">
        <v>1749</v>
      </c>
      <c r="B35" s="19" t="n">
        <v>2.71135</v>
      </c>
      <c r="C35" s="10" t="s">
        <v>1716</v>
      </c>
      <c r="D35" s="19" t="n">
        <v>2.285089</v>
      </c>
      <c r="E35" s="10" t="s">
        <v>1716</v>
      </c>
      <c r="F35" s="19" t="n">
        <v>1.731068</v>
      </c>
      <c r="G35" s="10" t="s">
        <v>1716</v>
      </c>
      <c r="H35" s="19" t="n">
        <v>1.4766</v>
      </c>
      <c r="I35" s="10" t="s">
        <v>1716</v>
      </c>
      <c r="J35" s="14" t="n">
        <v>749.75</v>
      </c>
      <c r="K35" s="10" t="s">
        <v>1716</v>
      </c>
      <c r="L35" s="14" t="n">
        <v>369</v>
      </c>
      <c r="M35" s="10" t="s">
        <v>1716</v>
      </c>
    </row>
    <row r="36" customFormat="false" ht="15" hidden="false" customHeight="false" outlineLevel="0" collapsed="false">
      <c r="A36" s="10" t="s">
        <v>1750</v>
      </c>
      <c r="B36" s="19" t="n">
        <v>2.47855</v>
      </c>
      <c r="C36" s="10" t="s">
        <v>1716</v>
      </c>
      <c r="D36" s="19" t="n">
        <v>2.286632</v>
      </c>
      <c r="E36" s="10" t="s">
        <v>1716</v>
      </c>
      <c r="F36" s="19" t="n">
        <v>1.739886</v>
      </c>
      <c r="G36" s="10" t="s">
        <v>1716</v>
      </c>
      <c r="H36" s="19" t="n">
        <v>1.6586</v>
      </c>
      <c r="I36" s="10" t="s">
        <v>1716</v>
      </c>
      <c r="J36" s="14" t="n">
        <v>766.93</v>
      </c>
      <c r="K36" s="10" t="s">
        <v>1716</v>
      </c>
      <c r="L36" s="14" t="n">
        <v>365</v>
      </c>
      <c r="M36" s="10" t="s">
        <v>1716</v>
      </c>
    </row>
    <row r="37" customFormat="false" ht="15" hidden="false" customHeight="false" outlineLevel="0" collapsed="false">
      <c r="A37" s="10" t="s">
        <v>1751</v>
      </c>
      <c r="B37" s="19" t="n">
        <v>2.29531</v>
      </c>
      <c r="C37" s="10" t="s">
        <v>1716</v>
      </c>
      <c r="D37" s="19" t="n">
        <v>2.245405</v>
      </c>
      <c r="E37" s="10" t="s">
        <v>1716</v>
      </c>
      <c r="F37" s="19" t="n">
        <v>1.752673</v>
      </c>
      <c r="G37" s="10" t="s">
        <v>1716</v>
      </c>
      <c r="H37" s="19" t="n">
        <v>1.928</v>
      </c>
      <c r="I37" s="10" t="s">
        <v>1716</v>
      </c>
      <c r="J37" s="14" t="n">
        <v>811.38</v>
      </c>
      <c r="K37" s="10" t="s">
        <v>1716</v>
      </c>
      <c r="L37" s="14" t="n">
        <v>373</v>
      </c>
      <c r="M37" s="10" t="s">
        <v>1716</v>
      </c>
    </row>
    <row r="38" customFormat="false" ht="15" hidden="false" customHeight="false" outlineLevel="0" collapsed="false">
      <c r="A38" s="10" t="s">
        <v>1752</v>
      </c>
      <c r="B38" s="19" t="n">
        <v>2.19409</v>
      </c>
      <c r="C38" s="10" t="s">
        <v>1716</v>
      </c>
      <c r="D38" s="19" t="n">
        <v>2.388044</v>
      </c>
      <c r="E38" s="10" t="s">
        <v>1716</v>
      </c>
      <c r="F38" s="19" t="n">
        <v>1.815064</v>
      </c>
      <c r="G38" s="10" t="s">
        <v>1716</v>
      </c>
      <c r="H38" s="19" t="n">
        <v>2.1623</v>
      </c>
      <c r="I38" s="10" t="s">
        <v>1716</v>
      </c>
      <c r="J38" s="14" t="n">
        <v>825</v>
      </c>
      <c r="K38" s="10" t="s">
        <v>1716</v>
      </c>
      <c r="L38" s="14" t="n">
        <v>377</v>
      </c>
      <c r="M38" s="10" t="s">
        <v>1716</v>
      </c>
    </row>
    <row r="39" customFormat="false" ht="15" hidden="false" customHeight="false" outlineLevel="0" collapsed="false">
      <c r="A39" s="10" t="s">
        <v>1753</v>
      </c>
      <c r="B39" s="19" t="n">
        <v>2.03408</v>
      </c>
      <c r="C39" s="10" t="s">
        <v>1716</v>
      </c>
      <c r="D39" s="19" t="n">
        <v>2.3477</v>
      </c>
      <c r="E39" s="10" t="s">
        <v>1716</v>
      </c>
      <c r="F39" s="19" t="n">
        <v>1.877234</v>
      </c>
      <c r="G39" s="10" t="s">
        <v>1716</v>
      </c>
      <c r="H39" s="19" t="n">
        <v>2.2329</v>
      </c>
      <c r="I39" s="10" t="s">
        <v>1716</v>
      </c>
      <c r="J39" s="14" t="n">
        <v>808.61</v>
      </c>
      <c r="K39" s="10" t="s">
        <v>1716</v>
      </c>
      <c r="L39" s="14" t="n">
        <v>367</v>
      </c>
      <c r="M39" s="10" t="s">
        <v>1716</v>
      </c>
    </row>
    <row r="40" customFormat="false" ht="15" hidden="false" customHeight="false" outlineLevel="0" collapsed="false">
      <c r="A40" s="10" t="s">
        <v>1754</v>
      </c>
      <c r="B40" s="19" t="n">
        <v>2.0638</v>
      </c>
      <c r="C40" s="10" t="s">
        <v>1716</v>
      </c>
      <c r="D40" s="19" t="n">
        <v>2.352991</v>
      </c>
      <c r="E40" s="10" t="s">
        <v>1716</v>
      </c>
      <c r="F40" s="19" t="n">
        <v>1.913169</v>
      </c>
      <c r="G40" s="10" t="s">
        <v>1716</v>
      </c>
      <c r="H40" s="19" t="n">
        <v>1.966</v>
      </c>
      <c r="I40" s="10" t="s">
        <v>1716</v>
      </c>
      <c r="J40" s="14" t="n">
        <v>778.7</v>
      </c>
      <c r="K40" s="10" t="s">
        <v>1716</v>
      </c>
      <c r="L40" s="14" t="n">
        <v>370</v>
      </c>
      <c r="M40" s="10" t="s">
        <v>1716</v>
      </c>
    </row>
    <row r="41" customFormat="false" ht="15" hidden="false" customHeight="false" outlineLevel="0" collapsed="false">
      <c r="A41" s="10" t="s">
        <v>1755</v>
      </c>
      <c r="B41" s="19" t="n">
        <v>1.96116</v>
      </c>
      <c r="C41" s="10" t="s">
        <v>1716</v>
      </c>
      <c r="D41" s="19" t="n">
        <v>2.283545</v>
      </c>
      <c r="E41" s="10" t="s">
        <v>1716</v>
      </c>
      <c r="F41" s="19" t="n">
        <v>1.918901</v>
      </c>
      <c r="G41" s="10" t="s">
        <v>1716</v>
      </c>
      <c r="H41" s="19" t="n">
        <v>1.6543</v>
      </c>
      <c r="I41" s="10" t="s">
        <v>1716</v>
      </c>
      <c r="J41" s="14" t="n">
        <v>752.06</v>
      </c>
      <c r="K41" s="10" t="s">
        <v>1716</v>
      </c>
      <c r="L41" s="14" t="n">
        <v>380</v>
      </c>
      <c r="M41" s="10" t="s">
        <v>1716</v>
      </c>
    </row>
    <row r="42" customFormat="false" ht="15" hidden="false" customHeight="false" outlineLevel="0" collapsed="false">
      <c r="A42" s="10" t="s">
        <v>1756</v>
      </c>
      <c r="B42" s="19" t="n">
        <v>1.98348</v>
      </c>
      <c r="C42" s="10" t="s">
        <v>1716</v>
      </c>
      <c r="D42" s="19" t="n">
        <v>2.168464</v>
      </c>
      <c r="E42" s="10" t="s">
        <v>1716</v>
      </c>
      <c r="F42" s="19" t="n">
        <v>1.954175</v>
      </c>
      <c r="G42" s="10" t="s">
        <v>1716</v>
      </c>
      <c r="H42" s="19" t="n">
        <v>1.5306</v>
      </c>
      <c r="I42" s="10" t="s">
        <v>1716</v>
      </c>
      <c r="J42" s="14" t="n">
        <v>762.75</v>
      </c>
      <c r="K42" s="10" t="s">
        <v>1716</v>
      </c>
      <c r="L42" s="14" t="n">
        <v>421</v>
      </c>
      <c r="M42" s="10" t="s">
        <v>1716</v>
      </c>
    </row>
    <row r="43" customFormat="false" ht="15" hidden="false" customHeight="false" outlineLevel="0" collapsed="false">
      <c r="A43" s="10" t="s">
        <v>1757</v>
      </c>
      <c r="B43" s="19" t="n">
        <v>1.99825</v>
      </c>
      <c r="C43" s="10" t="s">
        <v>1716</v>
      </c>
      <c r="D43" s="19" t="n">
        <v>2.24761</v>
      </c>
      <c r="E43" s="10" t="s">
        <v>1716</v>
      </c>
      <c r="F43" s="19" t="n">
        <v>1.868636</v>
      </c>
      <c r="G43" s="10" t="s">
        <v>1716</v>
      </c>
      <c r="H43" s="19" t="n">
        <v>1.4397</v>
      </c>
      <c r="I43" s="10" t="s">
        <v>1716</v>
      </c>
      <c r="J43" s="14" t="n">
        <v>735.14</v>
      </c>
      <c r="K43" s="10" t="s">
        <v>1716</v>
      </c>
      <c r="L43" s="14" t="n">
        <v>458</v>
      </c>
      <c r="M43" s="10" t="s">
        <v>1716</v>
      </c>
    </row>
    <row r="44" customFormat="false" ht="15" hidden="false" customHeight="false" outlineLevel="0" collapsed="false">
      <c r="A44" s="10" t="s">
        <v>1758</v>
      </c>
      <c r="B44" s="19" t="n">
        <v>1.98858</v>
      </c>
      <c r="C44" s="10" t="s">
        <v>1716</v>
      </c>
      <c r="D44" s="19" t="n">
        <v>2.313528</v>
      </c>
      <c r="E44" s="10" t="s">
        <v>1716</v>
      </c>
      <c r="F44" s="19" t="n">
        <v>1.853865</v>
      </c>
      <c r="G44" s="10" t="s">
        <v>1716</v>
      </c>
      <c r="H44" s="19" t="n">
        <v>1.5166</v>
      </c>
      <c r="I44" s="10" t="s">
        <v>1716</v>
      </c>
      <c r="J44" s="14" t="n">
        <v>720.48</v>
      </c>
      <c r="K44" s="10" t="s">
        <v>1716</v>
      </c>
      <c r="L44" s="14" t="n">
        <v>417</v>
      </c>
      <c r="M44" s="10" t="s">
        <v>1716</v>
      </c>
    </row>
    <row r="45" customFormat="false" ht="15" hidden="false" customHeight="false" outlineLevel="0" collapsed="false">
      <c r="A45" s="10" t="s">
        <v>1759</v>
      </c>
      <c r="B45" s="19" t="n">
        <v>1.98856</v>
      </c>
      <c r="C45" s="10" t="s">
        <v>1716</v>
      </c>
      <c r="D45" s="19" t="n">
        <v>2.304269</v>
      </c>
      <c r="E45" s="10" t="s">
        <v>1716</v>
      </c>
      <c r="F45" s="19" t="n">
        <v>1.749146</v>
      </c>
      <c r="G45" s="10" t="s">
        <v>1716</v>
      </c>
      <c r="H45" s="19" t="n">
        <v>1.5462</v>
      </c>
      <c r="I45" s="10" t="s">
        <v>1716</v>
      </c>
      <c r="J45" s="14" t="n">
        <v>717.95</v>
      </c>
      <c r="K45" s="10" t="s">
        <v>1716</v>
      </c>
      <c r="L45" s="14" t="n">
        <v>393</v>
      </c>
      <c r="M45" s="10" t="s">
        <v>1716</v>
      </c>
    </row>
    <row r="46" customFormat="false" ht="15" hidden="false" customHeight="false" outlineLevel="0" collapsed="false">
      <c r="A46" s="10" t="s">
        <v>1760</v>
      </c>
      <c r="B46" s="19" t="n">
        <v>1.9983</v>
      </c>
      <c r="C46" s="10" t="s">
        <v>1716</v>
      </c>
      <c r="D46" s="19" t="n">
        <v>2.186542</v>
      </c>
      <c r="E46" s="10" t="s">
        <v>1716</v>
      </c>
      <c r="F46" s="19" t="n">
        <v>1.776924</v>
      </c>
      <c r="G46" s="10" t="s">
        <v>1716</v>
      </c>
      <c r="H46" s="19" t="n">
        <v>1.6082</v>
      </c>
      <c r="I46" s="10" t="s">
        <v>1716</v>
      </c>
      <c r="J46" s="14" t="n">
        <v>754.25</v>
      </c>
      <c r="K46" s="10" t="s">
        <v>1716</v>
      </c>
      <c r="L46" s="14" t="n">
        <v>402</v>
      </c>
      <c r="M46" s="10" t="s">
        <v>1716</v>
      </c>
    </row>
    <row r="47" customFormat="false" ht="15" hidden="false" customHeight="false" outlineLevel="0" collapsed="false">
      <c r="A47" s="10" t="s">
        <v>1761</v>
      </c>
      <c r="B47" s="19" t="n">
        <v>2.09705</v>
      </c>
      <c r="C47" s="10" t="s">
        <v>1716</v>
      </c>
      <c r="D47" s="19" t="n">
        <v>2.169126</v>
      </c>
      <c r="E47" s="10" t="s">
        <v>1716</v>
      </c>
      <c r="F47" s="19" t="n">
        <v>1.732831</v>
      </c>
      <c r="G47" s="10" t="s">
        <v>1716</v>
      </c>
      <c r="H47" s="19" t="n">
        <v>1.4569</v>
      </c>
      <c r="I47" s="10" t="s">
        <v>1716</v>
      </c>
      <c r="J47" s="14" t="n">
        <v>746.79</v>
      </c>
      <c r="K47" s="10" t="s">
        <v>1716</v>
      </c>
      <c r="L47" s="14" t="n">
        <v>394</v>
      </c>
      <c r="M47" s="10" t="s">
        <v>1716</v>
      </c>
    </row>
    <row r="48" customFormat="false" ht="15" hidden="false" customHeight="false" outlineLevel="0" collapsed="false">
      <c r="A48" s="10" t="s">
        <v>1762</v>
      </c>
      <c r="B48" s="19" t="n">
        <v>2.1279</v>
      </c>
      <c r="C48" s="10" t="s">
        <v>1716</v>
      </c>
      <c r="D48" s="19" t="n">
        <v>2.013479</v>
      </c>
      <c r="E48" s="10" t="s">
        <v>1716</v>
      </c>
      <c r="F48" s="19" t="n">
        <v>1.772735</v>
      </c>
      <c r="G48" s="10" t="s">
        <v>1716</v>
      </c>
      <c r="H48" s="19" t="n">
        <v>1.4286</v>
      </c>
      <c r="I48" s="10" t="s">
        <v>1716</v>
      </c>
      <c r="J48" s="14" t="n">
        <v>728.86</v>
      </c>
      <c r="K48" s="10" t="s">
        <v>1716</v>
      </c>
      <c r="L48" s="14" t="n">
        <v>402</v>
      </c>
      <c r="M48" s="10" t="s">
        <v>1716</v>
      </c>
    </row>
    <row r="49" customFormat="false" ht="15" hidden="false" customHeight="false" outlineLevel="0" collapsed="false">
      <c r="A49" s="10" t="s">
        <v>1763</v>
      </c>
      <c r="B49" s="19" t="n">
        <v>1.91768</v>
      </c>
      <c r="C49" s="10" t="s">
        <v>1716</v>
      </c>
      <c r="D49" s="19" t="n">
        <v>1.931027</v>
      </c>
      <c r="E49" s="10" t="s">
        <v>1716</v>
      </c>
      <c r="F49" s="19" t="n">
        <v>1.883186</v>
      </c>
      <c r="G49" s="10" t="s">
        <v>1716</v>
      </c>
      <c r="H49" s="19" t="n">
        <v>1.46</v>
      </c>
      <c r="I49" s="10" t="s">
        <v>1716</v>
      </c>
      <c r="J49" s="14" t="n">
        <v>679.17</v>
      </c>
      <c r="K49" s="10" t="s">
        <v>1716</v>
      </c>
      <c r="L49" s="14" t="n">
        <v>406</v>
      </c>
      <c r="M49" s="10" t="s">
        <v>1716</v>
      </c>
    </row>
    <row r="50" customFormat="false" ht="15" hidden="false" customHeight="false" outlineLevel="0" collapsed="false">
      <c r="A50" s="10" t="s">
        <v>1764</v>
      </c>
      <c r="B50" s="19" t="n">
        <v>1.95183</v>
      </c>
      <c r="C50" s="10" t="s">
        <v>1716</v>
      </c>
      <c r="D50" s="19" t="n">
        <v>1.954396</v>
      </c>
      <c r="E50" s="10" t="s">
        <v>1716</v>
      </c>
      <c r="F50" s="19" t="n">
        <v>2.007527</v>
      </c>
      <c r="G50" s="10" t="s">
        <v>1716</v>
      </c>
      <c r="H50" s="19" t="n">
        <v>1.5021</v>
      </c>
      <c r="I50" s="10" t="s">
        <v>1716</v>
      </c>
      <c r="J50" s="14" t="n">
        <v>703.45</v>
      </c>
      <c r="K50" s="10" t="s">
        <v>1716</v>
      </c>
      <c r="L50" s="14" t="n">
        <v>442</v>
      </c>
      <c r="M50" s="10" t="s">
        <v>1716</v>
      </c>
    </row>
    <row r="51" customFormat="false" ht="15" hidden="false" customHeight="false" outlineLevel="0" collapsed="false">
      <c r="A51" s="10" t="s">
        <v>1765</v>
      </c>
      <c r="B51" s="19" t="n">
        <v>2.1228</v>
      </c>
      <c r="C51" s="10" t="s">
        <v>1716</v>
      </c>
      <c r="D51" s="19" t="n">
        <v>1.967403</v>
      </c>
      <c r="E51" s="10" t="s">
        <v>1716</v>
      </c>
      <c r="F51" s="19" t="n">
        <v>1.946018</v>
      </c>
      <c r="G51" s="10" t="s">
        <v>1716</v>
      </c>
      <c r="H51" s="19" t="n">
        <v>1.4618</v>
      </c>
      <c r="I51" s="10" t="s">
        <v>1716</v>
      </c>
      <c r="J51" s="14" t="n">
        <v>709.44</v>
      </c>
      <c r="K51" s="10" t="s">
        <v>1716</v>
      </c>
      <c r="L51" s="14" t="n">
        <v>425</v>
      </c>
      <c r="M51" s="10" t="s">
        <v>1716</v>
      </c>
    </row>
    <row r="52" customFormat="false" ht="15" hidden="false" customHeight="false" outlineLevel="0" collapsed="false">
      <c r="A52" s="10" t="s">
        <v>1766</v>
      </c>
      <c r="B52" s="19" t="n">
        <v>2.50395</v>
      </c>
      <c r="C52" s="10" t="s">
        <v>1716</v>
      </c>
      <c r="D52" s="19" t="n">
        <v>1.944034</v>
      </c>
      <c r="E52" s="10" t="s">
        <v>1716</v>
      </c>
      <c r="F52" s="19" t="n">
        <v>2.031337</v>
      </c>
      <c r="G52" s="10" t="s">
        <v>1716</v>
      </c>
      <c r="H52" s="19" t="n">
        <v>1.4405</v>
      </c>
      <c r="I52" s="10" t="s">
        <v>1716</v>
      </c>
      <c r="J52" s="14" t="n">
        <v>706.19</v>
      </c>
      <c r="K52" s="10" t="s">
        <v>1716</v>
      </c>
      <c r="L52" s="14" t="n">
        <v>430</v>
      </c>
      <c r="M52" s="10" t="s">
        <v>1716</v>
      </c>
    </row>
    <row r="53" customFormat="false" ht="15" hidden="false" customHeight="false" outlineLevel="0" collapsed="false">
      <c r="A53" s="10" t="s">
        <v>1767</v>
      </c>
      <c r="B53" s="19" t="n">
        <v>2.62474</v>
      </c>
      <c r="C53" s="10" t="s">
        <v>1716</v>
      </c>
      <c r="D53" s="19" t="n">
        <v>1.9469</v>
      </c>
      <c r="E53" s="10" t="s">
        <v>1716</v>
      </c>
      <c r="F53" s="19" t="n">
        <v>2.033541</v>
      </c>
      <c r="G53" s="10" t="s">
        <v>1716</v>
      </c>
      <c r="H53" s="19" t="n">
        <v>1.3914</v>
      </c>
      <c r="I53" s="10" t="s">
        <v>1716</v>
      </c>
      <c r="J53" s="14" t="n">
        <v>701.18</v>
      </c>
      <c r="K53" s="10" t="s">
        <v>1716</v>
      </c>
      <c r="L53" s="14" t="n">
        <v>451</v>
      </c>
      <c r="M53" s="10" t="s">
        <v>1716</v>
      </c>
    </row>
    <row r="54" customFormat="false" ht="15" hidden="false" customHeight="false" outlineLevel="0" collapsed="false">
      <c r="A54" s="10" t="s">
        <v>1768</v>
      </c>
      <c r="B54" s="19" t="n">
        <v>2.65994</v>
      </c>
      <c r="C54" s="10" t="s">
        <v>1716</v>
      </c>
      <c r="D54" s="19" t="n">
        <v>1.95638</v>
      </c>
      <c r="E54" s="10" t="s">
        <v>1716</v>
      </c>
      <c r="F54" s="19" t="n">
        <v>2.082925</v>
      </c>
      <c r="G54" s="10" t="s">
        <v>1716</v>
      </c>
      <c r="H54" s="19" t="n">
        <v>1.4392</v>
      </c>
      <c r="I54" s="10" t="s">
        <v>1716</v>
      </c>
      <c r="J54" s="14" t="n">
        <v>687.15</v>
      </c>
      <c r="K54" s="10" t="s">
        <v>1716</v>
      </c>
      <c r="L54" s="14" t="n">
        <v>451</v>
      </c>
      <c r="M54" s="10" t="s">
        <v>1716</v>
      </c>
    </row>
    <row r="55" customFormat="false" ht="15" hidden="false" customHeight="false" outlineLevel="0" collapsed="false">
      <c r="A55" s="10" t="s">
        <v>1769</v>
      </c>
      <c r="B55" s="19" t="n">
        <v>2.41076</v>
      </c>
      <c r="C55" s="10" t="s">
        <v>1716</v>
      </c>
      <c r="D55" s="19" t="n">
        <v>1.897516</v>
      </c>
      <c r="E55" s="10" t="s">
        <v>1716</v>
      </c>
      <c r="F55" s="19" t="n">
        <v>2.154134</v>
      </c>
      <c r="G55" s="10" t="s">
        <v>1716</v>
      </c>
      <c r="H55" s="19" t="n">
        <v>1.3806</v>
      </c>
      <c r="I55" s="10" t="s">
        <v>1716</v>
      </c>
      <c r="J55" s="14" t="n">
        <v>656.5</v>
      </c>
      <c r="K55" s="10" t="s">
        <v>1716</v>
      </c>
      <c r="L55" s="14" t="n">
        <v>427</v>
      </c>
      <c r="M55" s="10" t="s">
        <v>1716</v>
      </c>
    </row>
    <row r="56" customFormat="false" ht="15" hidden="false" customHeight="false" outlineLevel="0" collapsed="false">
      <c r="A56" s="10" t="s">
        <v>1770</v>
      </c>
      <c r="B56" s="19" t="n">
        <v>2.35705</v>
      </c>
      <c r="C56" s="10" t="s">
        <v>1716</v>
      </c>
      <c r="D56" s="19" t="n">
        <v>1.86114</v>
      </c>
      <c r="E56" s="10" t="s">
        <v>1716</v>
      </c>
      <c r="F56" s="19" t="n">
        <v>2.120404</v>
      </c>
      <c r="G56" s="10" t="s">
        <v>1716</v>
      </c>
      <c r="H56" s="19" t="n">
        <v>1.3112</v>
      </c>
      <c r="I56" s="10" t="s">
        <v>1716</v>
      </c>
      <c r="J56" s="14" t="n">
        <v>616.14</v>
      </c>
      <c r="K56" s="10" t="s">
        <v>1716</v>
      </c>
      <c r="L56" s="14" t="n">
        <v>398</v>
      </c>
      <c r="M56" s="10" t="s">
        <v>1716</v>
      </c>
    </row>
    <row r="57" customFormat="false" ht="15" hidden="false" customHeight="false" outlineLevel="0" collapsed="false">
      <c r="A57" s="10" t="s">
        <v>1771</v>
      </c>
      <c r="B57" s="19" t="n">
        <v>2.17161</v>
      </c>
      <c r="C57" s="10" t="s">
        <v>1716</v>
      </c>
      <c r="D57" s="19" t="n">
        <v>1.78001</v>
      </c>
      <c r="E57" s="10" t="s">
        <v>1716</v>
      </c>
      <c r="F57" s="19" t="n">
        <v>2.084468</v>
      </c>
      <c r="G57" s="10" t="s">
        <v>1716</v>
      </c>
      <c r="H57" s="19" t="n">
        <v>1.3399</v>
      </c>
      <c r="I57" s="10" t="s">
        <v>1716</v>
      </c>
      <c r="J57" s="14" t="n">
        <v>614.75</v>
      </c>
      <c r="K57" s="10" t="s">
        <v>1716</v>
      </c>
      <c r="L57" s="14" t="n">
        <v>405</v>
      </c>
      <c r="M57" s="10" t="s">
        <v>1716</v>
      </c>
    </row>
    <row r="58" customFormat="false" ht="15" hidden="false" customHeight="false" outlineLevel="0" collapsed="false">
      <c r="A58" s="10" t="s">
        <v>1772</v>
      </c>
      <c r="B58" s="19" t="n">
        <v>2.19489</v>
      </c>
      <c r="C58" s="10" t="s">
        <v>1716</v>
      </c>
      <c r="D58" s="19" t="n">
        <v>1.690944</v>
      </c>
      <c r="E58" s="10" t="s">
        <v>1716</v>
      </c>
      <c r="F58" s="19" t="n">
        <v>1.992095</v>
      </c>
      <c r="G58" s="10" t="s">
        <v>1716</v>
      </c>
      <c r="H58" s="19" t="n">
        <v>1.3341</v>
      </c>
      <c r="I58" s="10" t="s">
        <v>1716</v>
      </c>
      <c r="J58" s="14" t="n">
        <v>605.15</v>
      </c>
      <c r="K58" s="10" t="s">
        <v>1716</v>
      </c>
      <c r="L58" s="14" t="n">
        <v>405</v>
      </c>
      <c r="M58" s="10" t="s">
        <v>1716</v>
      </c>
    </row>
    <row r="59" customFormat="false" ht="15" hidden="false" customHeight="false" outlineLevel="0" collapsed="false">
      <c r="A59" s="10" t="s">
        <v>1773</v>
      </c>
      <c r="B59" s="19" t="n">
        <v>2.1342</v>
      </c>
      <c r="C59" s="10" t="s">
        <v>1716</v>
      </c>
      <c r="D59" s="19" t="n">
        <v>1.880982</v>
      </c>
      <c r="E59" s="10" t="s">
        <v>1716</v>
      </c>
      <c r="F59" s="19" t="n">
        <v>1.91361</v>
      </c>
      <c r="G59" s="10" t="s">
        <v>1716</v>
      </c>
      <c r="H59" s="19" t="n">
        <v>1.3172</v>
      </c>
      <c r="I59" s="10" t="s">
        <v>1716</v>
      </c>
      <c r="J59" s="14" t="n">
        <v>589.8</v>
      </c>
      <c r="K59" s="10" t="s">
        <v>1716</v>
      </c>
      <c r="L59" s="14" t="n">
        <v>409</v>
      </c>
      <c r="M59" s="10" t="s">
        <v>1716</v>
      </c>
    </row>
    <row r="60" customFormat="false" ht="15" hidden="false" customHeight="false" outlineLevel="0" collapsed="false">
      <c r="A60" s="10" t="s">
        <v>1774</v>
      </c>
      <c r="B60" s="19" t="n">
        <v>2.18504</v>
      </c>
      <c r="C60" s="10" t="s">
        <v>1716</v>
      </c>
      <c r="D60" s="19" t="n">
        <v>1.841299</v>
      </c>
      <c r="E60" s="10" t="s">
        <v>1716</v>
      </c>
      <c r="F60" s="19" t="n">
        <v>1.912949</v>
      </c>
      <c r="G60" s="10" t="s">
        <v>1716</v>
      </c>
      <c r="H60" s="19" t="n">
        <v>1.2346</v>
      </c>
      <c r="I60" s="10" t="s">
        <v>1716</v>
      </c>
      <c r="J60" s="14" t="n">
        <v>539.1</v>
      </c>
      <c r="K60" s="10" t="s">
        <v>1716</v>
      </c>
      <c r="L60" s="14" t="n">
        <v>401</v>
      </c>
      <c r="M60" s="10" t="s">
        <v>1716</v>
      </c>
    </row>
    <row r="61" customFormat="false" ht="15" hidden="false" customHeight="false" outlineLevel="0" collapsed="false">
      <c r="A61" s="10" t="s">
        <v>1775</v>
      </c>
      <c r="B61" s="19" t="n">
        <v>2.20841</v>
      </c>
      <c r="C61" s="10" t="s">
        <v>1716</v>
      </c>
      <c r="D61" s="19" t="n">
        <v>1.710124</v>
      </c>
      <c r="E61" s="10" t="s">
        <v>1716</v>
      </c>
      <c r="F61" s="19" t="n">
        <v>1.895973</v>
      </c>
      <c r="G61" s="10" t="s">
        <v>1716</v>
      </c>
      <c r="H61" s="19" t="n">
        <v>1.2614</v>
      </c>
      <c r="I61" s="10" t="s">
        <v>1716</v>
      </c>
      <c r="J61" s="14" t="n">
        <v>535.02</v>
      </c>
      <c r="K61" s="10" t="s">
        <v>1716</v>
      </c>
      <c r="L61" s="14" t="n">
        <v>404</v>
      </c>
      <c r="M61" s="10" t="s">
        <v>1716</v>
      </c>
    </row>
    <row r="62" customFormat="false" ht="15" hidden="false" customHeight="false" outlineLevel="0" collapsed="false">
      <c r="A62" s="10" t="s">
        <v>1776</v>
      </c>
      <c r="B62" s="19" t="n">
        <v>2.26334</v>
      </c>
      <c r="C62" s="10" t="s">
        <v>1716</v>
      </c>
      <c r="D62" s="19" t="n">
        <v>1.724895</v>
      </c>
      <c r="E62" s="10" t="s">
        <v>1716</v>
      </c>
      <c r="F62" s="19" t="n">
        <v>1.815505</v>
      </c>
      <c r="G62" s="10" t="s">
        <v>1716</v>
      </c>
      <c r="H62" s="19" t="n">
        <v>1.3562</v>
      </c>
      <c r="I62" s="10" t="s">
        <v>1716</v>
      </c>
      <c r="J62" s="14" t="n">
        <v>584.58</v>
      </c>
      <c r="K62" s="10" t="s">
        <v>1716</v>
      </c>
      <c r="L62" s="14" t="n">
        <v>410</v>
      </c>
      <c r="M62" s="10" t="s">
        <v>1716</v>
      </c>
    </row>
    <row r="63" customFormat="false" ht="15" hidden="false" customHeight="false" outlineLevel="0" collapsed="false">
      <c r="A63" s="10" t="s">
        <v>1777</v>
      </c>
      <c r="B63" s="19" t="n">
        <v>2.2558</v>
      </c>
      <c r="C63" s="10" t="s">
        <v>1716</v>
      </c>
      <c r="D63" s="19" t="n">
        <v>1.733934</v>
      </c>
      <c r="E63" s="10" t="s">
        <v>1716</v>
      </c>
      <c r="F63" s="19" t="n">
        <v>1.789049</v>
      </c>
      <c r="G63" s="10" t="s">
        <v>1716</v>
      </c>
      <c r="H63" s="19" t="n">
        <v>1.3987</v>
      </c>
      <c r="I63" s="10" t="s">
        <v>1716</v>
      </c>
      <c r="J63" s="14" t="n">
        <v>602.97</v>
      </c>
      <c r="K63" s="10" t="s">
        <v>1716</v>
      </c>
      <c r="L63" s="14" t="n">
        <v>408</v>
      </c>
      <c r="M63" s="10" t="s">
        <v>1716</v>
      </c>
    </row>
    <row r="64" customFormat="false" ht="15" hidden="false" customHeight="false" outlineLevel="0" collapsed="false">
      <c r="A64" s="10" t="s">
        <v>1778</v>
      </c>
      <c r="B64" s="19" t="n">
        <v>2.20049</v>
      </c>
      <c r="C64" s="10" t="s">
        <v>1716</v>
      </c>
      <c r="D64" s="19" t="n">
        <v>1.696676</v>
      </c>
      <c r="E64" s="10" t="s">
        <v>1716</v>
      </c>
      <c r="F64" s="19" t="n">
        <v>1.847692</v>
      </c>
      <c r="G64" s="10" t="s">
        <v>1716</v>
      </c>
      <c r="H64" s="19" t="n">
        <v>1.4705</v>
      </c>
      <c r="I64" s="10" t="s">
        <v>1716</v>
      </c>
      <c r="J64" s="14" t="n">
        <v>573.02</v>
      </c>
      <c r="K64" s="10" t="s">
        <v>1716</v>
      </c>
      <c r="L64" s="14" t="n">
        <v>406</v>
      </c>
      <c r="M64" s="10" t="s">
        <v>1716</v>
      </c>
    </row>
    <row r="65" customFormat="false" ht="15" hidden="false" customHeight="false" outlineLevel="0" collapsed="false">
      <c r="A65" s="10" t="s">
        <v>1779</v>
      </c>
      <c r="B65" s="19" t="n">
        <v>2.33113</v>
      </c>
      <c r="C65" s="10" t="s">
        <v>1716</v>
      </c>
      <c r="D65" s="19" t="n">
        <v>1.615546</v>
      </c>
      <c r="E65" s="10" t="s">
        <v>1716</v>
      </c>
      <c r="F65" s="19" t="n">
        <v>1.923531</v>
      </c>
      <c r="G65" s="10" t="s">
        <v>1716</v>
      </c>
      <c r="H65" s="19" t="n">
        <v>1.5036</v>
      </c>
      <c r="I65" s="10" t="s">
        <v>1716</v>
      </c>
      <c r="J65" s="14" t="n">
        <v>588.45</v>
      </c>
      <c r="K65" s="10" t="s">
        <v>1716</v>
      </c>
      <c r="L65" s="14" t="n">
        <v>413</v>
      </c>
      <c r="M65" s="10" t="s">
        <v>1716</v>
      </c>
    </row>
    <row r="66" customFormat="false" ht="15" hidden="false" customHeight="false" outlineLevel="0" collapsed="false">
      <c r="A66" s="10" t="s">
        <v>1780</v>
      </c>
      <c r="B66" s="19" t="n">
        <v>2.31508</v>
      </c>
      <c r="C66" s="10" t="s">
        <v>1716</v>
      </c>
      <c r="D66" s="19" t="n">
        <v>1.567926</v>
      </c>
      <c r="E66" s="10" t="s">
        <v>1716</v>
      </c>
      <c r="F66" s="19" t="n">
        <v>1.766782</v>
      </c>
      <c r="G66" s="10" t="s">
        <v>1716</v>
      </c>
      <c r="H66" s="19" t="n">
        <v>1.4958</v>
      </c>
      <c r="I66" s="10" t="s">
        <v>1716</v>
      </c>
      <c r="J66" s="14" t="n">
        <v>564.4</v>
      </c>
      <c r="K66" s="10" t="s">
        <v>1716</v>
      </c>
      <c r="L66" s="14" t="n">
        <v>409</v>
      </c>
      <c r="M66" s="10" t="s">
        <v>1716</v>
      </c>
    </row>
    <row r="67" customFormat="false" ht="15" hidden="false" customHeight="false" outlineLevel="0" collapsed="false">
      <c r="A67" s="10" t="s">
        <v>1781</v>
      </c>
      <c r="B67" s="19" t="n">
        <v>2.40773</v>
      </c>
      <c r="C67" s="10" t="s">
        <v>1716</v>
      </c>
      <c r="D67" s="19" t="n">
        <v>1.63186</v>
      </c>
      <c r="E67" s="10" t="s">
        <v>1716</v>
      </c>
      <c r="F67" s="19" t="n">
        <v>1.711887</v>
      </c>
      <c r="G67" s="10" t="s">
        <v>1716</v>
      </c>
      <c r="H67" s="19" t="n">
        <v>1.5012</v>
      </c>
      <c r="I67" s="10" t="s">
        <v>1716</v>
      </c>
      <c r="J67" s="14" t="n">
        <v>552.19</v>
      </c>
      <c r="K67" s="10" t="s">
        <v>1716</v>
      </c>
      <c r="L67" s="14" t="n">
        <v>420</v>
      </c>
      <c r="M67" s="10" t="s">
        <v>1716</v>
      </c>
    </row>
    <row r="68" customFormat="false" ht="15" hidden="false" customHeight="false" outlineLevel="0" collapsed="false">
      <c r="A68" s="10" t="s">
        <v>1782</v>
      </c>
      <c r="B68" s="19" t="n">
        <v>2.41653</v>
      </c>
      <c r="C68" s="10" t="s">
        <v>1716</v>
      </c>
      <c r="D68" s="19" t="n">
        <v>1.629876</v>
      </c>
      <c r="E68" s="10" t="s">
        <v>1716</v>
      </c>
      <c r="F68" s="19" t="n">
        <v>1.66537</v>
      </c>
      <c r="G68" s="10" t="s">
        <v>1716</v>
      </c>
      <c r="H68" s="19" t="n">
        <v>1.4112</v>
      </c>
      <c r="I68" s="10" t="s">
        <v>1716</v>
      </c>
      <c r="J68" s="14" t="n">
        <v>543.88</v>
      </c>
      <c r="K68" s="10" t="s">
        <v>1716</v>
      </c>
      <c r="L68" s="14" t="n">
        <v>416</v>
      </c>
      <c r="M68" s="10" t="s">
        <v>1716</v>
      </c>
    </row>
    <row r="69" customFormat="false" ht="15" hidden="false" customHeight="false" outlineLevel="0" collapsed="false">
      <c r="A69" s="10" t="s">
        <v>1783</v>
      </c>
      <c r="B69" s="19" t="n">
        <v>2.1947</v>
      </c>
      <c r="C69" s="10" t="s">
        <v>1716</v>
      </c>
      <c r="D69" s="19" t="n">
        <v>1.56021</v>
      </c>
      <c r="E69" s="10" t="s">
        <v>1716</v>
      </c>
      <c r="F69" s="19" t="n">
        <v>1.56043</v>
      </c>
      <c r="G69" s="10" t="s">
        <v>1716</v>
      </c>
      <c r="H69" s="19" t="n">
        <v>1.3102</v>
      </c>
      <c r="I69" s="10" t="s">
        <v>1716</v>
      </c>
      <c r="J69" s="14" t="n">
        <v>586.12</v>
      </c>
      <c r="K69" s="10" t="s">
        <v>1716</v>
      </c>
      <c r="L69" s="14" t="n">
        <v>430</v>
      </c>
      <c r="M69" s="10" t="s">
        <v>1716</v>
      </c>
    </row>
    <row r="70" customFormat="false" ht="15" hidden="false" customHeight="false" outlineLevel="0" collapsed="false">
      <c r="A70" s="10" t="s">
        <v>1784</v>
      </c>
      <c r="B70" s="19" t="n">
        <v>2.30542</v>
      </c>
      <c r="C70" s="10" t="s">
        <v>1716</v>
      </c>
      <c r="D70" s="19" t="n">
        <v>1.557344</v>
      </c>
      <c r="E70" s="10" t="s">
        <v>1716</v>
      </c>
      <c r="F70" s="19" t="n">
        <v>1.572115</v>
      </c>
      <c r="G70" s="10" t="s">
        <v>1716</v>
      </c>
      <c r="H70" s="19" t="n">
        <v>1.335</v>
      </c>
      <c r="I70" s="10" t="s">
        <v>1716</v>
      </c>
      <c r="J70" s="14" t="n">
        <v>580.3</v>
      </c>
      <c r="K70" s="10" t="s">
        <v>1716</v>
      </c>
      <c r="L70" s="14" t="n">
        <v>427</v>
      </c>
      <c r="M70" s="10" t="s">
        <v>1716</v>
      </c>
    </row>
    <row r="71" customFormat="false" ht="15" hidden="false" customHeight="false" outlineLevel="0" collapsed="false">
      <c r="A71" s="10" t="s">
        <v>1785</v>
      </c>
      <c r="B71" s="19" t="n">
        <v>2.43527</v>
      </c>
      <c r="C71" s="10" t="s">
        <v>1716</v>
      </c>
      <c r="D71" s="19" t="n">
        <v>1.513031</v>
      </c>
      <c r="E71" s="10" t="s">
        <v>1716</v>
      </c>
      <c r="F71" s="19" t="n">
        <v>1.628773</v>
      </c>
      <c r="G71" s="10" t="s">
        <v>1716</v>
      </c>
      <c r="H71" s="19" t="n">
        <v>1.2978</v>
      </c>
      <c r="I71" s="10" t="s">
        <v>1716</v>
      </c>
      <c r="J71" s="14" t="n">
        <v>591.35</v>
      </c>
      <c r="K71" s="10" t="s">
        <v>1716</v>
      </c>
      <c r="L71" s="14" t="n">
        <v>424</v>
      </c>
      <c r="M71" s="10" t="s">
        <v>1716</v>
      </c>
    </row>
    <row r="72" customFormat="false" ht="15" hidden="false" customHeight="false" outlineLevel="0" collapsed="false">
      <c r="A72" s="10" t="s">
        <v>1786</v>
      </c>
      <c r="B72" s="19" t="n">
        <v>2.51966</v>
      </c>
      <c r="C72" s="10" t="s">
        <v>1716</v>
      </c>
      <c r="D72" s="19" t="n">
        <v>1.615546</v>
      </c>
      <c r="E72" s="10" t="s">
        <v>1716</v>
      </c>
      <c r="F72" s="19" t="n">
        <v>1.650379</v>
      </c>
      <c r="G72" s="10" t="s">
        <v>1716</v>
      </c>
      <c r="H72" s="19" t="n">
        <v>1.3857</v>
      </c>
      <c r="I72" s="10" t="s">
        <v>1716</v>
      </c>
      <c r="J72" s="14" t="n">
        <v>685.41</v>
      </c>
      <c r="K72" s="10" t="s">
        <v>1716</v>
      </c>
      <c r="L72" s="14" t="n">
        <v>421</v>
      </c>
      <c r="M72" s="10" t="s">
        <v>1716</v>
      </c>
    </row>
    <row r="73" customFormat="false" ht="15" hidden="false" customHeight="false" outlineLevel="0" collapsed="false">
      <c r="A73" s="10" t="s">
        <v>1787</v>
      </c>
      <c r="B73" s="19" t="n">
        <v>2.44471</v>
      </c>
      <c r="C73" s="10" t="s">
        <v>1716</v>
      </c>
      <c r="D73" s="19" t="n">
        <v>1.614443</v>
      </c>
      <c r="E73" s="10" t="s">
        <v>1716</v>
      </c>
      <c r="F73" s="19" t="n">
        <v>1.671763</v>
      </c>
      <c r="G73" s="10" t="s">
        <v>1716</v>
      </c>
      <c r="H73" s="19" t="n">
        <v>1.4594</v>
      </c>
      <c r="I73" s="10" t="s">
        <v>1716</v>
      </c>
      <c r="J73" s="14" t="n">
        <v>763.73</v>
      </c>
      <c r="K73" s="10" t="s">
        <v>1716</v>
      </c>
      <c r="L73" s="14" t="n">
        <v>432</v>
      </c>
      <c r="M73" s="10" t="s">
        <v>1716</v>
      </c>
    </row>
    <row r="74" customFormat="false" ht="15" hidden="false" customHeight="false" outlineLevel="0" collapsed="false">
      <c r="A74" s="10" t="s">
        <v>1788</v>
      </c>
      <c r="B74" s="19" t="n">
        <v>2.60307</v>
      </c>
      <c r="C74" s="10" t="s">
        <v>1716</v>
      </c>
      <c r="D74" s="19" t="n">
        <v>1.555359</v>
      </c>
      <c r="E74" s="10" t="s">
        <v>1716</v>
      </c>
      <c r="F74" s="19" t="n">
        <v>1.743193</v>
      </c>
      <c r="G74" s="10" t="s">
        <v>1716</v>
      </c>
      <c r="H74" s="19" t="n">
        <v>1.466</v>
      </c>
      <c r="I74" s="10" t="s">
        <v>1716</v>
      </c>
      <c r="J74" s="14" t="n">
        <v>810.07</v>
      </c>
      <c r="K74" s="10" t="s">
        <v>1716</v>
      </c>
      <c r="L74" s="14" t="n">
        <v>451</v>
      </c>
      <c r="M74" s="10" t="s">
        <v>1716</v>
      </c>
    </row>
    <row r="75" customFormat="false" ht="15" hidden="false" customHeight="false" outlineLevel="0" collapsed="false">
      <c r="A75" s="10" t="s">
        <v>1789</v>
      </c>
      <c r="B75" s="19" t="n">
        <v>2.71621</v>
      </c>
      <c r="C75" s="10" t="s">
        <v>1716</v>
      </c>
      <c r="D75" s="19" t="n">
        <v>1.500685</v>
      </c>
      <c r="E75" s="10" t="s">
        <v>1716</v>
      </c>
      <c r="F75" s="19" t="n">
        <v>1.688078</v>
      </c>
      <c r="G75" s="10" t="s">
        <v>1716</v>
      </c>
      <c r="H75" s="19" t="n">
        <v>1.3412</v>
      </c>
      <c r="I75" s="10" t="s">
        <v>1716</v>
      </c>
      <c r="J75" s="14" t="n">
        <v>728.81</v>
      </c>
      <c r="K75" s="10" t="s">
        <v>1716</v>
      </c>
      <c r="L75" s="14" t="n">
        <v>450</v>
      </c>
      <c r="M75" s="10" t="s">
        <v>1716</v>
      </c>
    </row>
    <row r="76" customFormat="false" ht="15" hidden="false" customHeight="false" outlineLevel="0" collapsed="false">
      <c r="A76" s="10" t="s">
        <v>1790</v>
      </c>
      <c r="B76" s="19" t="n">
        <v>2.33847</v>
      </c>
      <c r="C76" s="10" t="s">
        <v>1716</v>
      </c>
      <c r="D76" s="19" t="n">
        <v>1.487237</v>
      </c>
      <c r="E76" s="10" t="s">
        <v>1716</v>
      </c>
      <c r="F76" s="19" t="n">
        <v>1.492307</v>
      </c>
      <c r="G76" s="10" t="s">
        <v>1716</v>
      </c>
      <c r="H76" s="19" t="n">
        <v>1.2095</v>
      </c>
      <c r="I76" s="10" t="s">
        <v>1716</v>
      </c>
      <c r="J76" s="14" t="n">
        <v>636.25</v>
      </c>
      <c r="K76" s="10" t="s">
        <v>1716</v>
      </c>
      <c r="L76" s="14" t="n">
        <v>494</v>
      </c>
      <c r="M76" s="10" t="s">
        <v>1716</v>
      </c>
    </row>
    <row r="77" customFormat="false" ht="15" hidden="false" customHeight="false" outlineLevel="0" collapsed="false">
      <c r="A77" s="10" t="s">
        <v>1791</v>
      </c>
      <c r="B77" s="19" t="n">
        <v>2.27024</v>
      </c>
      <c r="C77" s="10" t="s">
        <v>1716</v>
      </c>
      <c r="D77" s="19" t="n">
        <v>1.410075</v>
      </c>
      <c r="E77" s="10" t="s">
        <v>1716</v>
      </c>
      <c r="F77" s="19" t="n">
        <v>1.400595</v>
      </c>
      <c r="G77" s="10" t="s">
        <v>1716</v>
      </c>
      <c r="H77" s="19" t="n">
        <v>1.1067</v>
      </c>
      <c r="I77" s="10" t="s">
        <v>1716</v>
      </c>
      <c r="J77" s="14" t="n">
        <v>608.88</v>
      </c>
      <c r="K77" s="10" t="s">
        <v>1716</v>
      </c>
      <c r="L77" s="14" t="n">
        <v>564</v>
      </c>
      <c r="M77" s="10" t="s">
        <v>1716</v>
      </c>
    </row>
    <row r="78" customFormat="false" ht="15" hidden="false" customHeight="false" outlineLevel="0" collapsed="false">
      <c r="A78" s="10" t="s">
        <v>1792</v>
      </c>
      <c r="B78" s="19" t="n">
        <v>2.31599</v>
      </c>
      <c r="C78" s="10" t="s">
        <v>1716</v>
      </c>
      <c r="D78" s="19" t="n">
        <v>1.422641</v>
      </c>
      <c r="E78" s="10" t="s">
        <v>1716</v>
      </c>
      <c r="F78" s="19" t="n">
        <v>1.448435</v>
      </c>
      <c r="G78" s="10" t="s">
        <v>1716</v>
      </c>
      <c r="H78" s="19" t="n">
        <v>1.1178</v>
      </c>
      <c r="I78" s="10" t="s">
        <v>1716</v>
      </c>
      <c r="J78" s="14" t="n">
        <v>576.56</v>
      </c>
      <c r="K78" s="10" t="s">
        <v>1716</v>
      </c>
      <c r="L78" s="14" t="n">
        <v>510</v>
      </c>
      <c r="M78" s="10" t="s">
        <v>1716</v>
      </c>
    </row>
    <row r="79" customFormat="false" ht="15" hidden="false" customHeight="false" outlineLevel="0" collapsed="false">
      <c r="A79" s="10" t="s">
        <v>1793</v>
      </c>
      <c r="B79" s="19" t="n">
        <v>2.22863</v>
      </c>
      <c r="C79" s="10" t="s">
        <v>1716</v>
      </c>
      <c r="D79" s="19" t="n">
        <v>1.424625</v>
      </c>
      <c r="E79" s="10" t="s">
        <v>1716</v>
      </c>
      <c r="F79" s="19" t="n">
        <v>1.494732</v>
      </c>
      <c r="G79" s="10" t="s">
        <v>1716</v>
      </c>
      <c r="H79" s="19" t="n">
        <v>1.1731</v>
      </c>
      <c r="I79" s="10" t="s">
        <v>1716</v>
      </c>
      <c r="J79" s="14" t="n">
        <v>656.49</v>
      </c>
      <c r="K79" s="10" t="s">
        <v>1716</v>
      </c>
      <c r="L79" s="14" t="n">
        <v>520</v>
      </c>
      <c r="M79" s="10" t="s">
        <v>1716</v>
      </c>
    </row>
    <row r="80" customFormat="false" ht="15" hidden="false" customHeight="false" outlineLevel="0" collapsed="false">
      <c r="A80" s="10" t="s">
        <v>1794</v>
      </c>
      <c r="B80" s="19" t="n">
        <v>2.10174</v>
      </c>
      <c r="C80" s="10" t="s">
        <v>1716</v>
      </c>
      <c r="D80" s="19" t="n">
        <v>1.492307</v>
      </c>
      <c r="E80" s="10" t="s">
        <v>1716</v>
      </c>
      <c r="F80" s="19" t="n">
        <v>1.510606</v>
      </c>
      <c r="G80" s="10" t="s">
        <v>1716</v>
      </c>
      <c r="H80" s="19" t="n">
        <v>1.2003</v>
      </c>
      <c r="I80" s="10" t="s">
        <v>1716</v>
      </c>
      <c r="J80" s="14" t="n">
        <v>694.16</v>
      </c>
      <c r="K80" s="10" t="s">
        <v>1716</v>
      </c>
      <c r="L80" s="14" t="n">
        <v>480</v>
      </c>
      <c r="M80" s="10" t="s">
        <v>1716</v>
      </c>
    </row>
    <row r="81" customFormat="false" ht="15" hidden="false" customHeight="false" outlineLevel="0" collapsed="false">
      <c r="A81" s="10" t="s">
        <v>1795</v>
      </c>
      <c r="B81" s="19" t="n">
        <v>2.34868</v>
      </c>
      <c r="C81" s="10" t="s">
        <v>1716</v>
      </c>
      <c r="D81" s="19" t="n">
        <v>1.602318</v>
      </c>
      <c r="E81" s="10" t="s">
        <v>1716</v>
      </c>
      <c r="F81" s="19" t="n">
        <v>1.541911</v>
      </c>
      <c r="G81" s="10" t="s">
        <v>1716</v>
      </c>
      <c r="H81" s="19" t="n">
        <v>1.3214</v>
      </c>
      <c r="I81" s="10" t="s">
        <v>1716</v>
      </c>
      <c r="J81" s="14" t="n">
        <v>760.3</v>
      </c>
      <c r="K81" s="10" t="s">
        <v>1716</v>
      </c>
      <c r="L81" s="14" t="n">
        <v>505</v>
      </c>
      <c r="M81" s="10" t="s">
        <v>1716</v>
      </c>
    </row>
    <row r="82" customFormat="false" ht="15" hidden="false" customHeight="false" outlineLevel="0" collapsed="false">
      <c r="A82" s="10" t="s">
        <v>1796</v>
      </c>
      <c r="B82" s="19" t="n">
        <v>2.4579</v>
      </c>
      <c r="C82" s="10" t="s">
        <v>1716</v>
      </c>
      <c r="D82" s="19" t="n">
        <v>1.604302</v>
      </c>
      <c r="E82" s="10" t="s">
        <v>1716</v>
      </c>
      <c r="F82" s="19" t="n">
        <v>1.561091</v>
      </c>
      <c r="G82" s="10" t="s">
        <v>1716</v>
      </c>
      <c r="H82" s="19" t="n">
        <v>1.3705</v>
      </c>
      <c r="I82" s="10" t="s">
        <v>1716</v>
      </c>
      <c r="J82" s="14" t="n">
        <v>796.22</v>
      </c>
      <c r="K82" s="10" t="s">
        <v>1716</v>
      </c>
      <c r="L82" s="14" t="n">
        <v>507</v>
      </c>
      <c r="M82" s="10" t="s">
        <v>1716</v>
      </c>
    </row>
    <row r="83" customFormat="false" ht="15" hidden="false" customHeight="false" outlineLevel="0" collapsed="false">
      <c r="A83" s="10" t="s">
        <v>1797</v>
      </c>
      <c r="B83" s="19" t="n">
        <v>2.29205</v>
      </c>
      <c r="C83" s="10" t="s">
        <v>1716</v>
      </c>
      <c r="D83" s="19" t="n">
        <v>1.507078</v>
      </c>
      <c r="E83" s="10" t="s">
        <v>1716</v>
      </c>
      <c r="F83" s="19" t="n">
        <v>1.649497</v>
      </c>
      <c r="G83" s="10" t="s">
        <v>1716</v>
      </c>
      <c r="H83" s="19" t="n">
        <v>1.5285</v>
      </c>
      <c r="I83" s="10" t="s">
        <v>1716</v>
      </c>
      <c r="J83" s="14" t="n">
        <v>819.27</v>
      </c>
      <c r="K83" s="10" t="s">
        <v>1716</v>
      </c>
      <c r="L83" s="14" t="n">
        <v>471</v>
      </c>
      <c r="M83" s="10" t="s">
        <v>1716</v>
      </c>
    </row>
    <row r="84" customFormat="false" ht="15" hidden="false" customHeight="false" outlineLevel="0" collapsed="false">
      <c r="A84" s="10" t="s">
        <v>1798</v>
      </c>
      <c r="B84" s="19" t="n">
        <v>2.35819</v>
      </c>
      <c r="C84" s="10" t="s">
        <v>1716</v>
      </c>
      <c r="D84" s="19" t="n">
        <v>1.595704</v>
      </c>
      <c r="E84" s="10" t="s">
        <v>1716</v>
      </c>
      <c r="F84" s="19" t="n">
        <v>1.713431</v>
      </c>
      <c r="G84" s="10" t="s">
        <v>1716</v>
      </c>
      <c r="H84" s="19" t="n">
        <v>1.5592</v>
      </c>
      <c r="I84" s="10" t="s">
        <v>1716</v>
      </c>
      <c r="J84" s="14" t="n">
        <v>917.81</v>
      </c>
      <c r="K84" s="10" t="s">
        <v>1716</v>
      </c>
      <c r="L84" s="14" t="n">
        <v>489</v>
      </c>
      <c r="M84" s="10" t="s">
        <v>1716</v>
      </c>
    </row>
    <row r="85" customFormat="false" ht="15" hidden="false" customHeight="false" outlineLevel="0" collapsed="false">
      <c r="A85" s="10" t="s">
        <v>1799</v>
      </c>
      <c r="B85" s="19" t="n">
        <v>2.4072</v>
      </c>
      <c r="C85" s="10" t="s">
        <v>1716</v>
      </c>
      <c r="D85" s="19" t="n">
        <v>1.588208</v>
      </c>
      <c r="E85" s="10" t="s">
        <v>1716</v>
      </c>
      <c r="F85" s="19" t="n">
        <v>1.786183</v>
      </c>
      <c r="G85" s="10" t="s">
        <v>1716</v>
      </c>
      <c r="H85" s="19" t="n">
        <v>1.5724</v>
      </c>
      <c r="I85" s="10" t="s">
        <v>1716</v>
      </c>
      <c r="J85" s="14" t="n">
        <v>1016.373891</v>
      </c>
      <c r="K85" s="10" t="s">
        <v>1716</v>
      </c>
      <c r="L85" s="14" t="n">
        <v>520</v>
      </c>
      <c r="M85" s="10" t="s">
        <v>1716</v>
      </c>
    </row>
    <row r="86" customFormat="false" ht="15" hidden="false" customHeight="false" outlineLevel="0" collapsed="false">
      <c r="A86" s="10" t="s">
        <v>1800</v>
      </c>
      <c r="B86" s="19" t="n">
        <v>2.39141</v>
      </c>
      <c r="C86" s="10" t="s">
        <v>1716</v>
      </c>
      <c r="D86" s="19" t="n">
        <v>1.559328</v>
      </c>
      <c r="E86" s="10" t="s">
        <v>1716</v>
      </c>
      <c r="F86" s="19" t="n">
        <v>1.92309</v>
      </c>
      <c r="G86" s="10" t="s">
        <v>1716</v>
      </c>
      <c r="H86" s="19" t="n">
        <v>1.5943</v>
      </c>
      <c r="I86" s="10" t="s">
        <v>1716</v>
      </c>
      <c r="J86" s="14" t="n">
        <v>990.27</v>
      </c>
      <c r="K86" s="10" t="s">
        <v>1716</v>
      </c>
      <c r="L86" s="14" t="n">
        <v>545</v>
      </c>
      <c r="M86" s="10" t="s">
        <v>1716</v>
      </c>
    </row>
    <row r="87" customFormat="false" ht="15" hidden="false" customHeight="false" outlineLevel="0" collapsed="false">
      <c r="A87" s="10" t="s">
        <v>1801</v>
      </c>
      <c r="B87" s="19" t="n">
        <v>2.40544</v>
      </c>
      <c r="C87" s="10" t="s">
        <v>1716</v>
      </c>
      <c r="D87" s="19" t="n">
        <v>1.61753</v>
      </c>
      <c r="E87" s="10" t="s">
        <v>1716</v>
      </c>
      <c r="F87" s="19" t="n">
        <v>2.045006</v>
      </c>
      <c r="G87" s="10" t="s">
        <v>1716</v>
      </c>
      <c r="H87" s="19" t="n">
        <v>1.6803</v>
      </c>
      <c r="I87" s="10" t="s">
        <v>1716</v>
      </c>
      <c r="J87" s="14" t="n">
        <v>1019.86</v>
      </c>
      <c r="K87" s="10" t="s">
        <v>1716</v>
      </c>
      <c r="L87" s="14" t="n">
        <v>557</v>
      </c>
      <c r="M87" s="10" t="s">
        <v>1716</v>
      </c>
    </row>
    <row r="88" customFormat="false" ht="15" hidden="false" customHeight="false" outlineLevel="0" collapsed="false">
      <c r="A88" s="10" t="s">
        <v>1802</v>
      </c>
      <c r="B88" s="19" t="n">
        <v>2.46132</v>
      </c>
      <c r="C88" s="10" t="s">
        <v>1716</v>
      </c>
      <c r="D88" s="19" t="n">
        <v>1.628332</v>
      </c>
      <c r="E88" s="10" t="s">
        <v>1716</v>
      </c>
      <c r="F88" s="19" t="n">
        <v>2.016125</v>
      </c>
      <c r="G88" s="10" t="s">
        <v>1716</v>
      </c>
      <c r="H88" s="19" t="n">
        <v>1.7435</v>
      </c>
      <c r="I88" s="10" t="s">
        <v>1716</v>
      </c>
      <c r="J88" s="14" t="n">
        <v>1030.48</v>
      </c>
      <c r="K88" s="10" t="s">
        <v>1716</v>
      </c>
      <c r="L88" s="14" t="n">
        <v>525</v>
      </c>
      <c r="M88" s="10" t="s">
        <v>1716</v>
      </c>
    </row>
    <row r="89" customFormat="false" ht="15" hidden="false" customHeight="false" outlineLevel="0" collapsed="false">
      <c r="A89" s="10" t="s">
        <v>1803</v>
      </c>
      <c r="B89" s="19" t="n">
        <v>2.36833</v>
      </c>
      <c r="C89" s="10" t="s">
        <v>1716</v>
      </c>
      <c r="D89" s="19" t="n">
        <v>1.64156</v>
      </c>
      <c r="E89" s="10" t="s">
        <v>1716</v>
      </c>
      <c r="F89" s="19" t="n">
        <v>2.000252</v>
      </c>
      <c r="G89" s="10" t="s">
        <v>1716</v>
      </c>
      <c r="H89" s="19" t="n">
        <v>1.6424</v>
      </c>
      <c r="I89" s="10" t="s">
        <v>1716</v>
      </c>
      <c r="J89" s="14" t="n">
        <v>1078.05</v>
      </c>
      <c r="K89" s="10" t="s">
        <v>1716</v>
      </c>
      <c r="L89" s="14" t="n">
        <v>495</v>
      </c>
      <c r="M89" s="10" t="s">
        <v>1716</v>
      </c>
    </row>
    <row r="90" customFormat="false" ht="15" hidden="false" customHeight="false" outlineLevel="0" collapsed="false">
      <c r="A90" s="10" t="s">
        <v>1804</v>
      </c>
      <c r="B90" s="19" t="n">
        <v>2.41286</v>
      </c>
      <c r="C90" s="10" t="s">
        <v>1716</v>
      </c>
      <c r="D90" s="19" t="n">
        <v>1.756641</v>
      </c>
      <c r="E90" s="10" t="s">
        <v>1716</v>
      </c>
      <c r="F90" s="19" t="n">
        <v>2.003779</v>
      </c>
      <c r="G90" s="10" t="s">
        <v>1716</v>
      </c>
      <c r="H90" s="19" t="n">
        <v>1.6913</v>
      </c>
      <c r="I90" s="10" t="s">
        <v>1716</v>
      </c>
      <c r="J90" s="14" t="n">
        <v>1136.46</v>
      </c>
      <c r="K90" s="10" t="s">
        <v>1716</v>
      </c>
      <c r="L90" s="14" t="n">
        <v>493</v>
      </c>
      <c r="M90" s="10" t="s">
        <v>1716</v>
      </c>
    </row>
    <row r="91" customFormat="false" ht="15" hidden="false" customHeight="false" outlineLevel="0" collapsed="false">
      <c r="A91" s="10" t="s">
        <v>1805</v>
      </c>
      <c r="B91" s="19" t="n">
        <v>2.36623</v>
      </c>
      <c r="C91" s="10" t="s">
        <v>1716</v>
      </c>
      <c r="D91" s="19" t="n">
        <v>1.870179</v>
      </c>
      <c r="E91" s="10" t="s">
        <v>1716</v>
      </c>
      <c r="F91" s="19" t="n">
        <v>2.083366</v>
      </c>
      <c r="G91" s="10" t="s">
        <v>1716</v>
      </c>
      <c r="H91" s="19" t="n">
        <v>1.6381</v>
      </c>
      <c r="I91" s="10" t="s">
        <v>1716</v>
      </c>
      <c r="J91" s="14" t="n">
        <v>1004.42</v>
      </c>
      <c r="K91" s="10" t="s">
        <v>1716</v>
      </c>
      <c r="L91" s="14" t="n">
        <v>466</v>
      </c>
      <c r="M91" s="10" t="s">
        <v>1716</v>
      </c>
    </row>
    <row r="92" customFormat="false" ht="15" hidden="false" customHeight="false" outlineLevel="0" collapsed="false">
      <c r="A92" s="10" t="s">
        <v>1806</v>
      </c>
      <c r="B92" s="19" t="n">
        <v>2.3271</v>
      </c>
      <c r="C92" s="10" t="s">
        <v>1716</v>
      </c>
      <c r="D92" s="19" t="n">
        <v>2.0805</v>
      </c>
      <c r="E92" s="10" t="s">
        <v>1716</v>
      </c>
      <c r="F92" s="19" t="n">
        <v>2.153914</v>
      </c>
      <c r="G92" s="10" t="s">
        <v>1716</v>
      </c>
      <c r="H92" s="19" t="n">
        <v>1.6312</v>
      </c>
      <c r="I92" s="10" t="s">
        <v>1716</v>
      </c>
      <c r="J92" s="14" t="n">
        <v>1062.99</v>
      </c>
      <c r="K92" s="10" t="s">
        <v>1716</v>
      </c>
      <c r="L92" s="14" t="n">
        <v>414</v>
      </c>
      <c r="M92" s="10" t="s">
        <v>1716</v>
      </c>
    </row>
    <row r="93" customFormat="false" ht="15" hidden="false" customHeight="false" outlineLevel="0" collapsed="false">
      <c r="A93" s="10" t="s">
        <v>1807</v>
      </c>
      <c r="B93" s="19" t="n">
        <v>2.48431</v>
      </c>
      <c r="C93" s="10" t="s">
        <v>1716</v>
      </c>
      <c r="D93" s="19" t="n">
        <v>2.098357</v>
      </c>
      <c r="E93" s="10" t="s">
        <v>1716</v>
      </c>
      <c r="F93" s="19" t="n">
        <v>2.23328</v>
      </c>
      <c r="G93" s="10" t="s">
        <v>1716</v>
      </c>
      <c r="H93" s="19" t="n">
        <v>1.7064</v>
      </c>
      <c r="I93" s="10" t="s">
        <v>1716</v>
      </c>
      <c r="J93" s="14" t="n">
        <v>1141.82</v>
      </c>
      <c r="K93" s="10" t="s">
        <v>1716</v>
      </c>
      <c r="L93" s="14" t="n">
        <v>403</v>
      </c>
      <c r="M93" s="10" t="s">
        <v>1716</v>
      </c>
    </row>
    <row r="94" customFormat="false" ht="15" hidden="false" customHeight="false" outlineLevel="0" collapsed="false">
      <c r="A94" s="10" t="s">
        <v>1808</v>
      </c>
      <c r="B94" s="19" t="n">
        <v>2.55809</v>
      </c>
      <c r="C94" s="10" t="s">
        <v>1716</v>
      </c>
      <c r="D94" s="19" t="n">
        <v>2.306033</v>
      </c>
      <c r="E94" s="10" t="s">
        <v>1716</v>
      </c>
      <c r="F94" s="19" t="n">
        <v>2.28575</v>
      </c>
      <c r="G94" s="10" t="s">
        <v>1716</v>
      </c>
      <c r="H94" s="19" t="n">
        <v>1.6255</v>
      </c>
      <c r="I94" s="10" t="s">
        <v>1716</v>
      </c>
      <c r="J94" s="14" t="n">
        <v>1181.38</v>
      </c>
      <c r="K94" s="10" t="s">
        <v>1716</v>
      </c>
      <c r="L94" s="14" t="n">
        <v>400</v>
      </c>
      <c r="M94" s="10" t="s">
        <v>1716</v>
      </c>
    </row>
    <row r="95" customFormat="false" ht="15" hidden="false" customHeight="false" outlineLevel="0" collapsed="false">
      <c r="A95" s="10" t="s">
        <v>1809</v>
      </c>
      <c r="B95" s="19" t="n">
        <v>2.56757</v>
      </c>
      <c r="C95" s="10" t="s">
        <v>1716</v>
      </c>
      <c r="D95" s="19" t="n">
        <v>2.320142</v>
      </c>
      <c r="E95" s="10" t="s">
        <v>1716</v>
      </c>
      <c r="F95" s="19" t="n">
        <v>2.587783</v>
      </c>
      <c r="G95" s="10" t="s">
        <v>1716</v>
      </c>
      <c r="H95" s="19" t="n">
        <v>1.7317</v>
      </c>
      <c r="I95" s="10" t="s">
        <v>1716</v>
      </c>
      <c r="J95" s="14" t="n">
        <v>1310.25</v>
      </c>
      <c r="K95" s="10" t="s">
        <v>1716</v>
      </c>
      <c r="L95" s="14" t="n">
        <v>401</v>
      </c>
      <c r="M95" s="10" t="s">
        <v>1716</v>
      </c>
    </row>
    <row r="96" customFormat="false" ht="15" hidden="false" customHeight="false" outlineLevel="0" collapsed="false">
      <c r="A96" s="10" t="s">
        <v>1810</v>
      </c>
      <c r="B96" s="19" t="n">
        <v>2.39333</v>
      </c>
      <c r="C96" s="10" t="s">
        <v>1716</v>
      </c>
      <c r="D96" s="19" t="n">
        <v>2.411854</v>
      </c>
      <c r="E96" s="10" t="s">
        <v>1716</v>
      </c>
      <c r="F96" s="19" t="n">
        <v>2.789726</v>
      </c>
      <c r="G96" s="10" t="s">
        <v>1716</v>
      </c>
      <c r="H96" s="19" t="n">
        <v>1.7448</v>
      </c>
      <c r="I96" s="10" t="s">
        <v>1716</v>
      </c>
      <c r="J96" s="14" t="n">
        <v>1340.65</v>
      </c>
      <c r="K96" s="10" t="s">
        <v>1716</v>
      </c>
      <c r="L96" s="14" t="n">
        <v>400</v>
      </c>
      <c r="M96" s="10" t="s">
        <v>1716</v>
      </c>
    </row>
    <row r="97" customFormat="false" ht="15" hidden="false" customHeight="false" outlineLevel="0" collapsed="false">
      <c r="A97" s="10" t="s">
        <v>1811</v>
      </c>
      <c r="B97" s="19" t="n">
        <v>2.38239</v>
      </c>
      <c r="C97" s="10" t="s">
        <v>1716</v>
      </c>
      <c r="D97" s="19" t="n">
        <v>2.483725</v>
      </c>
      <c r="E97" s="10" t="s">
        <v>1716</v>
      </c>
      <c r="F97" s="19" t="n">
        <v>2.646426</v>
      </c>
      <c r="G97" s="10" t="s">
        <v>1716</v>
      </c>
      <c r="H97" s="19" t="n">
        <v>1.7222</v>
      </c>
      <c r="I97" s="10" t="s">
        <v>1716</v>
      </c>
      <c r="J97" s="14" t="n">
        <v>1270.29</v>
      </c>
      <c r="K97" s="10" t="s">
        <v>1716</v>
      </c>
      <c r="L97" s="14" t="n">
        <v>400</v>
      </c>
      <c r="M97" s="10" t="s">
        <v>1716</v>
      </c>
    </row>
    <row r="98" customFormat="false" ht="15" hidden="false" customHeight="false" outlineLevel="0" collapsed="false">
      <c r="A98" s="10" t="s">
        <v>1812</v>
      </c>
      <c r="B98" s="19" t="n">
        <v>2.46736</v>
      </c>
      <c r="C98" s="10" t="s">
        <v>1716</v>
      </c>
      <c r="D98" s="19" t="n">
        <v>2.425082</v>
      </c>
      <c r="E98" s="10" t="s">
        <v>1716</v>
      </c>
      <c r="F98" s="19" t="n">
        <v>2.911201</v>
      </c>
      <c r="G98" s="10" t="s">
        <v>1716</v>
      </c>
      <c r="H98" s="19" t="n">
        <v>1.7791</v>
      </c>
      <c r="I98" s="10" t="s">
        <v>1716</v>
      </c>
      <c r="J98" s="14" t="n">
        <v>1344.79</v>
      </c>
      <c r="K98" s="10" t="s">
        <v>1716</v>
      </c>
      <c r="L98" s="14" t="n">
        <v>427</v>
      </c>
      <c r="M98" s="10" t="s">
        <v>1716</v>
      </c>
    </row>
    <row r="99" customFormat="false" ht="15" hidden="false" customHeight="false" outlineLevel="0" collapsed="false">
      <c r="A99" s="10" t="s">
        <v>1813</v>
      </c>
      <c r="B99" s="19" t="n">
        <v>2.55094</v>
      </c>
      <c r="C99" s="10" t="s">
        <v>1716</v>
      </c>
      <c r="D99" s="19" t="n">
        <v>2.412516</v>
      </c>
      <c r="E99" s="10" t="s">
        <v>1716</v>
      </c>
      <c r="F99" s="19" t="n">
        <v>3.051415</v>
      </c>
      <c r="G99" s="10" t="s">
        <v>1716</v>
      </c>
      <c r="H99" s="19" t="n">
        <v>1.7905</v>
      </c>
      <c r="I99" s="10" t="s">
        <v>1716</v>
      </c>
      <c r="J99" s="14" t="n">
        <v>1522.36</v>
      </c>
      <c r="K99" s="10" t="s">
        <v>1716</v>
      </c>
      <c r="L99" s="14" t="n">
        <v>427</v>
      </c>
      <c r="M99" s="10" t="s">
        <v>1716</v>
      </c>
    </row>
    <row r="100" customFormat="false" ht="15" hidden="false" customHeight="false" outlineLevel="0" collapsed="false">
      <c r="A100" s="10" t="s">
        <v>1814</v>
      </c>
      <c r="B100" s="19" t="n">
        <v>2.45901</v>
      </c>
      <c r="C100" s="10" t="s">
        <v>1716</v>
      </c>
      <c r="D100" s="19" t="n">
        <v>2.288836</v>
      </c>
      <c r="E100" s="10" t="s">
        <v>1716</v>
      </c>
      <c r="F100" s="19" t="n">
        <v>3.11138</v>
      </c>
      <c r="G100" s="10" t="s">
        <v>1716</v>
      </c>
      <c r="H100" s="19" t="n">
        <v>1.7454</v>
      </c>
      <c r="I100" s="10" t="s">
        <v>1716</v>
      </c>
      <c r="J100" s="14" t="n">
        <v>1776.96</v>
      </c>
      <c r="K100" s="10" t="s">
        <v>1716</v>
      </c>
      <c r="L100" s="14" t="n">
        <v>422</v>
      </c>
      <c r="M100" s="10" t="s">
        <v>1716</v>
      </c>
    </row>
    <row r="101" customFormat="false" ht="15" hidden="false" customHeight="false" outlineLevel="0" collapsed="false">
      <c r="A101" s="10" t="s">
        <v>1815</v>
      </c>
      <c r="B101" s="19" t="n">
        <v>2.45535</v>
      </c>
      <c r="C101" s="10" t="s">
        <v>1716</v>
      </c>
      <c r="D101" s="19" t="n">
        <v>2.291041</v>
      </c>
      <c r="E101" s="10" t="s">
        <v>1716</v>
      </c>
      <c r="F101" s="19" t="n">
        <v>3.424216</v>
      </c>
      <c r="G101" s="10" t="s">
        <v>1716</v>
      </c>
      <c r="H101" s="19" t="n">
        <v>1.7027</v>
      </c>
      <c r="I101" s="10" t="s">
        <v>1716</v>
      </c>
      <c r="J101" s="14" t="n">
        <v>1682.74</v>
      </c>
      <c r="K101" s="10" t="s">
        <v>1716</v>
      </c>
      <c r="L101" s="14" t="n">
        <v>431</v>
      </c>
      <c r="M101" s="10" t="s">
        <v>1716</v>
      </c>
    </row>
    <row r="102" customFormat="false" ht="15" hidden="false" customHeight="false" outlineLevel="0" collapsed="false">
      <c r="A102" s="10" t="s">
        <v>1816</v>
      </c>
      <c r="B102" s="19" t="n">
        <v>2.36662</v>
      </c>
      <c r="C102" s="10" t="s">
        <v>1716</v>
      </c>
      <c r="D102" s="19" t="n">
        <v>2.272963</v>
      </c>
      <c r="E102" s="10" t="s">
        <v>1716</v>
      </c>
      <c r="F102" s="19" t="n">
        <v>3.610065</v>
      </c>
      <c r="G102" s="10" t="s">
        <v>1716</v>
      </c>
      <c r="H102" s="19" t="n">
        <v>1.6174</v>
      </c>
      <c r="I102" s="10" t="s">
        <v>1716</v>
      </c>
      <c r="J102" s="14" t="n">
        <v>1716.92</v>
      </c>
      <c r="K102" s="10" t="s">
        <v>1716</v>
      </c>
      <c r="L102" s="14" t="n">
        <v>464</v>
      </c>
      <c r="M102" s="10" t="s">
        <v>1716</v>
      </c>
    </row>
    <row r="103" customFormat="false" ht="15" hidden="false" customHeight="false" outlineLevel="0" collapsed="false">
      <c r="A103" s="10" t="s">
        <v>1817</v>
      </c>
      <c r="B103" s="19" t="n">
        <v>2.32229</v>
      </c>
      <c r="C103" s="10" t="s">
        <v>1716</v>
      </c>
      <c r="D103" s="19" t="n">
        <v>2.288616</v>
      </c>
      <c r="E103" s="10" t="s">
        <v>1716</v>
      </c>
      <c r="F103" s="19" t="n">
        <v>3.398863</v>
      </c>
      <c r="G103" s="10" t="s">
        <v>1716</v>
      </c>
      <c r="H103" s="19" t="n">
        <v>1.6362</v>
      </c>
      <c r="I103" s="10" t="s">
        <v>1716</v>
      </c>
      <c r="J103" s="14" t="n">
        <v>1501.1</v>
      </c>
      <c r="K103" s="10" t="s">
        <v>1716</v>
      </c>
      <c r="L103" s="14" t="n">
        <v>444</v>
      </c>
      <c r="M103" s="10" t="s">
        <v>1716</v>
      </c>
    </row>
    <row r="104" customFormat="false" ht="15" hidden="false" customHeight="false" outlineLevel="0" collapsed="false">
      <c r="A104" s="10" t="s">
        <v>1818</v>
      </c>
      <c r="B104" s="19" t="n">
        <v>2.23913</v>
      </c>
      <c r="C104" s="10" t="s">
        <v>1716</v>
      </c>
      <c r="D104" s="19" t="n">
        <v>2.212116</v>
      </c>
      <c r="E104" s="10" t="s">
        <v>1716</v>
      </c>
      <c r="F104" s="19" t="n">
        <v>2.888714</v>
      </c>
      <c r="G104" s="10" t="s">
        <v>1716</v>
      </c>
      <c r="H104" s="19" t="n">
        <v>1.5561</v>
      </c>
      <c r="I104" s="10" t="s">
        <v>1716</v>
      </c>
      <c r="J104" s="14" t="n">
        <v>1056.64</v>
      </c>
      <c r="K104" s="10" t="s">
        <v>1716</v>
      </c>
      <c r="L104" s="14" t="n">
        <v>418</v>
      </c>
      <c r="M104" s="10" t="s">
        <v>1716</v>
      </c>
    </row>
    <row r="105" customFormat="false" ht="15" hidden="false" customHeight="false" outlineLevel="0" collapsed="false">
      <c r="A105" s="10" t="s">
        <v>1819</v>
      </c>
      <c r="B105" s="19" t="n">
        <v>2.32322</v>
      </c>
      <c r="C105" s="10" t="s">
        <v>1716</v>
      </c>
      <c r="D105" s="19" t="n">
        <v>2.417366</v>
      </c>
      <c r="E105" s="10" t="s">
        <v>1716</v>
      </c>
      <c r="F105" s="19" t="n">
        <v>2.742988</v>
      </c>
      <c r="G105" s="10" t="s">
        <v>1716</v>
      </c>
      <c r="H105" s="19" t="n">
        <v>1.4623</v>
      </c>
      <c r="I105" s="10" t="s">
        <v>1716</v>
      </c>
      <c r="J105" s="14" t="n">
        <v>1025.95</v>
      </c>
      <c r="K105" s="10" t="s">
        <v>1716</v>
      </c>
      <c r="L105" s="14" t="n">
        <v>431</v>
      </c>
      <c r="M105" s="10" t="s">
        <v>1716</v>
      </c>
    </row>
    <row r="106" customFormat="false" ht="15" hidden="false" customHeight="false" outlineLevel="0" collapsed="false">
      <c r="A106" s="10" t="s">
        <v>1820</v>
      </c>
      <c r="B106" s="19" t="n">
        <v>2.29846</v>
      </c>
      <c r="C106" s="10" t="s">
        <v>1716</v>
      </c>
      <c r="D106" s="19" t="n">
        <v>2.455065</v>
      </c>
      <c r="E106" s="10" t="s">
        <v>1716</v>
      </c>
      <c r="F106" s="19" t="n">
        <v>2.592633</v>
      </c>
      <c r="G106" s="10" t="s">
        <v>1716</v>
      </c>
      <c r="H106" s="19" t="n">
        <v>1.3227</v>
      </c>
      <c r="I106" s="10" t="s">
        <v>1716</v>
      </c>
      <c r="J106" s="14" t="n">
        <v>909.32</v>
      </c>
      <c r="K106" s="10" t="s">
        <v>1716</v>
      </c>
      <c r="L106" s="14" t="n">
        <v>439</v>
      </c>
      <c r="M106" s="10" t="s">
        <v>1716</v>
      </c>
    </row>
    <row r="107" customFormat="false" ht="15" hidden="false" customHeight="false" outlineLevel="0" collapsed="false">
      <c r="A107" s="10" t="s">
        <v>1821</v>
      </c>
      <c r="B107" s="19" t="n">
        <v>2.30902</v>
      </c>
      <c r="C107" s="10" t="s">
        <v>1716</v>
      </c>
      <c r="D107" s="19" t="n">
        <v>2.270979</v>
      </c>
      <c r="E107" s="10" t="s">
        <v>1716</v>
      </c>
      <c r="F107" s="19" t="n">
        <v>2.197565</v>
      </c>
      <c r="G107" s="10" t="s">
        <v>1716</v>
      </c>
      <c r="H107" s="19" t="n">
        <v>1.2885</v>
      </c>
      <c r="I107" s="10" t="s">
        <v>1716</v>
      </c>
      <c r="J107" s="14" t="n">
        <v>888.99</v>
      </c>
      <c r="K107" s="10" t="s">
        <v>1716</v>
      </c>
      <c r="L107" s="14" t="n">
        <v>431</v>
      </c>
      <c r="M107" s="10" t="s">
        <v>1716</v>
      </c>
    </row>
    <row r="108" customFormat="false" ht="15" hidden="false" customHeight="false" outlineLevel="0" collapsed="false">
      <c r="A108" s="10" t="s">
        <v>1822</v>
      </c>
      <c r="B108" s="19" t="n">
        <v>2.41204</v>
      </c>
      <c r="C108" s="10" t="s">
        <v>1716</v>
      </c>
      <c r="D108" s="19" t="n">
        <v>2.041258</v>
      </c>
      <c r="E108" s="10" t="s">
        <v>1716</v>
      </c>
      <c r="F108" s="19" t="n">
        <v>2.225564</v>
      </c>
      <c r="G108" s="10" t="s">
        <v>1716</v>
      </c>
      <c r="H108" s="19" t="n">
        <v>1.27</v>
      </c>
      <c r="I108" s="10" t="s">
        <v>1716</v>
      </c>
      <c r="J108" s="14" t="n">
        <v>945.74</v>
      </c>
      <c r="K108" s="10" t="s">
        <v>1716</v>
      </c>
      <c r="L108" s="14" t="n">
        <v>440</v>
      </c>
      <c r="M108" s="10" t="s">
        <v>1716</v>
      </c>
    </row>
    <row r="109" customFormat="false" ht="15" hidden="false" customHeight="false" outlineLevel="0" collapsed="false">
      <c r="A109" s="10" t="s">
        <v>1823</v>
      </c>
      <c r="B109" s="19" t="n">
        <v>2.51231</v>
      </c>
      <c r="C109" s="10" t="s">
        <v>1716</v>
      </c>
      <c r="D109" s="19" t="n">
        <v>2.045446</v>
      </c>
      <c r="E109" s="10" t="s">
        <v>1716</v>
      </c>
      <c r="F109" s="19" t="n">
        <v>2.2238</v>
      </c>
      <c r="G109" s="10" t="s">
        <v>1716</v>
      </c>
      <c r="H109" s="19" t="n">
        <v>1.3461</v>
      </c>
      <c r="I109" s="10" t="s">
        <v>1716</v>
      </c>
      <c r="J109" s="14" t="n">
        <v>940.39</v>
      </c>
      <c r="K109" s="10" t="s">
        <v>1716</v>
      </c>
      <c r="L109" s="14" t="n">
        <v>467</v>
      </c>
      <c r="M109" s="10" t="s">
        <v>1716</v>
      </c>
    </row>
    <row r="110" customFormat="false" ht="15" hidden="false" customHeight="false" outlineLevel="0" collapsed="false">
      <c r="A110" s="10" t="s">
        <v>1824</v>
      </c>
      <c r="B110" s="19" t="n">
        <v>2.62468</v>
      </c>
      <c r="C110" s="10" t="s">
        <v>1716</v>
      </c>
      <c r="D110" s="19" t="n">
        <v>2.115994</v>
      </c>
      <c r="E110" s="10" t="s">
        <v>1716</v>
      </c>
      <c r="F110" s="19" t="n">
        <v>2.211013</v>
      </c>
      <c r="G110" s="10" t="s">
        <v>1716</v>
      </c>
      <c r="H110" s="19" t="n">
        <v>1.4117</v>
      </c>
      <c r="I110" s="10" t="s">
        <v>1716</v>
      </c>
      <c r="J110" s="14" t="n">
        <v>941.97</v>
      </c>
      <c r="K110" s="10" t="s">
        <v>1716</v>
      </c>
      <c r="L110" s="14" t="n">
        <v>517</v>
      </c>
      <c r="M110" s="10" t="s">
        <v>1716</v>
      </c>
    </row>
    <row r="111" customFormat="false" ht="15" hidden="false" customHeight="false" outlineLevel="0" collapsed="false">
      <c r="A111" s="10" t="s">
        <v>1825</v>
      </c>
      <c r="B111" s="19" t="n">
        <v>2.6527</v>
      </c>
      <c r="C111" s="10" t="s">
        <v>1716</v>
      </c>
      <c r="D111" s="19" t="n">
        <v>2.291262</v>
      </c>
      <c r="E111" s="10" t="s">
        <v>1716</v>
      </c>
      <c r="F111" s="19" t="n">
        <v>2.190951</v>
      </c>
      <c r="G111" s="10" t="s">
        <v>1716</v>
      </c>
      <c r="H111" s="19" t="n">
        <v>1.4012</v>
      </c>
      <c r="I111" s="10" t="s">
        <v>1716</v>
      </c>
      <c r="J111" s="14" t="n">
        <v>949.98</v>
      </c>
      <c r="K111" s="10" t="s">
        <v>1716</v>
      </c>
      <c r="L111" s="14" t="n">
        <v>492</v>
      </c>
      <c r="M111" s="10" t="s">
        <v>1716</v>
      </c>
    </row>
    <row r="112" customFormat="false" ht="15" hidden="false" customHeight="false" outlineLevel="0" collapsed="false">
      <c r="A112" s="10" t="s">
        <v>1826</v>
      </c>
      <c r="B112" s="19" t="n">
        <v>2.74764</v>
      </c>
      <c r="C112" s="10" t="s">
        <v>1716</v>
      </c>
      <c r="D112" s="19" t="n">
        <v>2.3477</v>
      </c>
      <c r="E112" s="10" t="s">
        <v>1716</v>
      </c>
      <c r="F112" s="19" t="n">
        <v>2.102987</v>
      </c>
      <c r="G112" s="10" t="s">
        <v>1716</v>
      </c>
      <c r="H112" s="19" t="n">
        <v>1.3574</v>
      </c>
      <c r="I112" s="10" t="s">
        <v>1716</v>
      </c>
      <c r="J112" s="14" t="n">
        <v>972.06</v>
      </c>
      <c r="K112" s="10" t="s">
        <v>1716</v>
      </c>
      <c r="L112" s="14" t="n">
        <v>476</v>
      </c>
      <c r="M112" s="10" t="s">
        <v>1716</v>
      </c>
    </row>
    <row r="113" customFormat="false" ht="15" hidden="false" customHeight="false" outlineLevel="0" collapsed="false">
      <c r="A113" s="10" t="s">
        <v>1827</v>
      </c>
      <c r="B113" s="19" t="n">
        <v>2.88324</v>
      </c>
      <c r="C113" s="10" t="s">
        <v>1716</v>
      </c>
      <c r="D113" s="19" t="n">
        <v>2.550745</v>
      </c>
      <c r="E113" s="10" t="s">
        <v>1716</v>
      </c>
      <c r="F113" s="19" t="n">
        <v>2.097916</v>
      </c>
      <c r="G113" s="10" t="s">
        <v>1716</v>
      </c>
      <c r="H113" s="19" t="n">
        <v>1.3581</v>
      </c>
      <c r="I113" s="10" t="s">
        <v>1716</v>
      </c>
      <c r="J113" s="14" t="n">
        <v>1005.24</v>
      </c>
      <c r="K113" s="10" t="s">
        <v>1716</v>
      </c>
      <c r="L113" s="14" t="n">
        <v>501</v>
      </c>
      <c r="M113" s="10" t="s">
        <v>1716</v>
      </c>
    </row>
    <row r="114" customFormat="false" ht="15" hidden="false" customHeight="false" outlineLevel="0" collapsed="false">
      <c r="A114" s="10" t="s">
        <v>1828</v>
      </c>
      <c r="B114" s="19" t="n">
        <v>2.96484</v>
      </c>
      <c r="C114" s="10" t="s">
        <v>1716</v>
      </c>
      <c r="D114" s="19" t="n">
        <v>2.701762</v>
      </c>
      <c r="E114" s="10" t="s">
        <v>1716</v>
      </c>
      <c r="F114" s="19" t="n">
        <v>2.073445</v>
      </c>
      <c r="G114" s="10" t="s">
        <v>1716</v>
      </c>
      <c r="H114" s="19" t="n">
        <v>1.3505</v>
      </c>
      <c r="I114" s="10" t="s">
        <v>1716</v>
      </c>
      <c r="J114" s="14" t="n">
        <v>934.06</v>
      </c>
      <c r="K114" s="10" t="s">
        <v>1716</v>
      </c>
      <c r="L114" s="14" t="n">
        <v>510</v>
      </c>
      <c r="M114" s="10" t="s">
        <v>1716</v>
      </c>
    </row>
    <row r="115" customFormat="false" ht="15" hidden="false" customHeight="false" outlineLevel="0" collapsed="false">
      <c r="A115" s="10" t="s">
        <v>1829</v>
      </c>
      <c r="B115" s="19" t="n">
        <v>3.17287</v>
      </c>
      <c r="C115" s="10" t="s">
        <v>1716</v>
      </c>
      <c r="D115" s="19" t="n">
        <v>2.912964</v>
      </c>
      <c r="E115" s="10" t="s">
        <v>1716</v>
      </c>
      <c r="F115" s="19" t="n">
        <v>2.038833</v>
      </c>
      <c r="G115" s="10" t="s">
        <v>1716</v>
      </c>
      <c r="H115" s="19" t="n">
        <v>1.3188</v>
      </c>
      <c r="I115" s="10" t="s">
        <v>1716</v>
      </c>
      <c r="J115" s="14" t="n">
        <v>816.97</v>
      </c>
      <c r="K115" s="10" t="s">
        <v>1716</v>
      </c>
      <c r="L115" s="14" t="n">
        <v>514</v>
      </c>
      <c r="M115" s="10" t="s">
        <v>1716</v>
      </c>
    </row>
    <row r="116" customFormat="false" ht="15" hidden="false" customHeight="false" outlineLevel="0" collapsed="false">
      <c r="A116" s="10" t="s">
        <v>1830</v>
      </c>
      <c r="B116" s="19" t="n">
        <v>3.38746</v>
      </c>
      <c r="C116" s="10" t="s">
        <v>1716</v>
      </c>
      <c r="D116" s="19" t="n">
        <v>2.812654</v>
      </c>
      <c r="E116" s="10" t="s">
        <v>1716</v>
      </c>
      <c r="F116" s="19" t="n">
        <v>2.054265</v>
      </c>
      <c r="G116" s="10" t="s">
        <v>1716</v>
      </c>
      <c r="H116" s="19" t="n">
        <v>1.2992</v>
      </c>
      <c r="I116" s="10" t="s">
        <v>1716</v>
      </c>
      <c r="J116" s="14" t="n">
        <v>878.5</v>
      </c>
      <c r="K116" s="10" t="s">
        <v>1716</v>
      </c>
      <c r="L116" s="14" t="n">
        <v>547</v>
      </c>
      <c r="M116" s="10" t="s">
        <v>1716</v>
      </c>
    </row>
    <row r="117" customFormat="false" ht="15" hidden="false" customHeight="false" outlineLevel="0" collapsed="false">
      <c r="A117" s="10" t="s">
        <v>1831</v>
      </c>
      <c r="B117" s="19" t="n">
        <v>3.45961</v>
      </c>
      <c r="C117" s="10" t="s">
        <v>1716</v>
      </c>
      <c r="D117" s="19" t="n">
        <v>2.747397</v>
      </c>
      <c r="E117" s="10" t="s">
        <v>1716</v>
      </c>
      <c r="F117" s="19" t="n">
        <v>2.114892</v>
      </c>
      <c r="G117" s="10" t="s">
        <v>1716</v>
      </c>
      <c r="H117" s="19" t="n">
        <v>1.2924</v>
      </c>
      <c r="I117" s="10" t="s">
        <v>1716</v>
      </c>
      <c r="J117" s="14" t="n">
        <v>860.82</v>
      </c>
      <c r="K117" s="10" t="s">
        <v>1716</v>
      </c>
      <c r="L117" s="14" t="n">
        <v>635</v>
      </c>
      <c r="M117" s="10" t="s">
        <v>1716</v>
      </c>
    </row>
    <row r="118" customFormat="false" ht="15" hidden="false" customHeight="false" outlineLevel="0" collapsed="false">
      <c r="A118" s="10" t="s">
        <v>1832</v>
      </c>
      <c r="B118" s="19" t="n">
        <v>3.60822</v>
      </c>
      <c r="C118" s="10" t="s">
        <v>1716</v>
      </c>
      <c r="D118" s="19" t="n">
        <v>2.731304</v>
      </c>
      <c r="E118" s="10" t="s">
        <v>1716</v>
      </c>
      <c r="F118" s="19" t="n">
        <v>2.159425</v>
      </c>
      <c r="G118" s="10" t="s">
        <v>1716</v>
      </c>
      <c r="H118" s="19" t="n">
        <v>1.4182</v>
      </c>
      <c r="I118" s="10" t="s">
        <v>1716</v>
      </c>
      <c r="J118" s="14" t="n">
        <v>829.6</v>
      </c>
      <c r="K118" s="10" t="s">
        <v>1716</v>
      </c>
      <c r="L118" s="14" t="n">
        <v>620</v>
      </c>
      <c r="M118" s="10" t="s">
        <v>1716</v>
      </c>
    </row>
    <row r="119" customFormat="false" ht="15" hidden="false" customHeight="false" outlineLevel="0" collapsed="false">
      <c r="A119" s="10" t="s">
        <v>1833</v>
      </c>
      <c r="B119" s="19" t="n">
        <v>3.63014</v>
      </c>
      <c r="C119" s="10" t="s">
        <v>1716</v>
      </c>
      <c r="D119" s="19" t="n">
        <v>2.61997</v>
      </c>
      <c r="E119" s="10" t="s">
        <v>1716</v>
      </c>
      <c r="F119" s="19" t="n">
        <v>2.106294</v>
      </c>
      <c r="G119" s="10" t="s">
        <v>1716</v>
      </c>
      <c r="H119" s="19" t="n">
        <v>1.4481</v>
      </c>
      <c r="I119" s="10" t="s">
        <v>1716</v>
      </c>
      <c r="J119" s="14" t="n">
        <v>804.26</v>
      </c>
      <c r="K119" s="10" t="s">
        <v>1716</v>
      </c>
      <c r="L119" s="14" t="n">
        <v>590</v>
      </c>
      <c r="M119" s="10" t="s">
        <v>1716</v>
      </c>
    </row>
    <row r="120" customFormat="false" ht="15" hidden="false" customHeight="false" outlineLevel="0" collapsed="false">
      <c r="A120" s="10" t="s">
        <v>1834</v>
      </c>
      <c r="B120" s="19" t="n">
        <v>4.02771</v>
      </c>
      <c r="C120" s="10" t="s">
        <v>1716</v>
      </c>
      <c r="D120" s="19" t="n">
        <v>2.703526</v>
      </c>
      <c r="E120" s="10" t="s">
        <v>1716</v>
      </c>
      <c r="F120" s="19" t="n">
        <v>1.994299</v>
      </c>
      <c r="G120" s="10" t="s">
        <v>1716</v>
      </c>
      <c r="H120" s="19" t="n">
        <v>1.4801</v>
      </c>
      <c r="I120" s="10" t="s">
        <v>1716</v>
      </c>
      <c r="J120" s="14" t="n">
        <v>830.47</v>
      </c>
      <c r="K120" s="10" t="s">
        <v>1716</v>
      </c>
      <c r="L120" s="14" t="n">
        <v>598</v>
      </c>
      <c r="M120" s="10" t="s">
        <v>1716</v>
      </c>
    </row>
    <row r="121" customFormat="false" ht="15" hidden="false" customHeight="false" outlineLevel="0" collapsed="false">
      <c r="A121" s="10" t="s">
        <v>1835</v>
      </c>
      <c r="B121" s="19" t="n">
        <v>4.20889</v>
      </c>
      <c r="C121" s="10" t="s">
        <v>1716</v>
      </c>
      <c r="D121" s="19" t="n">
        <v>2.986599</v>
      </c>
      <c r="E121" s="10" t="s">
        <v>1716</v>
      </c>
      <c r="F121" s="19" t="n">
        <v>1.995402</v>
      </c>
      <c r="G121" s="10" t="s">
        <v>1716</v>
      </c>
      <c r="H121" s="19" t="n">
        <v>1.4568</v>
      </c>
      <c r="I121" s="10" t="s">
        <v>1716</v>
      </c>
      <c r="J121" s="14" t="n">
        <v>813.51</v>
      </c>
      <c r="K121" s="10" t="s">
        <v>1716</v>
      </c>
      <c r="L121" s="14" t="n">
        <v>644</v>
      </c>
      <c r="M121" s="10" t="s">
        <v>1716</v>
      </c>
    </row>
    <row r="122" customFormat="false" ht="15" hidden="false" customHeight="false" outlineLevel="0" collapsed="false">
      <c r="A122" s="10" t="s">
        <v>1836</v>
      </c>
      <c r="B122" s="19" t="n">
        <v>4.39763</v>
      </c>
      <c r="C122" s="10" t="s">
        <v>1716</v>
      </c>
      <c r="D122" s="19" t="n">
        <v>3.26394</v>
      </c>
      <c r="E122" s="10" t="s">
        <v>1716</v>
      </c>
      <c r="F122" s="19" t="n">
        <v>2.030014</v>
      </c>
      <c r="G122" s="10" t="s">
        <v>1716</v>
      </c>
      <c r="H122" s="19" t="n">
        <v>1.5299</v>
      </c>
      <c r="I122" s="10" t="s">
        <v>1716</v>
      </c>
      <c r="J122" s="14" t="n">
        <v>844.9</v>
      </c>
      <c r="K122" s="10" t="s">
        <v>1716</v>
      </c>
      <c r="L122" s="14" t="n">
        <v>660</v>
      </c>
      <c r="M122" s="10" t="s">
        <v>1716</v>
      </c>
    </row>
    <row r="123" customFormat="false" ht="15" hidden="false" customHeight="false" outlineLevel="0" collapsed="false">
      <c r="A123" s="10" t="s">
        <v>1837</v>
      </c>
      <c r="B123" s="19" t="n">
        <v>5.55571</v>
      </c>
      <c r="C123" s="10" t="s">
        <v>1716</v>
      </c>
      <c r="D123" s="19" t="n">
        <v>3.378139</v>
      </c>
      <c r="E123" s="10" t="s">
        <v>1716</v>
      </c>
      <c r="F123" s="19" t="n">
        <v>2.196022</v>
      </c>
      <c r="G123" s="10" t="s">
        <v>1716</v>
      </c>
      <c r="H123" s="19" t="n">
        <v>1.5589</v>
      </c>
      <c r="I123" s="10" t="s">
        <v>1716</v>
      </c>
      <c r="J123" s="14" t="n">
        <v>856.93</v>
      </c>
      <c r="K123" s="10" t="s">
        <v>1716</v>
      </c>
      <c r="L123" s="14" t="n">
        <v>624</v>
      </c>
      <c r="M123" s="10" t="s">
        <v>1716</v>
      </c>
    </row>
    <row r="124" customFormat="false" ht="15" hidden="false" customHeight="false" outlineLevel="0" collapsed="false">
      <c r="A124" s="10" t="s">
        <v>1838</v>
      </c>
      <c r="B124" s="19" t="n">
        <v>7.08887</v>
      </c>
      <c r="C124" s="10" t="s">
        <v>1716</v>
      </c>
      <c r="D124" s="19" t="n">
        <v>3.656362</v>
      </c>
      <c r="E124" s="10" t="s">
        <v>1716</v>
      </c>
      <c r="F124" s="19" t="n">
        <v>2.198888</v>
      </c>
      <c r="G124" s="10" t="s">
        <v>1716</v>
      </c>
      <c r="H124" s="19" t="n">
        <v>1.6498</v>
      </c>
      <c r="I124" s="10" t="s">
        <v>1716</v>
      </c>
      <c r="J124" s="14" t="n">
        <v>942.92</v>
      </c>
      <c r="K124" s="10" t="s">
        <v>1716</v>
      </c>
      <c r="L124" s="14" t="n">
        <v>613</v>
      </c>
      <c r="M124" s="10" t="s">
        <v>1716</v>
      </c>
    </row>
    <row r="125" customFormat="false" ht="15" hidden="false" customHeight="false" outlineLevel="0" collapsed="false">
      <c r="A125" s="10" t="s">
        <v>1839</v>
      </c>
      <c r="B125" s="19" t="n">
        <v>9.74003</v>
      </c>
      <c r="C125" s="10" t="s">
        <v>1716</v>
      </c>
      <c r="D125" s="19" t="n">
        <v>4.233532</v>
      </c>
      <c r="E125" s="10" t="s">
        <v>1716</v>
      </c>
      <c r="F125" s="19" t="n">
        <v>1.988567</v>
      </c>
      <c r="G125" s="10" t="s">
        <v>1716</v>
      </c>
      <c r="H125" s="19" t="n">
        <v>1.6294</v>
      </c>
      <c r="I125" s="10" t="s">
        <v>1716</v>
      </c>
      <c r="J125" s="14" t="n">
        <v>935.69</v>
      </c>
      <c r="K125" s="10" t="s">
        <v>1716</v>
      </c>
      <c r="L125" s="14" t="n">
        <v>592</v>
      </c>
      <c r="M125" s="10" t="s">
        <v>1716</v>
      </c>
    </row>
    <row r="126" customFormat="false" ht="15" hidden="false" customHeight="false" outlineLevel="0" collapsed="false">
      <c r="A126" s="10" t="s">
        <v>1840</v>
      </c>
      <c r="B126" s="19" t="n">
        <v>7.53803</v>
      </c>
      <c r="C126" s="10" t="s">
        <v>1716</v>
      </c>
      <c r="D126" s="19" t="n">
        <v>4.042171</v>
      </c>
      <c r="E126" s="10" t="s">
        <v>1716</v>
      </c>
      <c r="F126" s="19" t="n">
        <v>1.906996</v>
      </c>
      <c r="G126" s="10" t="s">
        <v>1716</v>
      </c>
      <c r="H126" s="19" t="n">
        <v>1.6934</v>
      </c>
      <c r="I126" s="10" t="s">
        <v>1716</v>
      </c>
      <c r="J126" s="14" t="n">
        <v>859.15</v>
      </c>
      <c r="K126" s="10" t="s">
        <v>1716</v>
      </c>
      <c r="L126" s="14" t="n">
        <v>628</v>
      </c>
      <c r="M126" s="10" t="s">
        <v>1716</v>
      </c>
    </row>
    <row r="127" customFormat="false" ht="15" hidden="false" customHeight="false" outlineLevel="0" collapsed="false">
      <c r="A127" s="10" t="s">
        <v>1841</v>
      </c>
      <c r="B127" s="19" t="n">
        <v>8.27169</v>
      </c>
      <c r="C127" s="10" t="s">
        <v>1716</v>
      </c>
      <c r="D127" s="19" t="n">
        <v>4.504259</v>
      </c>
      <c r="E127" s="10" t="s">
        <v>1716</v>
      </c>
      <c r="F127" s="19" t="n">
        <v>1.833803</v>
      </c>
      <c r="G127" s="10" t="s">
        <v>1716</v>
      </c>
      <c r="H127" s="19" t="n">
        <v>1.7532</v>
      </c>
      <c r="I127" s="10" t="s">
        <v>1716</v>
      </c>
      <c r="J127" s="14" t="n">
        <v>873.67</v>
      </c>
      <c r="K127" s="10" t="s">
        <v>1716</v>
      </c>
      <c r="L127" s="14" t="n">
        <v>632</v>
      </c>
      <c r="M127" s="10" t="s">
        <v>1716</v>
      </c>
    </row>
    <row r="128" customFormat="false" ht="15" hidden="false" customHeight="false" outlineLevel="0" collapsed="false">
      <c r="A128" s="10" t="s">
        <v>1842</v>
      </c>
      <c r="B128" s="19" t="n">
        <v>7.08917</v>
      </c>
      <c r="C128" s="10" t="s">
        <v>1716</v>
      </c>
      <c r="D128" s="19" t="n">
        <v>4.73376</v>
      </c>
      <c r="E128" s="10" t="s">
        <v>1716</v>
      </c>
      <c r="F128" s="19" t="n">
        <v>1.792797</v>
      </c>
      <c r="G128" s="10" t="s">
        <v>1716</v>
      </c>
      <c r="H128" s="19" t="n">
        <v>1.6503</v>
      </c>
      <c r="I128" s="10" t="s">
        <v>1716</v>
      </c>
      <c r="J128" s="14" t="n">
        <v>896.09</v>
      </c>
      <c r="K128" s="10" t="s">
        <v>1716</v>
      </c>
      <c r="L128" s="14" t="n">
        <v>590</v>
      </c>
      <c r="M128" s="10" t="s">
        <v>1716</v>
      </c>
    </row>
    <row r="129" customFormat="false" ht="15" hidden="false" customHeight="false" outlineLevel="0" collapsed="false">
      <c r="A129" s="10" t="s">
        <v>1843</v>
      </c>
      <c r="B129" s="19" t="n">
        <v>6.8781</v>
      </c>
      <c r="C129" s="10" t="s">
        <v>1716</v>
      </c>
      <c r="D129" s="19" t="n">
        <v>4.732878</v>
      </c>
      <c r="E129" s="10" t="s">
        <v>1716</v>
      </c>
      <c r="F129" s="19" t="n">
        <v>1.761271</v>
      </c>
      <c r="G129" s="10" t="s">
        <v>1716</v>
      </c>
      <c r="H129" s="19" t="n">
        <v>1.7374</v>
      </c>
      <c r="I129" s="10" t="s">
        <v>1716</v>
      </c>
      <c r="J129" s="14" t="n">
        <v>932.63</v>
      </c>
      <c r="K129" s="10" t="s">
        <v>1716</v>
      </c>
      <c r="L129" s="14" t="n">
        <v>589</v>
      </c>
      <c r="M129" s="10" t="s">
        <v>1716</v>
      </c>
    </row>
    <row r="130" customFormat="false" ht="15" hidden="false" customHeight="false" outlineLevel="0" collapsed="false">
      <c r="A130" s="10" t="s">
        <v>1844</v>
      </c>
      <c r="B130" s="19" t="n">
        <v>6.52376</v>
      </c>
      <c r="C130" s="10" t="s">
        <v>1716</v>
      </c>
      <c r="D130" s="19" t="n">
        <v>5.33033</v>
      </c>
      <c r="E130" s="10" t="s">
        <v>1716</v>
      </c>
      <c r="F130" s="19" t="n">
        <v>1.818371</v>
      </c>
      <c r="G130" s="10" t="s">
        <v>1716</v>
      </c>
      <c r="H130" s="19" t="n">
        <v>1.9068</v>
      </c>
      <c r="I130" s="10" t="s">
        <v>1716</v>
      </c>
      <c r="J130" s="14" t="n">
        <v>982.83</v>
      </c>
      <c r="K130" s="10" t="s">
        <v>1716</v>
      </c>
      <c r="L130" s="14" t="n">
        <v>580</v>
      </c>
      <c r="M130" s="10" t="s">
        <v>1716</v>
      </c>
    </row>
    <row r="131" customFormat="false" ht="15" hidden="false" customHeight="false" outlineLevel="0" collapsed="false">
      <c r="A131" s="10" t="s">
        <v>1845</v>
      </c>
      <c r="B131" s="19" t="n">
        <v>6.65744</v>
      </c>
      <c r="C131" s="10" t="s">
        <v>1716</v>
      </c>
      <c r="D131" s="19" t="n">
        <v>4.892272</v>
      </c>
      <c r="E131" s="10" t="s">
        <v>1716</v>
      </c>
      <c r="F131" s="19" t="n">
        <v>1.843724</v>
      </c>
      <c r="G131" s="10" t="s">
        <v>1716</v>
      </c>
      <c r="H131" s="19" t="n">
        <v>2.0093</v>
      </c>
      <c r="I131" s="10" t="s">
        <v>1716</v>
      </c>
      <c r="J131" s="14" t="n">
        <v>1077.25</v>
      </c>
      <c r="K131" s="10" t="s">
        <v>1716</v>
      </c>
      <c r="L131" s="14" t="n">
        <v>515</v>
      </c>
      <c r="M131" s="10" t="s">
        <v>1716</v>
      </c>
    </row>
    <row r="132" customFormat="false" ht="15" hidden="false" customHeight="false" outlineLevel="0" collapsed="false">
      <c r="A132" s="10" t="s">
        <v>1846</v>
      </c>
      <c r="B132" s="19" t="n">
        <v>7.89481</v>
      </c>
      <c r="C132" s="10" t="s">
        <v>1716</v>
      </c>
      <c r="D132" s="19" t="n">
        <v>4.984866</v>
      </c>
      <c r="E132" s="10" t="s">
        <v>1716</v>
      </c>
      <c r="F132" s="19" t="n">
        <v>1.797206</v>
      </c>
      <c r="G132" s="10" t="s">
        <v>1716</v>
      </c>
      <c r="H132" s="19" t="n">
        <v>1.9321</v>
      </c>
      <c r="I132" s="10" t="s">
        <v>1716</v>
      </c>
      <c r="J132" s="14" t="n">
        <v>1168.58791</v>
      </c>
      <c r="K132" s="10" t="s">
        <v>1716</v>
      </c>
      <c r="L132" s="14" t="n">
        <v>511</v>
      </c>
      <c r="M132" s="10" t="s">
        <v>1716</v>
      </c>
    </row>
    <row r="133" customFormat="false" ht="15" hidden="false" customHeight="false" outlineLevel="0" collapsed="false">
      <c r="A133" s="10" t="s">
        <v>1847</v>
      </c>
      <c r="B133" s="19" t="n">
        <v>10.32051</v>
      </c>
      <c r="C133" s="10" t="s">
        <v>1716</v>
      </c>
      <c r="D133" s="19" t="n">
        <v>5.218997</v>
      </c>
      <c r="E133" s="10" t="s">
        <v>1716</v>
      </c>
      <c r="F133" s="19" t="n">
        <v>1.762373</v>
      </c>
      <c r="G133" s="10" t="s">
        <v>1716</v>
      </c>
      <c r="H133" s="19" t="n">
        <v>1.9937</v>
      </c>
      <c r="I133" s="10" t="s">
        <v>1716</v>
      </c>
      <c r="J133" s="14" t="n">
        <v>1189.73</v>
      </c>
      <c r="K133" s="10" t="s">
        <v>1716</v>
      </c>
      <c r="L133" s="14" t="n">
        <v>527</v>
      </c>
      <c r="M133" s="10" t="s">
        <v>1716</v>
      </c>
    </row>
    <row r="134" customFormat="false" ht="15" hidden="false" customHeight="false" outlineLevel="0" collapsed="false">
      <c r="A134" s="10" t="s">
        <v>1848</v>
      </c>
      <c r="B134" s="19" t="n">
        <v>10.74511</v>
      </c>
      <c r="C134" s="10" t="s">
        <v>1716</v>
      </c>
      <c r="D134" s="19" t="n">
        <v>5.407712</v>
      </c>
      <c r="E134" s="10" t="s">
        <v>1716</v>
      </c>
      <c r="F134" s="19" t="n">
        <v>1.723572</v>
      </c>
      <c r="G134" s="10" t="s">
        <v>1716</v>
      </c>
      <c r="H134" s="19" t="n">
        <v>1.9328</v>
      </c>
      <c r="I134" s="10" t="s">
        <v>1716</v>
      </c>
      <c r="J134" s="14" t="n">
        <v>1070.31</v>
      </c>
      <c r="K134" s="10" t="s">
        <v>1716</v>
      </c>
      <c r="L134" s="14" t="n">
        <v>478</v>
      </c>
      <c r="M134" s="10" t="s">
        <v>1716</v>
      </c>
    </row>
    <row r="135" customFormat="false" ht="15" hidden="false" customHeight="false" outlineLevel="0" collapsed="false">
      <c r="A135" s="10" t="s">
        <v>1849</v>
      </c>
      <c r="B135" s="19" t="n">
        <v>9.85585</v>
      </c>
      <c r="C135" s="10" t="s">
        <v>1716</v>
      </c>
      <c r="D135" s="19" t="n">
        <v>5.812481</v>
      </c>
      <c r="E135" s="10" t="s">
        <v>1716</v>
      </c>
      <c r="F135" s="19" t="n">
        <v>1.721147</v>
      </c>
      <c r="G135" s="10" t="s">
        <v>1716</v>
      </c>
      <c r="H135" s="19" t="n">
        <v>2.0051</v>
      </c>
      <c r="I135" s="10" t="s">
        <v>1716</v>
      </c>
      <c r="J135" s="14" t="n">
        <v>1067.27</v>
      </c>
      <c r="K135" s="10" t="s">
        <v>1716</v>
      </c>
      <c r="L135" s="14" t="n">
        <v>437</v>
      </c>
      <c r="M135" s="10" t="s">
        <v>1716</v>
      </c>
    </row>
    <row r="136" customFormat="false" ht="15" hidden="false" customHeight="false" outlineLevel="0" collapsed="false">
      <c r="A136" s="10" t="s">
        <v>1850</v>
      </c>
      <c r="B136" s="19" t="n">
        <v>8.08386</v>
      </c>
      <c r="C136" s="10" t="s">
        <v>1716</v>
      </c>
      <c r="D136" s="19" t="n">
        <v>5.689904</v>
      </c>
      <c r="E136" s="10" t="s">
        <v>1716</v>
      </c>
      <c r="F136" s="19" t="n">
        <v>1.712549</v>
      </c>
      <c r="G136" s="10" t="s">
        <v>1716</v>
      </c>
      <c r="H136" s="19" t="n">
        <v>1.9816</v>
      </c>
      <c r="I136" s="10" t="s">
        <v>1716</v>
      </c>
      <c r="J136" s="14" t="n">
        <v>1067.6</v>
      </c>
      <c r="K136" s="10" t="s">
        <v>1716</v>
      </c>
      <c r="L136" s="14" t="n">
        <v>425</v>
      </c>
      <c r="M136" s="10" t="s">
        <v>1716</v>
      </c>
    </row>
    <row r="137" customFormat="false" ht="15" hidden="false" customHeight="false" outlineLevel="0" collapsed="false">
      <c r="A137" s="10" t="s">
        <v>1851</v>
      </c>
      <c r="B137" s="19" t="n">
        <v>8.14979</v>
      </c>
      <c r="C137" s="10" t="s">
        <v>1716</v>
      </c>
      <c r="D137" s="19" t="n">
        <v>5.425129</v>
      </c>
      <c r="E137" s="10" t="s">
        <v>1716</v>
      </c>
      <c r="F137" s="19" t="n">
        <v>1.72754</v>
      </c>
      <c r="G137" s="10" t="s">
        <v>1716</v>
      </c>
      <c r="H137" s="19" t="n">
        <v>1.7065</v>
      </c>
      <c r="I137" s="10" t="s">
        <v>1716</v>
      </c>
      <c r="J137" s="14" t="n">
        <v>994.37</v>
      </c>
      <c r="K137" s="10" t="s">
        <v>1716</v>
      </c>
      <c r="L137" s="14" t="n">
        <v>415</v>
      </c>
      <c r="M137" s="10" t="s">
        <v>1716</v>
      </c>
    </row>
    <row r="138" customFormat="false" ht="15" hidden="false" customHeight="false" outlineLevel="0" collapsed="false">
      <c r="A138" s="10" t="s">
        <v>1852</v>
      </c>
      <c r="B138" s="19" t="n">
        <v>8.98984</v>
      </c>
      <c r="C138" s="10" t="s">
        <v>1716</v>
      </c>
      <c r="D138" s="19" t="n">
        <v>5.241484</v>
      </c>
      <c r="E138" s="10" t="s">
        <v>1716</v>
      </c>
      <c r="F138" s="19" t="n">
        <v>1.719824</v>
      </c>
      <c r="G138" s="10" t="s">
        <v>1716</v>
      </c>
      <c r="H138" s="19" t="n">
        <v>1.7031</v>
      </c>
      <c r="I138" s="10" t="s">
        <v>1716</v>
      </c>
      <c r="J138" s="14" t="n">
        <v>907.58</v>
      </c>
      <c r="K138" s="10" t="s">
        <v>1716</v>
      </c>
      <c r="L138" s="14" t="n">
        <v>431</v>
      </c>
      <c r="M138" s="10" t="s">
        <v>1716</v>
      </c>
    </row>
    <row r="139" customFormat="false" ht="15" hidden="false" customHeight="false" outlineLevel="0" collapsed="false">
      <c r="A139" s="10" t="s">
        <v>1853</v>
      </c>
      <c r="B139" s="19" t="n">
        <v>8.40195</v>
      </c>
      <c r="C139" s="10" t="s">
        <v>1716</v>
      </c>
      <c r="D139" s="19" t="n">
        <v>4.325685</v>
      </c>
      <c r="E139" s="10" t="s">
        <v>1716</v>
      </c>
      <c r="F139" s="19" t="n">
        <v>1.725777</v>
      </c>
      <c r="G139" s="10" t="s">
        <v>1716</v>
      </c>
      <c r="H139" s="19" t="n">
        <v>1.6117</v>
      </c>
      <c r="I139" s="10" t="s">
        <v>1716</v>
      </c>
      <c r="J139" s="14" t="n">
        <v>935.388941</v>
      </c>
      <c r="K139" s="10" t="s">
        <v>1716</v>
      </c>
      <c r="L139" s="14" t="n">
        <v>419</v>
      </c>
      <c r="M139" s="10" t="s">
        <v>1716</v>
      </c>
    </row>
    <row r="140" customFormat="false" ht="15" hidden="false" customHeight="false" outlineLevel="0" collapsed="false">
      <c r="A140" s="10" t="s">
        <v>1854</v>
      </c>
      <c r="B140" s="19" t="n">
        <v>7.37346</v>
      </c>
      <c r="C140" s="10" t="s">
        <v>1716</v>
      </c>
      <c r="D140" s="19" t="n">
        <v>3.685904</v>
      </c>
      <c r="E140" s="10" t="s">
        <v>1716</v>
      </c>
      <c r="F140" s="19" t="n">
        <v>1.737461</v>
      </c>
      <c r="G140" s="10" t="s">
        <v>1716</v>
      </c>
      <c r="H140" s="19" t="n">
        <v>1.6824</v>
      </c>
      <c r="I140" s="10" t="s">
        <v>1716</v>
      </c>
      <c r="J140" s="14" t="n">
        <v>976.384855</v>
      </c>
      <c r="K140" s="10" t="s">
        <v>1716</v>
      </c>
      <c r="L140" s="14" t="n">
        <v>392</v>
      </c>
      <c r="M140" s="10" t="s">
        <v>1716</v>
      </c>
    </row>
    <row r="141" customFormat="false" ht="15" hidden="false" customHeight="false" outlineLevel="0" collapsed="false">
      <c r="A141" s="10" t="s">
        <v>1855</v>
      </c>
      <c r="B141" s="19" t="n">
        <v>7.60204</v>
      </c>
      <c r="C141" s="10" t="s">
        <v>1716</v>
      </c>
      <c r="D141" s="19" t="n">
        <v>4.39006</v>
      </c>
      <c r="E141" s="10" t="s">
        <v>1716</v>
      </c>
      <c r="F141" s="19" t="n">
        <v>1.732831</v>
      </c>
      <c r="G141" s="10" t="s">
        <v>1716</v>
      </c>
      <c r="H141" s="19" t="n">
        <v>1.7087</v>
      </c>
      <c r="I141" s="10" t="s">
        <v>1716</v>
      </c>
      <c r="J141" s="14" t="n">
        <v>1026.117154</v>
      </c>
      <c r="K141" s="10" t="s">
        <v>1716</v>
      </c>
      <c r="L141" s="14" t="n">
        <v>375</v>
      </c>
      <c r="M141" s="10" t="s">
        <v>1716</v>
      </c>
    </row>
    <row r="142" customFormat="false" ht="15" hidden="false" customHeight="false" outlineLevel="0" collapsed="false">
      <c r="A142" s="10" t="s">
        <v>1856</v>
      </c>
      <c r="B142" s="19" t="n">
        <v>7.02509</v>
      </c>
      <c r="C142" s="10" t="s">
        <v>1716</v>
      </c>
      <c r="D142" s="19" t="n">
        <v>4.65748</v>
      </c>
      <c r="E142" s="10" t="s">
        <v>1716</v>
      </c>
      <c r="F142" s="19" t="n">
        <v>1.718281</v>
      </c>
      <c r="G142" s="10" t="s">
        <v>1716</v>
      </c>
      <c r="H142" s="19" t="n">
        <v>1.7384</v>
      </c>
      <c r="I142" s="10" t="s">
        <v>1716</v>
      </c>
      <c r="J142" s="14" t="n">
        <v>1036.74</v>
      </c>
      <c r="K142" s="10" t="s">
        <v>1716</v>
      </c>
      <c r="L142" s="14" t="n">
        <v>374</v>
      </c>
      <c r="M142" s="10" t="s">
        <v>1716</v>
      </c>
    </row>
    <row r="143" customFormat="false" ht="15" hidden="false" customHeight="false" outlineLevel="0" collapsed="false">
      <c r="A143" s="10" t="s">
        <v>1857</v>
      </c>
      <c r="B143" s="19" t="n">
        <v>5.95356</v>
      </c>
      <c r="C143" s="10" t="s">
        <v>1716</v>
      </c>
      <c r="D143" s="19" t="n">
        <v>4.741256</v>
      </c>
      <c r="E143" s="10" t="s">
        <v>1716</v>
      </c>
      <c r="F143" s="19" t="n">
        <v>1.67507</v>
      </c>
      <c r="G143" s="10" t="s">
        <v>1716</v>
      </c>
      <c r="H143" s="19" t="n">
        <v>1.7118</v>
      </c>
      <c r="I143" s="10" t="s">
        <v>1716</v>
      </c>
      <c r="J143" s="14" t="n">
        <v>1038.093896</v>
      </c>
      <c r="K143" s="10" t="s">
        <v>1716</v>
      </c>
      <c r="L143" s="14" t="n">
        <v>356</v>
      </c>
      <c r="M143" s="10" t="s">
        <v>1716</v>
      </c>
    </row>
    <row r="144" customFormat="false" ht="15" hidden="false" customHeight="false" outlineLevel="0" collapsed="false">
      <c r="A144" s="10" t="s">
        <v>1858</v>
      </c>
      <c r="B144" s="19" t="n">
        <v>5.61473</v>
      </c>
      <c r="C144" s="10" t="s">
        <v>1716</v>
      </c>
      <c r="D144" s="19" t="n">
        <v>4.737949</v>
      </c>
      <c r="E144" s="10" t="s">
        <v>1716</v>
      </c>
      <c r="F144" s="19" t="n">
        <v>1.656992</v>
      </c>
      <c r="G144" s="10" t="s">
        <v>1716</v>
      </c>
      <c r="H144" s="19" t="n">
        <v>1.7084</v>
      </c>
      <c r="I144" s="10" t="s">
        <v>1716</v>
      </c>
      <c r="J144" s="14" t="n">
        <v>983.4</v>
      </c>
      <c r="K144" s="10" t="s">
        <v>1716</v>
      </c>
      <c r="L144" s="14" t="n">
        <v>368</v>
      </c>
      <c r="M144" s="10" t="s">
        <v>1716</v>
      </c>
    </row>
    <row r="145" customFormat="false" ht="15" hidden="false" customHeight="false" outlineLevel="0" collapsed="false">
      <c r="A145" s="10" t="s">
        <v>1859</v>
      </c>
      <c r="B145" s="19" t="n">
        <v>5.78159</v>
      </c>
      <c r="C145" s="10" t="s">
        <v>1716</v>
      </c>
      <c r="D145" s="19" t="n">
        <v>4.201344</v>
      </c>
      <c r="E145" s="10" t="s">
        <v>1716</v>
      </c>
      <c r="F145" s="19" t="n">
        <v>1.632521</v>
      </c>
      <c r="G145" s="10" t="s">
        <v>1716</v>
      </c>
      <c r="H145" s="19" t="n">
        <v>1.7401</v>
      </c>
      <c r="I145" s="10" t="s">
        <v>1716</v>
      </c>
      <c r="J145" s="14" t="n">
        <v>980.12</v>
      </c>
      <c r="K145" s="10" t="s">
        <v>1716</v>
      </c>
      <c r="L145" s="14" t="n">
        <v>424</v>
      </c>
      <c r="M145" s="10" t="s">
        <v>1716</v>
      </c>
    </row>
    <row r="146" customFormat="false" ht="15" hidden="false" customHeight="false" outlineLevel="0" collapsed="false">
      <c r="A146" s="10" t="s">
        <v>1860</v>
      </c>
      <c r="B146" s="19" t="n">
        <v>4.9725</v>
      </c>
      <c r="C146" s="10" t="s">
        <v>1716</v>
      </c>
      <c r="D146" s="19" t="n">
        <v>4.244334</v>
      </c>
      <c r="E146" s="10" t="s">
        <v>1716</v>
      </c>
      <c r="F146" s="19" t="n">
        <v>1.642001</v>
      </c>
      <c r="G146" s="10" t="s">
        <v>1716</v>
      </c>
      <c r="H146" s="19" t="n">
        <v>1.8431</v>
      </c>
      <c r="I146" s="10" t="s">
        <v>1716</v>
      </c>
      <c r="J146" s="14" t="n">
        <v>997.82</v>
      </c>
      <c r="K146" s="10" t="s">
        <v>1716</v>
      </c>
      <c r="L146" s="14" t="n">
        <v>408</v>
      </c>
      <c r="M146" s="10" t="s">
        <v>1716</v>
      </c>
    </row>
    <row r="147" customFormat="false" ht="15" hidden="false" customHeight="false" outlineLevel="0" collapsed="false">
      <c r="A147" s="10" t="s">
        <v>1861</v>
      </c>
      <c r="B147" s="19" t="n">
        <f aca="false">3587.19/1000</f>
        <v>3.58719</v>
      </c>
      <c r="C147" s="10" t="s">
        <v>1862</v>
      </c>
      <c r="D147" s="19" t="n">
        <f aca="false">179.73*0.0220462</f>
        <v>3.962363526</v>
      </c>
      <c r="E147" s="10" t="s">
        <v>1862</v>
      </c>
    </row>
    <row r="148" customFormat="false" ht="15" hidden="false" customHeight="false" outlineLevel="0" collapsed="false">
      <c r="A148" s="10" t="s">
        <v>1863</v>
      </c>
      <c r="B148" s="19" t="n">
        <f aca="false">3241.49/1000</f>
        <v>3.24149</v>
      </c>
      <c r="C148" s="10" t="s">
        <v>1862</v>
      </c>
      <c r="D148" s="19" t="n">
        <f aca="false">176.76*0.0220462</f>
        <v>3.896886312</v>
      </c>
      <c r="E148" s="10" t="s">
        <v>1862</v>
      </c>
      <c r="H148" s="19" t="n">
        <f aca="false">1.965</f>
        <v>1.965</v>
      </c>
      <c r="I148" s="10" t="s">
        <v>1862</v>
      </c>
    </row>
    <row r="149" customFormat="false" ht="15" hidden="false" customHeight="false" outlineLevel="0" collapsed="false">
      <c r="A149" s="10" t="s">
        <v>1864</v>
      </c>
      <c r="B149" s="19" t="n">
        <f aca="false">3392.14/1000</f>
        <v>3.39214</v>
      </c>
      <c r="C149" s="10" t="s">
        <v>1862</v>
      </c>
      <c r="D149" s="19" t="n">
        <f aca="false">164.65*0.0220462</f>
        <v>3.62990683</v>
      </c>
      <c r="E149" s="10" t="s">
        <v>1862</v>
      </c>
    </row>
    <row r="150" customFormat="false" ht="15" hidden="false" customHeight="false" outlineLevel="0" collapsed="false">
      <c r="A150" s="10" t="s">
        <v>1865</v>
      </c>
      <c r="B150" s="19" t="n">
        <f aca="false">4142.97/1000</f>
        <v>4.14297</v>
      </c>
      <c r="C150" s="10" t="s">
        <v>1862</v>
      </c>
      <c r="D150" s="19" t="n">
        <f aca="false">166.51*0.0220462</f>
        <v>3.670912762</v>
      </c>
      <c r="E150" s="10" t="s">
        <v>1862</v>
      </c>
    </row>
    <row r="151" customFormat="false" ht="15" hidden="false" customHeight="false" outlineLevel="0" collapsed="false">
      <c r="A151" s="10" t="s">
        <v>1866</v>
      </c>
      <c r="B151" s="19" t="n">
        <f aca="false">4395.46/1000</f>
        <v>4.39546</v>
      </c>
      <c r="C151" s="10" t="s">
        <v>1862</v>
      </c>
      <c r="D151" s="19" t="n">
        <f aca="false">169.39*0.0220462</f>
        <v>3.734405818</v>
      </c>
      <c r="E151" s="10" t="s">
        <v>1862</v>
      </c>
    </row>
    <row r="152" customFormat="false" ht="15" hidden="false" customHeight="false" outlineLevel="0" collapsed="false">
      <c r="A152" s="10" t="s">
        <v>1867</v>
      </c>
      <c r="B152" s="19" t="n">
        <f aca="false">5619.19/1000</f>
        <v>5.61919</v>
      </c>
      <c r="C152" s="10" t="s">
        <v>1862</v>
      </c>
      <c r="D152" s="19" t="n">
        <f aca="false">185.23*0.0220462</f>
        <v>4.083617626</v>
      </c>
      <c r="E152" s="10" t="s">
        <v>1862</v>
      </c>
    </row>
    <row r="153" customFormat="false" ht="15" hidden="false" customHeight="false" outlineLevel="0" collapsed="false">
      <c r="A153" s="10" t="s">
        <v>1868</v>
      </c>
      <c r="B153" s="19" t="n">
        <f aca="false">5987/1000</f>
        <v>5.987</v>
      </c>
      <c r="C153" s="10" t="s">
        <v>1869</v>
      </c>
      <c r="D153" s="19" t="n">
        <f aca="false">180.63*0.0220462</f>
        <v>3.982205106</v>
      </c>
      <c r="E153" s="10" t="s">
        <v>1862</v>
      </c>
    </row>
    <row r="154" customFormat="false" ht="15" hidden="false" customHeight="false" outlineLevel="0" collapsed="false">
      <c r="A154" s="10" t="s">
        <v>1870</v>
      </c>
    </row>
    <row r="156" customFormat="false" ht="15" hidden="false" customHeight="false" outlineLevel="0" collapsed="false">
      <c r="A156" s="13" t="s">
        <v>1871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4" min="3" style="0" width="9"/>
    <col collapsed="false" customWidth="true" hidden="false" outlineLevel="0" max="5" min="5" style="0" width="16"/>
    <col collapsed="false" customWidth="true" hidden="false" outlineLevel="0" max="7" min="6" style="0" width="12"/>
  </cols>
  <sheetData>
    <row r="1" customFormat="false" ht="42" hidden="false" customHeight="true" outlineLevel="0" collapsed="false">
      <c r="A1" s="4" t="s">
        <v>1872</v>
      </c>
      <c r="B1" s="4" t="s">
        <v>1873</v>
      </c>
      <c r="C1" s="4" t="s">
        <v>1874</v>
      </c>
      <c r="D1" s="4" t="s">
        <v>1875</v>
      </c>
      <c r="E1" s="4" t="s">
        <v>1876</v>
      </c>
      <c r="F1" s="4" t="s">
        <v>1877</v>
      </c>
      <c r="G1" s="4" t="s">
        <v>1878</v>
      </c>
    </row>
    <row r="2" customFormat="false" ht="15" hidden="false" customHeight="false" outlineLevel="0" collapsed="false">
      <c r="A2" s="10" t="s">
        <v>1879</v>
      </c>
      <c r="B2" s="10" t="s">
        <v>1880</v>
      </c>
      <c r="C2" s="10" t="s">
        <v>1749</v>
      </c>
      <c r="D2" s="10" t="s">
        <v>1754</v>
      </c>
      <c r="E2" s="16" t="n">
        <f aca="false">IFERROR(AVERAGE(Cours_mensuels!B35:B40),"")</f>
        <v>2.29619666666667</v>
      </c>
      <c r="F2" s="34" t="n">
        <f aca="false">COUNT(Cours_mensuels!B35:B40)</f>
        <v>6</v>
      </c>
      <c r="G2" s="11" t="n">
        <v>6</v>
      </c>
    </row>
    <row r="3" customFormat="false" ht="15" hidden="false" customHeight="false" outlineLevel="0" collapsed="false">
      <c r="A3" s="10" t="s">
        <v>1881</v>
      </c>
      <c r="B3" s="10" t="s">
        <v>1880</v>
      </c>
      <c r="C3" s="10" t="s">
        <v>1755</v>
      </c>
      <c r="D3" s="10" t="s">
        <v>1760</v>
      </c>
      <c r="E3" s="16" t="n">
        <f aca="false">IFERROR(AVERAGE(Cours_mensuels!B41:B46),"")</f>
        <v>1.98638833333333</v>
      </c>
      <c r="F3" s="34" t="n">
        <f aca="false">COUNT(Cours_mensuels!B41:B46)</f>
        <v>6</v>
      </c>
      <c r="G3" s="11" t="n">
        <v>6</v>
      </c>
    </row>
    <row r="4" customFormat="false" ht="15" hidden="false" customHeight="false" outlineLevel="0" collapsed="false">
      <c r="A4" s="10" t="s">
        <v>1882</v>
      </c>
      <c r="B4" s="10" t="s">
        <v>1880</v>
      </c>
      <c r="C4" s="10" t="s">
        <v>1761</v>
      </c>
      <c r="D4" s="10" t="s">
        <v>1766</v>
      </c>
      <c r="E4" s="16" t="n">
        <f aca="false">IFERROR(AVERAGE(Cours_mensuels!B47:B52),"")</f>
        <v>2.12020166666667</v>
      </c>
      <c r="F4" s="34" t="n">
        <f aca="false">COUNT(Cours_mensuels!B47:B52)</f>
        <v>6</v>
      </c>
      <c r="G4" s="11" t="n">
        <v>6</v>
      </c>
    </row>
    <row r="5" customFormat="false" ht="15" hidden="false" customHeight="false" outlineLevel="0" collapsed="false">
      <c r="A5" s="10" t="s">
        <v>1883</v>
      </c>
      <c r="B5" s="10" t="s">
        <v>1880</v>
      </c>
      <c r="C5" s="10" t="s">
        <v>1767</v>
      </c>
      <c r="D5" s="10" t="s">
        <v>1772</v>
      </c>
      <c r="E5" s="16" t="n">
        <f aca="false">IFERROR(AVERAGE(Cours_mensuels!B53:B58),"")</f>
        <v>2.403165</v>
      </c>
      <c r="F5" s="34" t="n">
        <f aca="false">COUNT(Cours_mensuels!B53:B58)</f>
        <v>6</v>
      </c>
      <c r="G5" s="11" t="n">
        <v>6</v>
      </c>
    </row>
    <row r="6" customFormat="false" ht="15" hidden="false" customHeight="false" outlineLevel="0" collapsed="false">
      <c r="A6" s="10" t="s">
        <v>1884</v>
      </c>
      <c r="B6" s="10" t="s">
        <v>1880</v>
      </c>
      <c r="C6" s="10" t="s">
        <v>1773</v>
      </c>
      <c r="D6" s="10" t="s">
        <v>1778</v>
      </c>
      <c r="E6" s="16" t="n">
        <f aca="false">IFERROR(AVERAGE(Cours_mensuels!B59:B64),"")</f>
        <v>2.20788</v>
      </c>
      <c r="F6" s="34" t="n">
        <f aca="false">COUNT(Cours_mensuels!B59:B64)</f>
        <v>6</v>
      </c>
      <c r="G6" s="11" t="n">
        <v>6</v>
      </c>
    </row>
    <row r="7" customFormat="false" ht="15" hidden="false" customHeight="false" outlineLevel="0" collapsed="false">
      <c r="A7" s="10" t="s">
        <v>1885</v>
      </c>
      <c r="B7" s="10" t="s">
        <v>1880</v>
      </c>
      <c r="C7" s="10" t="s">
        <v>1779</v>
      </c>
      <c r="D7" s="10" t="s">
        <v>1784</v>
      </c>
      <c r="E7" s="16" t="n">
        <f aca="false">IFERROR(AVERAGE(Cours_mensuels!B65:B70),"")</f>
        <v>2.32843166666667</v>
      </c>
      <c r="F7" s="34" t="n">
        <f aca="false">COUNT(Cours_mensuels!B65:B70)</f>
        <v>6</v>
      </c>
      <c r="G7" s="11" t="n">
        <v>6</v>
      </c>
    </row>
    <row r="8" customFormat="false" ht="15" hidden="false" customHeight="false" outlineLevel="0" collapsed="false">
      <c r="A8" s="10" t="s">
        <v>1886</v>
      </c>
      <c r="B8" s="10" t="s">
        <v>1880</v>
      </c>
      <c r="C8" s="10" t="s">
        <v>1785</v>
      </c>
      <c r="D8" s="10" t="s">
        <v>1790</v>
      </c>
      <c r="E8" s="16" t="n">
        <f aca="false">IFERROR(AVERAGE(Cours_mensuels!B71:B76),"")</f>
        <v>2.509565</v>
      </c>
      <c r="F8" s="34" t="n">
        <f aca="false">COUNT(Cours_mensuels!B71:B76)</f>
        <v>6</v>
      </c>
      <c r="G8" s="11" t="n">
        <v>6</v>
      </c>
    </row>
    <row r="9" customFormat="false" ht="15" hidden="false" customHeight="false" outlineLevel="0" collapsed="false">
      <c r="A9" s="10" t="s">
        <v>1887</v>
      </c>
      <c r="B9" s="10" t="s">
        <v>1880</v>
      </c>
      <c r="C9" s="10" t="s">
        <v>1791</v>
      </c>
      <c r="D9" s="10" t="s">
        <v>1796</v>
      </c>
      <c r="E9" s="16" t="n">
        <f aca="false">IFERROR(AVERAGE(Cours_mensuels!B77:B82),"")</f>
        <v>2.28719666666667</v>
      </c>
      <c r="F9" s="34" t="n">
        <f aca="false">COUNT(Cours_mensuels!B77:B82)</f>
        <v>6</v>
      </c>
      <c r="G9" s="11" t="n">
        <v>6</v>
      </c>
    </row>
    <row r="10" customFormat="false" ht="15" hidden="false" customHeight="false" outlineLevel="0" collapsed="false">
      <c r="A10" s="10" t="s">
        <v>1888</v>
      </c>
      <c r="B10" s="10" t="s">
        <v>1880</v>
      </c>
      <c r="C10" s="10" t="s">
        <v>1797</v>
      </c>
      <c r="D10" s="10" t="s">
        <v>1802</v>
      </c>
      <c r="E10" s="16" t="n">
        <f aca="false">IFERROR(AVERAGE(Cours_mensuels!B83:B88),"")</f>
        <v>2.385935</v>
      </c>
      <c r="F10" s="34" t="n">
        <f aca="false">COUNT(Cours_mensuels!B83:B88)</f>
        <v>6</v>
      </c>
      <c r="G10" s="11" t="n">
        <v>6</v>
      </c>
    </row>
    <row r="11" customFormat="false" ht="15" hidden="false" customHeight="false" outlineLevel="0" collapsed="false">
      <c r="A11" s="10" t="s">
        <v>1889</v>
      </c>
      <c r="B11" s="10" t="s">
        <v>1880</v>
      </c>
      <c r="C11" s="10" t="s">
        <v>1803</v>
      </c>
      <c r="D11" s="10" t="s">
        <v>1808</v>
      </c>
      <c r="E11" s="16" t="n">
        <f aca="false">IFERROR(AVERAGE(Cours_mensuels!B89:B94),"")</f>
        <v>2.41948666666667</v>
      </c>
      <c r="F11" s="34" t="n">
        <f aca="false">COUNT(Cours_mensuels!B89:B94)</f>
        <v>6</v>
      </c>
      <c r="G11" s="11" t="n">
        <v>6</v>
      </c>
    </row>
    <row r="12" customFormat="false" ht="15" hidden="false" customHeight="false" outlineLevel="0" collapsed="false">
      <c r="A12" s="10" t="s">
        <v>1890</v>
      </c>
      <c r="B12" s="10" t="s">
        <v>1880</v>
      </c>
      <c r="C12" s="10" t="s">
        <v>1809</v>
      </c>
      <c r="D12" s="10" t="s">
        <v>1814</v>
      </c>
      <c r="E12" s="16" t="n">
        <f aca="false">IFERROR(AVERAGE(Cours_mensuels!B95:B100),"")</f>
        <v>2.4701</v>
      </c>
      <c r="F12" s="34" t="n">
        <f aca="false">COUNT(Cours_mensuels!B95:B100)</f>
        <v>6</v>
      </c>
      <c r="G12" s="11" t="n">
        <v>6</v>
      </c>
    </row>
    <row r="13" customFormat="false" ht="15" hidden="false" customHeight="false" outlineLevel="0" collapsed="false">
      <c r="A13" s="10" t="s">
        <v>1891</v>
      </c>
      <c r="B13" s="10" t="s">
        <v>1880</v>
      </c>
      <c r="C13" s="10" t="s">
        <v>1815</v>
      </c>
      <c r="D13" s="10" t="s">
        <v>1820</v>
      </c>
      <c r="E13" s="16" t="n">
        <f aca="false">IFERROR(AVERAGE(Cours_mensuels!B101:B106),"")</f>
        <v>2.33417833333333</v>
      </c>
      <c r="F13" s="34" t="n">
        <f aca="false">COUNT(Cours_mensuels!B101:B106)</f>
        <v>6</v>
      </c>
      <c r="G13" s="11" t="n">
        <v>6</v>
      </c>
    </row>
    <row r="14" customFormat="false" ht="15" hidden="false" customHeight="false" outlineLevel="0" collapsed="false">
      <c r="A14" s="10" t="s">
        <v>1892</v>
      </c>
      <c r="B14" s="10" t="s">
        <v>1880</v>
      </c>
      <c r="C14" s="10" t="s">
        <v>1821</v>
      </c>
      <c r="D14" s="10" t="s">
        <v>1826</v>
      </c>
      <c r="E14" s="16" t="n">
        <f aca="false">IFERROR(AVERAGE(Cours_mensuels!B107:B112),"")</f>
        <v>2.543065</v>
      </c>
      <c r="F14" s="34" t="n">
        <f aca="false">COUNT(Cours_mensuels!B107:B112)</f>
        <v>6</v>
      </c>
      <c r="G14" s="11" t="n">
        <v>6</v>
      </c>
    </row>
    <row r="15" customFormat="false" ht="15" hidden="false" customHeight="false" outlineLevel="0" collapsed="false">
      <c r="A15" s="10" t="s">
        <v>1893</v>
      </c>
      <c r="B15" s="10" t="s">
        <v>1880</v>
      </c>
      <c r="C15" s="10" t="s">
        <v>1827</v>
      </c>
      <c r="D15" s="10" t="s">
        <v>1832</v>
      </c>
      <c r="E15" s="16" t="n">
        <f aca="false">IFERROR(AVERAGE(Cours_mensuels!B113:B118),"")</f>
        <v>3.24604</v>
      </c>
      <c r="F15" s="34" t="n">
        <f aca="false">COUNT(Cours_mensuels!B113:B118)</f>
        <v>6</v>
      </c>
      <c r="G15" s="11" t="n">
        <v>6</v>
      </c>
    </row>
    <row r="16" customFormat="false" ht="15" hidden="false" customHeight="false" outlineLevel="0" collapsed="false">
      <c r="A16" s="10" t="s">
        <v>1894</v>
      </c>
      <c r="B16" s="10" t="s">
        <v>1880</v>
      </c>
      <c r="C16" s="10" t="s">
        <v>1833</v>
      </c>
      <c r="D16" s="10" t="s">
        <v>1838</v>
      </c>
      <c r="E16" s="16" t="n">
        <f aca="false">IFERROR(AVERAGE(Cours_mensuels!B119:B124),"")</f>
        <v>4.81815833333333</v>
      </c>
      <c r="F16" s="34" t="n">
        <f aca="false">COUNT(Cours_mensuels!B119:B124)</f>
        <v>6</v>
      </c>
      <c r="G16" s="11" t="n">
        <v>6</v>
      </c>
    </row>
    <row r="17" customFormat="false" ht="15" hidden="false" customHeight="false" outlineLevel="0" collapsed="false">
      <c r="A17" s="10" t="s">
        <v>1895</v>
      </c>
      <c r="B17" s="10" t="s">
        <v>1880</v>
      </c>
      <c r="C17" s="10" t="s">
        <v>1839</v>
      </c>
      <c r="D17" s="10" t="s">
        <v>1844</v>
      </c>
      <c r="E17" s="16" t="n">
        <f aca="false">IFERROR(AVERAGE(Cours_mensuels!B125:B130),"")</f>
        <v>7.67346333333333</v>
      </c>
      <c r="F17" s="34" t="n">
        <f aca="false">COUNT(Cours_mensuels!B125:B130)</f>
        <v>6</v>
      </c>
      <c r="G17" s="11" t="n">
        <v>6</v>
      </c>
    </row>
    <row r="18" customFormat="false" ht="15" hidden="false" customHeight="false" outlineLevel="0" collapsed="false">
      <c r="A18" s="10" t="s">
        <v>1896</v>
      </c>
      <c r="B18" s="10" t="s">
        <v>1880</v>
      </c>
      <c r="C18" s="10" t="s">
        <v>1845</v>
      </c>
      <c r="D18" s="10" t="s">
        <v>1850</v>
      </c>
      <c r="E18" s="16" t="n">
        <f aca="false">IFERROR(AVERAGE(Cours_mensuels!B131:B136),"")</f>
        <v>8.92626333333333</v>
      </c>
      <c r="F18" s="34" t="n">
        <f aca="false">COUNT(Cours_mensuels!B131:B136)</f>
        <v>6</v>
      </c>
      <c r="G18" s="11" t="n">
        <v>6</v>
      </c>
    </row>
    <row r="19" customFormat="false" ht="15" hidden="false" customHeight="false" outlineLevel="0" collapsed="false">
      <c r="A19" s="10" t="s">
        <v>1897</v>
      </c>
      <c r="B19" s="10" t="s">
        <v>1880</v>
      </c>
      <c r="C19" s="10" t="s">
        <v>1851</v>
      </c>
      <c r="D19" s="10" t="s">
        <v>1856</v>
      </c>
      <c r="E19" s="16" t="n">
        <f aca="false">IFERROR(AVERAGE(Cours_mensuels!B137:B142),"")</f>
        <v>7.923695</v>
      </c>
      <c r="F19" s="34" t="n">
        <f aca="false">COUNT(Cours_mensuels!B137:B142)</f>
        <v>6</v>
      </c>
      <c r="G19" s="11" t="n">
        <v>6</v>
      </c>
    </row>
    <row r="20" customFormat="false" ht="15" hidden="false" customHeight="false" outlineLevel="0" collapsed="false">
      <c r="A20" s="10" t="s">
        <v>1898</v>
      </c>
      <c r="B20" s="10" t="s">
        <v>1880</v>
      </c>
      <c r="C20" s="10" t="s">
        <v>1857</v>
      </c>
      <c r="D20" s="10" t="s">
        <v>1863</v>
      </c>
      <c r="E20" s="16" t="n">
        <f aca="false">IFERROR(AVERAGE(Cours_mensuels!B143:B148),"")</f>
        <v>4.85851</v>
      </c>
      <c r="F20" s="34" t="n">
        <f aca="false">COUNT(Cours_mensuels!B143:B148)</f>
        <v>6</v>
      </c>
      <c r="G20" s="11" t="n">
        <v>6</v>
      </c>
    </row>
    <row r="21" customFormat="false" ht="15" hidden="false" customHeight="false" outlineLevel="0" collapsed="false">
      <c r="A21" s="10" t="s">
        <v>1899</v>
      </c>
      <c r="B21" s="10" t="s">
        <v>1880</v>
      </c>
      <c r="C21" s="10" t="s">
        <v>1860</v>
      </c>
      <c r="D21" s="10" t="s">
        <v>1860</v>
      </c>
      <c r="E21" s="16" t="n">
        <f aca="false">IFERROR(AVERAGE(Cours_mensuels!B146:B146),"")</f>
        <v>4.9725</v>
      </c>
      <c r="F21" s="34" t="n">
        <f aca="false">COUNT(Cours_mensuels!B146:B146)</f>
        <v>1</v>
      </c>
      <c r="G21" s="11" t="n">
        <v>1</v>
      </c>
    </row>
    <row r="22" customFormat="false" ht="15" hidden="false" customHeight="false" outlineLevel="0" collapsed="false">
      <c r="A22" s="10" t="s">
        <v>1900</v>
      </c>
      <c r="B22" s="10" t="s">
        <v>1880</v>
      </c>
      <c r="C22" s="10" t="s">
        <v>1861</v>
      </c>
      <c r="D22" s="10" t="s">
        <v>1861</v>
      </c>
      <c r="E22" s="16" t="n">
        <f aca="false">IFERROR(AVERAGE(Cours_mensuels!B147:B147),"")</f>
        <v>3.58719</v>
      </c>
      <c r="F22" s="34" t="n">
        <f aca="false">COUNT(Cours_mensuels!B147:B147)</f>
        <v>1</v>
      </c>
      <c r="G22" s="11" t="n">
        <v>1</v>
      </c>
    </row>
    <row r="23" customFormat="false" ht="15" hidden="false" customHeight="false" outlineLevel="0" collapsed="false">
      <c r="A23" s="10" t="s">
        <v>1901</v>
      </c>
      <c r="B23" s="10" t="s">
        <v>1880</v>
      </c>
      <c r="C23" s="10" t="s">
        <v>1863</v>
      </c>
      <c r="D23" s="10" t="s">
        <v>1864</v>
      </c>
      <c r="E23" s="16" t="n">
        <f aca="false">IFERROR(AVERAGE(Cours_mensuels!B148:B149),"")</f>
        <v>3.316815</v>
      </c>
      <c r="F23" s="34" t="n">
        <f aca="false">COUNT(Cours_mensuels!B148:B149)</f>
        <v>2</v>
      </c>
      <c r="G23" s="11" t="n">
        <v>2</v>
      </c>
    </row>
    <row r="24" customFormat="false" ht="15" hidden="false" customHeight="false" outlineLevel="0" collapsed="false">
      <c r="A24" s="10" t="s">
        <v>1902</v>
      </c>
      <c r="B24" s="10" t="s">
        <v>1880</v>
      </c>
      <c r="C24" s="10" t="s">
        <v>1864</v>
      </c>
      <c r="D24" s="10" t="s">
        <v>1868</v>
      </c>
      <c r="E24" s="16" t="n">
        <f aca="false">IFERROR(AVERAGE(Cours_mensuels!B149:B153),"")</f>
        <v>4.707352</v>
      </c>
      <c r="F24" s="34" t="n">
        <f aca="false">COUNT(Cours_mensuels!B149:B153)</f>
        <v>5</v>
      </c>
      <c r="G24" s="11" t="n">
        <v>5</v>
      </c>
    </row>
    <row r="25" customFormat="false" ht="15" hidden="false" customHeight="false" outlineLevel="0" collapsed="false">
      <c r="A25" s="10" t="s">
        <v>1903</v>
      </c>
      <c r="B25" s="10" t="s">
        <v>1880</v>
      </c>
      <c r="C25" s="10" t="s">
        <v>1865</v>
      </c>
      <c r="D25" s="10" t="s">
        <v>1865</v>
      </c>
      <c r="E25" s="16" t="n">
        <f aca="false">IFERROR(AVERAGE(Cours_mensuels!B150:B150),"")</f>
        <v>4.14297</v>
      </c>
      <c r="F25" s="34" t="n">
        <f aca="false">COUNT(Cours_mensuels!B150:B150)</f>
        <v>1</v>
      </c>
      <c r="G25" s="11" t="n">
        <v>1</v>
      </c>
    </row>
    <row r="26" customFormat="false" ht="15" hidden="false" customHeight="false" outlineLevel="0" collapsed="false">
      <c r="A26" s="10" t="s">
        <v>1904</v>
      </c>
      <c r="B26" s="10" t="s">
        <v>1880</v>
      </c>
      <c r="C26" s="10" t="s">
        <v>1866</v>
      </c>
      <c r="D26" s="10" t="s">
        <v>1866</v>
      </c>
      <c r="E26" s="16" t="n">
        <f aca="false">IFERROR(AVERAGE(Cours_mensuels!B151:B151),"")</f>
        <v>4.39546</v>
      </c>
      <c r="F26" s="34" t="n">
        <f aca="false">COUNT(Cours_mensuels!B151:B151)</f>
        <v>1</v>
      </c>
      <c r="G26" s="11" t="n">
        <v>1</v>
      </c>
    </row>
    <row r="27" customFormat="false" ht="15" hidden="false" customHeight="false" outlineLevel="0" collapsed="false">
      <c r="A27" s="10" t="s">
        <v>1905</v>
      </c>
      <c r="B27" s="10" t="s">
        <v>1880</v>
      </c>
      <c r="C27" s="10" t="s">
        <v>1868</v>
      </c>
      <c r="D27" s="10" t="s">
        <v>1868</v>
      </c>
      <c r="E27" s="16" t="n">
        <f aca="false">IFERROR(AVERAGE(Cours_mensuels!B153:B153),"")</f>
        <v>5.987</v>
      </c>
      <c r="F27" s="34" t="n">
        <f aca="false">COUNT(Cours_mensuels!B153:B153)</f>
        <v>1</v>
      </c>
      <c r="G27" s="11" t="n">
        <v>1</v>
      </c>
    </row>
    <row r="28" customFormat="false" ht="15" hidden="false" customHeight="false" outlineLevel="0" collapsed="false">
      <c r="A28" s="10" t="s">
        <v>1906</v>
      </c>
      <c r="B28" s="10" t="s">
        <v>1907</v>
      </c>
      <c r="C28" s="10" t="s">
        <v>1759</v>
      </c>
      <c r="D28" s="10" t="s">
        <v>1770</v>
      </c>
      <c r="E28" s="16" t="n">
        <f aca="false">IFERROR(AVERAGE(Cours_mensuels!F45:F56),"")</f>
        <v>1.94089233333333</v>
      </c>
      <c r="F28" s="34" t="n">
        <f aca="false">COUNT(Cours_mensuels!F45:F56)</f>
        <v>12</v>
      </c>
      <c r="G28" s="11" t="n">
        <v>12</v>
      </c>
    </row>
    <row r="29" customFormat="false" ht="15" hidden="false" customHeight="false" outlineLevel="0" collapsed="false">
      <c r="A29" s="10" t="s">
        <v>1908</v>
      </c>
      <c r="B29" s="10" t="s">
        <v>1907</v>
      </c>
      <c r="C29" s="10" t="s">
        <v>1771</v>
      </c>
      <c r="D29" s="10" t="s">
        <v>1782</v>
      </c>
      <c r="E29" s="16" t="n">
        <f aca="false">IFERROR(AVERAGE(Cours_mensuels!F57:F68),"")</f>
        <v>1.85990925</v>
      </c>
      <c r="F29" s="34" t="n">
        <f aca="false">COUNT(Cours_mensuels!F57:F68)</f>
        <v>12</v>
      </c>
      <c r="G29" s="11" t="n">
        <v>12</v>
      </c>
    </row>
    <row r="30" customFormat="false" ht="15" hidden="false" customHeight="false" outlineLevel="0" collapsed="false">
      <c r="A30" s="10" t="s">
        <v>1909</v>
      </c>
      <c r="B30" s="10" t="s">
        <v>1907</v>
      </c>
      <c r="C30" s="10" t="s">
        <v>1783</v>
      </c>
      <c r="D30" s="10" t="s">
        <v>1794</v>
      </c>
      <c r="E30" s="16" t="n">
        <f aca="false">IFERROR(AVERAGE(Cours_mensuels!F69:F80),"")</f>
        <v>1.57178383333333</v>
      </c>
      <c r="F30" s="34" t="n">
        <f aca="false">COUNT(Cours_mensuels!F69:F80)</f>
        <v>12</v>
      </c>
      <c r="G30" s="11" t="n">
        <v>12</v>
      </c>
    </row>
    <row r="31" customFormat="false" ht="15" hidden="false" customHeight="false" outlineLevel="0" collapsed="false">
      <c r="A31" s="10" t="s">
        <v>1910</v>
      </c>
      <c r="B31" s="10" t="s">
        <v>1907</v>
      </c>
      <c r="C31" s="10" t="s">
        <v>1795</v>
      </c>
      <c r="D31" s="10" t="s">
        <v>1806</v>
      </c>
      <c r="E31" s="16" t="n">
        <f aca="false">IFERROR(AVERAGE(Cours_mensuels!F81:F92),"")</f>
        <v>1.87313708333333</v>
      </c>
      <c r="F31" s="34" t="n">
        <f aca="false">COUNT(Cours_mensuels!F81:F92)</f>
        <v>12</v>
      </c>
      <c r="G31" s="11" t="n">
        <v>12</v>
      </c>
    </row>
    <row r="32" customFormat="false" ht="15" hidden="false" customHeight="false" outlineLevel="0" collapsed="false">
      <c r="A32" s="10" t="s">
        <v>1911</v>
      </c>
      <c r="B32" s="10" t="s">
        <v>1907</v>
      </c>
      <c r="C32" s="10" t="s">
        <v>1807</v>
      </c>
      <c r="D32" s="10" t="s">
        <v>1818</v>
      </c>
      <c r="E32" s="16" t="n">
        <f aca="false">IFERROR(AVERAGE(Cours_mensuels!F93:F104),"")</f>
        <v>2.91156825</v>
      </c>
      <c r="F32" s="34" t="n">
        <f aca="false">COUNT(Cours_mensuels!F93:F104)</f>
        <v>12</v>
      </c>
      <c r="G32" s="11" t="n">
        <v>12</v>
      </c>
    </row>
    <row r="33" customFormat="false" ht="15" hidden="false" customHeight="false" outlineLevel="0" collapsed="false">
      <c r="A33" s="10" t="s">
        <v>1912</v>
      </c>
      <c r="B33" s="10" t="s">
        <v>1907</v>
      </c>
      <c r="C33" s="10" t="s">
        <v>1819</v>
      </c>
      <c r="D33" s="10" t="s">
        <v>1830</v>
      </c>
      <c r="E33" s="16" t="n">
        <f aca="false">IFERROR(AVERAGE(Cours_mensuels!F105:F116),"")</f>
        <v>2.22933</v>
      </c>
      <c r="F33" s="34" t="n">
        <f aca="false">COUNT(Cours_mensuels!F105:F116)</f>
        <v>12</v>
      </c>
      <c r="G33" s="11" t="n">
        <v>12</v>
      </c>
    </row>
    <row r="34" customFormat="false" ht="15" hidden="false" customHeight="false" outlineLevel="0" collapsed="false">
      <c r="A34" s="10" t="s">
        <v>1913</v>
      </c>
      <c r="B34" s="10" t="s">
        <v>1907</v>
      </c>
      <c r="C34" s="10" t="s">
        <v>1831</v>
      </c>
      <c r="D34" s="10" t="s">
        <v>1842</v>
      </c>
      <c r="E34" s="16" t="n">
        <f aca="false">IFERROR(AVERAGE(Cours_mensuels!F117:F128),"")</f>
        <v>2.02644991666667</v>
      </c>
      <c r="F34" s="34" t="n">
        <f aca="false">COUNT(Cours_mensuels!F117:F128)</f>
        <v>12</v>
      </c>
      <c r="G34" s="11" t="n">
        <v>12</v>
      </c>
    </row>
    <row r="35" customFormat="false" ht="15" hidden="false" customHeight="false" outlineLevel="0" collapsed="false">
      <c r="A35" s="10" t="s">
        <v>1914</v>
      </c>
      <c r="B35" s="10" t="s">
        <v>1907</v>
      </c>
      <c r="C35" s="10" t="s">
        <v>1843</v>
      </c>
      <c r="D35" s="10" t="s">
        <v>1854</v>
      </c>
      <c r="E35" s="16" t="n">
        <f aca="false">IFERROR(AVERAGE(Cours_mensuels!F129:F140),"")</f>
        <v>1.75423458333333</v>
      </c>
      <c r="F35" s="34" t="n">
        <f aca="false">COUNT(Cours_mensuels!F129:F140)</f>
        <v>12</v>
      </c>
      <c r="G35" s="11" t="n">
        <v>12</v>
      </c>
    </row>
    <row r="36" customFormat="false" ht="15" hidden="false" customHeight="false" outlineLevel="0" collapsed="false">
      <c r="A36" s="10" t="s">
        <v>1915</v>
      </c>
      <c r="B36" s="10" t="s">
        <v>1907</v>
      </c>
      <c r="C36" s="10" t="s">
        <v>1855</v>
      </c>
      <c r="D36" s="10" t="s">
        <v>1860</v>
      </c>
      <c r="E36" s="16" t="n">
        <f aca="false">IFERROR(AVERAGE(Cours_mensuels!F141:F146),"")</f>
        <v>1.67628266666667</v>
      </c>
      <c r="F36" s="34" t="n">
        <f aca="false">COUNT(Cours_mensuels!F141:F146)</f>
        <v>6</v>
      </c>
      <c r="G36" s="11" t="n">
        <v>6</v>
      </c>
    </row>
    <row r="37" customFormat="false" ht="15" hidden="false" customHeight="false" outlineLevel="0" collapsed="false">
      <c r="A37" s="10" t="s">
        <v>1916</v>
      </c>
      <c r="B37" s="10" t="s">
        <v>1917</v>
      </c>
      <c r="C37" s="10" t="s">
        <v>1845</v>
      </c>
      <c r="D37" s="10" t="s">
        <v>1847</v>
      </c>
      <c r="E37" s="16" t="n">
        <f aca="false">IFERROR(AVERAGE(Cours_mensuels!J131:J133),"")</f>
        <v>1145.18930333333</v>
      </c>
      <c r="F37" s="34" t="n">
        <f aca="false">COUNT(Cours_mensuels!J131:J133)</f>
        <v>3</v>
      </c>
      <c r="G37" s="11" t="n">
        <v>3</v>
      </c>
    </row>
    <row r="38" customFormat="false" ht="15" hidden="false" customHeight="false" outlineLevel="0" collapsed="false">
      <c r="A38" s="10" t="s">
        <v>1918</v>
      </c>
      <c r="B38" s="10" t="s">
        <v>1917</v>
      </c>
      <c r="C38" s="10" t="s">
        <v>1848</v>
      </c>
      <c r="D38" s="10" t="s">
        <v>1859</v>
      </c>
      <c r="E38" s="16" t="n">
        <f aca="false">IFERROR(AVERAGE(Cours_mensuels!J134:J145),"")</f>
        <v>1006.94790383333</v>
      </c>
      <c r="F38" s="34" t="n">
        <f aca="false">COUNT(Cours_mensuels!J134:J145)</f>
        <v>12</v>
      </c>
      <c r="G38" s="11" t="n">
        <v>12</v>
      </c>
    </row>
    <row r="39" customFormat="false" ht="15" hidden="false" customHeight="false" outlineLevel="0" collapsed="false">
      <c r="A39" s="10" t="s">
        <v>1919</v>
      </c>
      <c r="B39" s="10" t="s">
        <v>1917</v>
      </c>
      <c r="C39" s="10" t="s">
        <v>1860</v>
      </c>
      <c r="D39" s="10" t="s">
        <v>1860</v>
      </c>
      <c r="E39" s="16" t="n">
        <f aca="false">IFERROR(AVERAGE(Cours_mensuels!J146:J146),"")</f>
        <v>997.82</v>
      </c>
      <c r="F39" s="34" t="n">
        <f aca="false">COUNT(Cours_mensuels!J146:J146)</f>
        <v>1</v>
      </c>
      <c r="G39" s="11" t="n">
        <v>1</v>
      </c>
    </row>
    <row r="40" customFormat="false" ht="15" hidden="false" customHeight="false" outlineLevel="0" collapsed="false">
      <c r="A40" s="10" t="s">
        <v>1920</v>
      </c>
      <c r="B40" s="10" t="s">
        <v>1921</v>
      </c>
      <c r="C40" s="10" t="s">
        <v>1848</v>
      </c>
      <c r="D40" s="10" t="s">
        <v>1859</v>
      </c>
      <c r="E40" s="16" t="n">
        <f aca="false">IFERROR(AVERAGE(Cours_mensuels!L134:L145),"")</f>
        <v>407.833333333333</v>
      </c>
      <c r="F40" s="34" t="n">
        <f aca="false">COUNT(Cours_mensuels!L134:L145)</f>
        <v>12</v>
      </c>
      <c r="G40" s="11" t="n">
        <v>12</v>
      </c>
    </row>
    <row r="41" customFormat="false" ht="15" hidden="false" customHeight="false" outlineLevel="0" collapsed="false">
      <c r="A41" s="10" t="s">
        <v>1922</v>
      </c>
      <c r="B41" s="10" t="s">
        <v>1923</v>
      </c>
      <c r="C41" s="10" t="s">
        <v>1749</v>
      </c>
      <c r="D41" s="10" t="s">
        <v>1760</v>
      </c>
      <c r="E41" s="16" t="n">
        <f aca="false">IFERROR(AVERAGE(Cours_mensuels!D35:D46),"")</f>
        <v>2.28415158333333</v>
      </c>
      <c r="F41" s="34" t="n">
        <f aca="false">COUNT(Cours_mensuels!D35:D46)</f>
        <v>12</v>
      </c>
      <c r="G41" s="11" t="n">
        <v>12</v>
      </c>
    </row>
    <row r="42" customFormat="false" ht="15" hidden="false" customHeight="false" outlineLevel="0" collapsed="false">
      <c r="A42" s="10" t="s">
        <v>1924</v>
      </c>
      <c r="B42" s="10" t="s">
        <v>1923</v>
      </c>
      <c r="C42" s="10" t="s">
        <v>1761</v>
      </c>
      <c r="D42" s="10" t="s">
        <v>1772</v>
      </c>
      <c r="E42" s="16" t="n">
        <f aca="false">IFERROR(AVERAGE(Cours_mensuels!D47:D58),"")</f>
        <v>1.92602958333333</v>
      </c>
      <c r="F42" s="34" t="n">
        <f aca="false">COUNT(Cours_mensuels!D47:D58)</f>
        <v>12</v>
      </c>
      <c r="G42" s="11" t="n">
        <v>12</v>
      </c>
    </row>
    <row r="43" customFormat="false" ht="15" hidden="false" customHeight="false" outlineLevel="0" collapsed="false">
      <c r="A43" s="10" t="s">
        <v>1925</v>
      </c>
      <c r="B43" s="10" t="s">
        <v>1923</v>
      </c>
      <c r="C43" s="10" t="s">
        <v>1773</v>
      </c>
      <c r="D43" s="10" t="s">
        <v>1784</v>
      </c>
      <c r="E43" s="16" t="n">
        <f aca="false">IFERROR(AVERAGE(Cours_mensuels!D59:D70),"")</f>
        <v>1.67922266666667</v>
      </c>
      <c r="F43" s="34" t="n">
        <f aca="false">COUNT(Cours_mensuels!D59:D70)</f>
        <v>12</v>
      </c>
      <c r="G43" s="11" t="n">
        <v>12</v>
      </c>
    </row>
    <row r="44" customFormat="false" ht="15" hidden="false" customHeight="false" outlineLevel="0" collapsed="false">
      <c r="A44" s="10" t="s">
        <v>1926</v>
      </c>
      <c r="B44" s="10" t="s">
        <v>1923</v>
      </c>
      <c r="C44" s="10" t="s">
        <v>1785</v>
      </c>
      <c r="D44" s="10" t="s">
        <v>1796</v>
      </c>
      <c r="E44" s="16" t="n">
        <f aca="false">IFERROR(AVERAGE(Cours_mensuels!D71:D82),"")</f>
        <v>1.52021408333333</v>
      </c>
      <c r="F44" s="34" t="n">
        <f aca="false">COUNT(Cours_mensuels!D71:D82)</f>
        <v>12</v>
      </c>
      <c r="G44" s="11" t="n">
        <v>12</v>
      </c>
    </row>
    <row r="45" customFormat="false" ht="15" hidden="false" customHeight="false" outlineLevel="0" collapsed="false">
      <c r="A45" s="10" t="s">
        <v>1927</v>
      </c>
      <c r="B45" s="10" t="s">
        <v>1923</v>
      </c>
      <c r="C45" s="10" t="s">
        <v>1797</v>
      </c>
      <c r="D45" s="10" t="s">
        <v>1808</v>
      </c>
      <c r="E45" s="16" t="n">
        <f aca="false">IFERROR(AVERAGE(Cours_mensuels!D83:D94),"")</f>
        <v>1.7707875</v>
      </c>
      <c r="F45" s="34" t="n">
        <f aca="false">COUNT(Cours_mensuels!D83:D94)</f>
        <v>12</v>
      </c>
      <c r="G45" s="11" t="n">
        <v>12</v>
      </c>
    </row>
    <row r="46" customFormat="false" ht="15" hidden="false" customHeight="false" outlineLevel="0" collapsed="false">
      <c r="A46" s="10" t="s">
        <v>1928</v>
      </c>
      <c r="B46" s="10" t="s">
        <v>1923</v>
      </c>
      <c r="C46" s="10" t="s">
        <v>1809</v>
      </c>
      <c r="D46" s="10" t="s">
        <v>1820</v>
      </c>
      <c r="E46" s="16" t="n">
        <f aca="false">IFERROR(AVERAGE(Cours_mensuels!D95:D106),"")</f>
        <v>2.35661016666667</v>
      </c>
      <c r="F46" s="34" t="n">
        <f aca="false">COUNT(Cours_mensuels!D95:D106)</f>
        <v>12</v>
      </c>
      <c r="G46" s="11" t="n">
        <v>12</v>
      </c>
    </row>
    <row r="47" customFormat="false" ht="15" hidden="false" customHeight="false" outlineLevel="0" collapsed="false">
      <c r="A47" s="10" t="s">
        <v>1929</v>
      </c>
      <c r="B47" s="10" t="s">
        <v>1923</v>
      </c>
      <c r="C47" s="10" t="s">
        <v>1821</v>
      </c>
      <c r="D47" s="10" t="s">
        <v>1832</v>
      </c>
      <c r="E47" s="16" t="n">
        <f aca="false">IFERROR(AVERAGE(Cours_mensuels!D107:D118),"")</f>
        <v>2.46412208333333</v>
      </c>
      <c r="F47" s="34" t="n">
        <f aca="false">COUNT(Cours_mensuels!D107:D118)</f>
        <v>12</v>
      </c>
      <c r="G47" s="11" t="n">
        <v>12</v>
      </c>
    </row>
    <row r="48" customFormat="false" ht="15" hidden="false" customHeight="false" outlineLevel="0" collapsed="false">
      <c r="A48" s="10" t="s">
        <v>1930</v>
      </c>
      <c r="B48" s="10" t="s">
        <v>1923</v>
      </c>
      <c r="C48" s="10" t="s">
        <v>1833</v>
      </c>
      <c r="D48" s="10" t="s">
        <v>1844</v>
      </c>
      <c r="E48" s="16" t="n">
        <f aca="false">IFERROR(AVERAGE(Cours_mensuels!D119:D130),"")</f>
        <v>3.84878883333333</v>
      </c>
      <c r="F48" s="34" t="n">
        <f aca="false">COUNT(Cours_mensuels!D119:D130)</f>
        <v>12</v>
      </c>
      <c r="G48" s="11" t="n">
        <v>12</v>
      </c>
    </row>
    <row r="49" customFormat="false" ht="15" hidden="false" customHeight="false" outlineLevel="0" collapsed="false">
      <c r="A49" s="10" t="s">
        <v>1931</v>
      </c>
      <c r="B49" s="10" t="s">
        <v>1923</v>
      </c>
      <c r="C49" s="10" t="s">
        <v>1845</v>
      </c>
      <c r="D49" s="10" t="s">
        <v>1856</v>
      </c>
      <c r="E49" s="16" t="n">
        <f aca="false">IFERROR(AVERAGE(Cours_mensuels!D131:D142),"")</f>
        <v>4.9776645</v>
      </c>
      <c r="F49" s="34" t="n">
        <f aca="false">COUNT(Cours_mensuels!D131:D142)</f>
        <v>12</v>
      </c>
      <c r="G49" s="11" t="n">
        <v>12</v>
      </c>
    </row>
    <row r="50" customFormat="false" ht="15" hidden="false" customHeight="false" outlineLevel="0" collapsed="false">
      <c r="A50" s="10" t="s">
        <v>1932</v>
      </c>
      <c r="B50" s="10" t="s">
        <v>1923</v>
      </c>
      <c r="C50" s="10" t="s">
        <v>1857</v>
      </c>
      <c r="D50" s="10" t="s">
        <v>1868</v>
      </c>
      <c r="E50" s="16" t="n">
        <f aca="false">IFERROR(AVERAGE(Cours_mensuels!D143:D153),"")</f>
        <v>4.08047099818182</v>
      </c>
      <c r="F50" s="34" t="n">
        <f aca="false">COUNT(Cours_mensuels!D143:D153)</f>
        <v>11</v>
      </c>
      <c r="G50" s="11" t="n">
        <v>11</v>
      </c>
    </row>
    <row r="51" customFormat="false" ht="15" hidden="false" customHeight="false" outlineLevel="0" collapsed="false">
      <c r="A51" s="10" t="s">
        <v>1933</v>
      </c>
      <c r="B51" s="10" t="s">
        <v>1923</v>
      </c>
      <c r="C51" s="10" t="s">
        <v>1867</v>
      </c>
      <c r="D51" s="10" t="s">
        <v>1867</v>
      </c>
      <c r="E51" s="16" t="n">
        <f aca="false">IFERROR(AVERAGE(Cours_mensuels!D152:D152),"")</f>
        <v>4.083617626</v>
      </c>
      <c r="F51" s="34" t="n">
        <f aca="false">COUNT(Cours_mensuels!D152:D152)</f>
        <v>1</v>
      </c>
      <c r="G51" s="11" t="n">
        <v>1</v>
      </c>
    </row>
    <row r="52" customFormat="false" ht="15" hidden="false" customHeight="false" outlineLevel="0" collapsed="false">
      <c r="A52" s="10" t="s">
        <v>1934</v>
      </c>
      <c r="B52" s="10" t="s">
        <v>1923</v>
      </c>
      <c r="C52" s="10" t="s">
        <v>1868</v>
      </c>
      <c r="D52" s="10" t="s">
        <v>1868</v>
      </c>
      <c r="E52" s="16" t="n">
        <f aca="false">IFERROR(AVERAGE(Cours_mensuels!D153:D153),"")</f>
        <v>3.982205106</v>
      </c>
      <c r="F52" s="34" t="n">
        <f aca="false">COUNT(Cours_mensuels!D153:D153)</f>
        <v>1</v>
      </c>
      <c r="G52" s="11" t="n">
        <v>1</v>
      </c>
    </row>
    <row r="53" customFormat="false" ht="15" hidden="false" customHeight="false" outlineLevel="0" collapsed="false">
      <c r="A53" s="10" t="s">
        <v>1935</v>
      </c>
      <c r="B53" s="10" t="s">
        <v>1936</v>
      </c>
      <c r="C53" s="10" t="s">
        <v>1847</v>
      </c>
      <c r="D53" s="10" t="s">
        <v>1847</v>
      </c>
      <c r="E53" s="16" t="n">
        <f aca="false">IFERROR(AVERAGE(Cours_mensuels!H133:H133),"")</f>
        <v>1.9937</v>
      </c>
      <c r="F53" s="34" t="n">
        <f aca="false">COUNT(Cours_mensuels!H133:H133)</f>
        <v>1</v>
      </c>
      <c r="G53" s="11" t="n">
        <v>1</v>
      </c>
    </row>
    <row r="54" customFormat="false" ht="15" hidden="false" customHeight="false" outlineLevel="0" collapsed="false">
      <c r="A54" s="10" t="s">
        <v>1937</v>
      </c>
      <c r="B54" s="10" t="s">
        <v>1936</v>
      </c>
      <c r="C54" s="10" t="s">
        <v>1850</v>
      </c>
      <c r="D54" s="10" t="s">
        <v>1850</v>
      </c>
      <c r="E54" s="16" t="n">
        <f aca="false">IFERROR(AVERAGE(Cours_mensuels!H136:H136),"")</f>
        <v>1.9816</v>
      </c>
      <c r="F54" s="34" t="n">
        <f aca="false">COUNT(Cours_mensuels!H136:H136)</f>
        <v>1</v>
      </c>
      <c r="G54" s="11" t="n">
        <v>1</v>
      </c>
    </row>
    <row r="55" customFormat="false" ht="15" hidden="false" customHeight="false" outlineLevel="0" collapsed="false">
      <c r="A55" s="10" t="s">
        <v>1938</v>
      </c>
      <c r="B55" s="10" t="s">
        <v>1936</v>
      </c>
      <c r="C55" s="10" t="s">
        <v>1851</v>
      </c>
      <c r="D55" s="10" t="s">
        <v>1851</v>
      </c>
      <c r="E55" s="16" t="n">
        <f aca="false">IFERROR(AVERAGE(Cours_mensuels!H137:H137),"")</f>
        <v>1.7065</v>
      </c>
      <c r="F55" s="34" t="n">
        <f aca="false">COUNT(Cours_mensuels!H137:H137)</f>
        <v>1</v>
      </c>
      <c r="G55" s="11" t="n">
        <v>1</v>
      </c>
    </row>
    <row r="56" customFormat="false" ht="15" hidden="false" customHeight="false" outlineLevel="0" collapsed="false">
      <c r="A56" s="10" t="s">
        <v>1939</v>
      </c>
      <c r="B56" s="10" t="s">
        <v>1936</v>
      </c>
      <c r="C56" s="10" t="s">
        <v>1859</v>
      </c>
      <c r="D56" s="10" t="s">
        <v>1859</v>
      </c>
      <c r="E56" s="16" t="n">
        <f aca="false">IFERROR(AVERAGE(Cours_mensuels!H145:H145),"")</f>
        <v>1.7401</v>
      </c>
      <c r="F56" s="34" t="n">
        <f aca="false">COUNT(Cours_mensuels!H145:H145)</f>
        <v>1</v>
      </c>
      <c r="G56" s="11" t="n">
        <v>1</v>
      </c>
    </row>
    <row r="57" customFormat="false" ht="15" hidden="false" customHeight="false" outlineLevel="0" collapsed="false">
      <c r="A57" s="10" t="s">
        <v>1940</v>
      </c>
      <c r="B57" s="10" t="s">
        <v>1936</v>
      </c>
      <c r="C57" s="10" t="s">
        <v>1860</v>
      </c>
      <c r="D57" s="10" t="s">
        <v>1860</v>
      </c>
      <c r="E57" s="16" t="n">
        <f aca="false">IFERROR(AVERAGE(Cours_mensuels!H146:H146),"")</f>
        <v>1.8431</v>
      </c>
      <c r="F57" s="34" t="n">
        <f aca="false">COUNT(Cours_mensuels!H146:H146)</f>
        <v>1</v>
      </c>
      <c r="G57" s="11" t="n">
        <v>1</v>
      </c>
    </row>
    <row r="58" customFormat="false" ht="15" hidden="false" customHeight="false" outlineLevel="0" collapsed="false">
      <c r="A58" s="10" t="s">
        <v>1941</v>
      </c>
      <c r="B58" s="10" t="s">
        <v>1936</v>
      </c>
      <c r="C58" s="10" t="s">
        <v>1863</v>
      </c>
      <c r="D58" s="10" t="s">
        <v>1863</v>
      </c>
      <c r="E58" s="16" t="n">
        <f aca="false">IFERROR(AVERAGE(Cours_mensuels!H148:H148),"")</f>
        <v>1.965</v>
      </c>
      <c r="F58" s="34" t="n">
        <f aca="false">COUNT(Cours_mensuels!H148:H148)</f>
        <v>1</v>
      </c>
      <c r="G58" s="1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8" min="3" style="0" width="11"/>
    <col collapsed="false" customWidth="true" hidden="false" outlineLevel="0" max="9" min="9" style="0" width="12"/>
    <col collapsed="false" customWidth="true" hidden="false" outlineLevel="0" max="11" min="10" style="0" width="11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10"/>
    <col collapsed="false" customWidth="true" hidden="false" outlineLevel="0" max="15" min="15" style="0" width="8"/>
    <col collapsed="false" customWidth="true" hidden="false" outlineLevel="0" max="16" min="16" style="0" width="10"/>
    <col collapsed="false" customWidth="true" hidden="false" outlineLevel="0" max="17" min="17" style="0" width="70"/>
  </cols>
  <sheetData>
    <row r="1" customFormat="false" ht="42" hidden="false" customHeight="true" outlineLevel="0" collapsed="false">
      <c r="A1" s="4" t="s">
        <v>1708</v>
      </c>
      <c r="B1" s="4" t="s">
        <v>1942</v>
      </c>
      <c r="C1" s="4" t="s">
        <v>1943</v>
      </c>
      <c r="D1" s="4" t="s">
        <v>1944</v>
      </c>
      <c r="E1" s="4" t="s">
        <v>1945</v>
      </c>
      <c r="F1" s="4" t="s">
        <v>1946</v>
      </c>
      <c r="G1" s="4" t="s">
        <v>1947</v>
      </c>
      <c r="H1" s="4" t="s">
        <v>1948</v>
      </c>
      <c r="I1" s="4" t="s">
        <v>1949</v>
      </c>
      <c r="J1" s="4" t="s">
        <v>1950</v>
      </c>
      <c r="K1" s="4" t="s">
        <v>1951</v>
      </c>
      <c r="L1" s="4" t="s">
        <v>1952</v>
      </c>
      <c r="M1" s="4" t="s">
        <v>1953</v>
      </c>
      <c r="N1" s="4" t="s">
        <v>1954</v>
      </c>
      <c r="O1" s="4" t="s">
        <v>1955</v>
      </c>
      <c r="P1" s="4" t="s">
        <v>1956</v>
      </c>
      <c r="Q1" s="4" t="s">
        <v>1957</v>
      </c>
    </row>
    <row r="2" customFormat="false" ht="15" hidden="false" customHeight="false" outlineLevel="0" collapsed="false">
      <c r="A2" s="10" t="s">
        <v>1715</v>
      </c>
      <c r="B2" s="36" t="n">
        <v>1.361023</v>
      </c>
      <c r="C2" s="37" t="n">
        <f aca="false">Parametres!$C$3/B2</f>
        <v>481.958791291551</v>
      </c>
      <c r="D2" s="14" t="n">
        <v>2.289</v>
      </c>
      <c r="E2" s="14" t="n">
        <v>2499.9039</v>
      </c>
      <c r="F2" s="14" t="n">
        <v>21036</v>
      </c>
      <c r="G2" s="14" t="n">
        <v>1602.94</v>
      </c>
      <c r="H2" s="14" t="n">
        <v>157.2916</v>
      </c>
      <c r="I2" s="14" t="n">
        <v>16471.9395</v>
      </c>
      <c r="J2" s="37" t="n">
        <f aca="false">I2/B2</f>
        <v>12102.616561219</v>
      </c>
      <c r="K2" s="14" t="n">
        <v>44.822</v>
      </c>
      <c r="L2" s="37" t="n">
        <f aca="false">K2/B2</f>
        <v>32.9325808601324</v>
      </c>
      <c r="M2" s="14" t="n">
        <v>4.5005</v>
      </c>
      <c r="N2" s="37" t="n">
        <f aca="false">M2/B2</f>
        <v>3.30670385438012</v>
      </c>
      <c r="O2" s="11" t="n">
        <v>1</v>
      </c>
      <c r="P2" s="37" t="n">
        <f aca="false">C2</f>
        <v>481.958791291551</v>
      </c>
    </row>
    <row r="3" customFormat="false" ht="15" hidden="false" customHeight="false" outlineLevel="0" collapsed="false">
      <c r="A3" s="10" t="s">
        <v>1717</v>
      </c>
      <c r="B3" s="36" t="n">
        <v>1.36585</v>
      </c>
      <c r="C3" s="37" t="n">
        <f aca="false">Parametres!$C$3/B3</f>
        <v>480.255518541568</v>
      </c>
      <c r="D3" s="14" t="n">
        <v>2.4414</v>
      </c>
      <c r="E3" s="14" t="n">
        <v>2471.9618</v>
      </c>
      <c r="F3" s="14" t="n">
        <v>21036</v>
      </c>
      <c r="G3" s="14" t="n">
        <v>1617.77</v>
      </c>
      <c r="H3" s="14" t="n">
        <v>157.3075</v>
      </c>
      <c r="I3" s="14" t="n">
        <v>16270.183</v>
      </c>
      <c r="J3" s="37" t="n">
        <f aca="false">I3/B3</f>
        <v>11912.1301753487</v>
      </c>
      <c r="K3" s="14" t="n">
        <v>44.5675</v>
      </c>
      <c r="L3" s="37" t="n">
        <f aca="false">K3/B3</f>
        <v>32.6298641871362</v>
      </c>
      <c r="M3" s="14" t="n">
        <v>4.5194</v>
      </c>
      <c r="N3" s="37" t="n">
        <f aca="false">M3/B3</f>
        <v>3.30885529157667</v>
      </c>
      <c r="O3" s="11" t="n">
        <v>1</v>
      </c>
      <c r="P3" s="37" t="n">
        <f aca="false">C3</f>
        <v>480.255518541568</v>
      </c>
    </row>
    <row r="4" customFormat="false" ht="15" hidden="false" customHeight="false" outlineLevel="0" collapsed="false">
      <c r="A4" s="10" t="s">
        <v>1718</v>
      </c>
      <c r="B4" s="36" t="n">
        <v>1.382252</v>
      </c>
      <c r="C4" s="37" t="n">
        <f aca="false">Parametres!$C$3/B4</f>
        <v>474.556737845198</v>
      </c>
      <c r="D4" s="14" t="n">
        <v>2.5828</v>
      </c>
      <c r="E4" s="14" t="n">
        <v>2534.2157</v>
      </c>
      <c r="F4" s="14" t="n">
        <v>21036</v>
      </c>
      <c r="G4" s="14" t="n">
        <v>1626.38</v>
      </c>
      <c r="H4" s="14" t="n">
        <v>157.3008</v>
      </c>
      <c r="I4" s="14" t="n">
        <v>15785.8905</v>
      </c>
      <c r="J4" s="37" t="n">
        <f aca="false">I4/B4</f>
        <v>11420.4142949332</v>
      </c>
      <c r="K4" s="14" t="n">
        <v>44.7647</v>
      </c>
      <c r="L4" s="37" t="n">
        <f aca="false">K4/B4</f>
        <v>32.3853392869028</v>
      </c>
      <c r="M4" s="14" t="n">
        <v>4.5361</v>
      </c>
      <c r="N4" s="37" t="n">
        <f aca="false">M4/B4</f>
        <v>3.28167367455428</v>
      </c>
      <c r="O4" s="11" t="n">
        <v>1</v>
      </c>
      <c r="P4" s="37" t="n">
        <f aca="false">C4</f>
        <v>474.556737845198</v>
      </c>
    </row>
    <row r="5" customFormat="false" ht="15" hidden="false" customHeight="false" outlineLevel="0" collapsed="false">
      <c r="A5" s="10" t="s">
        <v>1719</v>
      </c>
      <c r="B5" s="36" t="n">
        <v>1.38125</v>
      </c>
      <c r="C5" s="37" t="n">
        <f aca="false">Parametres!$C$3/B5</f>
        <v>474.900995475113</v>
      </c>
      <c r="D5" s="14" t="n">
        <v>2.7399</v>
      </c>
      <c r="E5" s="14" t="n">
        <v>2529.787</v>
      </c>
      <c r="F5" s="14" t="n">
        <v>21036</v>
      </c>
      <c r="G5" s="14" t="n">
        <v>1629.27</v>
      </c>
      <c r="H5" s="14" t="n">
        <v>157.2918</v>
      </c>
      <c r="I5" s="14" t="n">
        <v>15801.6645</v>
      </c>
      <c r="J5" s="37" t="n">
        <f aca="false">I5/B5</f>
        <v>11440.1190950226</v>
      </c>
      <c r="K5" s="14" t="n">
        <v>44.6567</v>
      </c>
      <c r="L5" s="37" t="n">
        <f aca="false">K5/B5</f>
        <v>32.3306425339367</v>
      </c>
      <c r="M5" s="14" t="n">
        <v>4.4989</v>
      </c>
      <c r="N5" s="37" t="n">
        <f aca="false">M5/B5</f>
        <v>3.2571221719457</v>
      </c>
      <c r="O5" s="11" t="n">
        <v>1</v>
      </c>
      <c r="P5" s="37" t="n">
        <f aca="false">C5</f>
        <v>474.900995475113</v>
      </c>
    </row>
    <row r="6" customFormat="false" ht="15" hidden="false" customHeight="false" outlineLevel="0" collapsed="false">
      <c r="A6" s="10" t="s">
        <v>1720</v>
      </c>
      <c r="B6" s="36" t="n">
        <v>1.373214</v>
      </c>
      <c r="C6" s="37" t="n">
        <f aca="false">Parametres!$C$3/B6</f>
        <v>477.680099387277</v>
      </c>
      <c r="D6" s="14" t="n">
        <v>2.8597</v>
      </c>
      <c r="E6" s="14" t="n">
        <v>2532.3859</v>
      </c>
      <c r="F6" s="14" t="n">
        <v>21036</v>
      </c>
      <c r="G6" s="14" t="n">
        <v>1639.16</v>
      </c>
      <c r="H6" s="14" t="n">
        <v>157.2873</v>
      </c>
      <c r="I6" s="14" t="n">
        <v>15830.1152</v>
      </c>
      <c r="J6" s="37" t="n">
        <f aca="false">I6/B6</f>
        <v>11527.7845987588</v>
      </c>
      <c r="K6" s="14" t="n">
        <v>44.6863</v>
      </c>
      <c r="L6" s="37" t="n">
        <f aca="false">K6/B6</f>
        <v>32.5413955872865</v>
      </c>
      <c r="M6" s="14" t="n">
        <v>4.4337</v>
      </c>
      <c r="N6" s="37" t="n">
        <f aca="false">M6/B6</f>
        <v>3.22870288243493</v>
      </c>
      <c r="O6" s="11" t="n">
        <v>1</v>
      </c>
      <c r="P6" s="37" t="n">
        <f aca="false">C6</f>
        <v>477.680099387277</v>
      </c>
    </row>
    <row r="7" customFormat="false" ht="15" hidden="false" customHeight="false" outlineLevel="0" collapsed="false">
      <c r="A7" s="10" t="s">
        <v>1721</v>
      </c>
      <c r="B7" s="36" t="n">
        <v>1.359238</v>
      </c>
      <c r="C7" s="37" t="n">
        <f aca="false">Parametres!$C$3/B7</f>
        <v>482.591716829577</v>
      </c>
      <c r="D7" s="14" t="n">
        <v>2.982</v>
      </c>
      <c r="E7" s="14" t="n">
        <v>2580.8623</v>
      </c>
      <c r="F7" s="14" t="n">
        <v>21120</v>
      </c>
      <c r="G7" s="14" t="n">
        <v>1650.97</v>
      </c>
      <c r="H7" s="14" t="n">
        <v>157.2873</v>
      </c>
      <c r="I7" s="14" t="n">
        <v>16167.8714</v>
      </c>
      <c r="J7" s="37" t="n">
        <f aca="false">I7/B7</f>
        <v>11894.8053247481</v>
      </c>
      <c r="K7" s="14" t="n">
        <v>44.1945</v>
      </c>
      <c r="L7" s="37" t="n">
        <f aca="false">K7/B7</f>
        <v>32.5141733824393</v>
      </c>
      <c r="M7" s="14" t="n">
        <v>4.376</v>
      </c>
      <c r="N7" s="37" t="n">
        <f aca="false">M7/B7</f>
        <v>3.21945089822386</v>
      </c>
      <c r="O7" s="11" t="n">
        <v>1</v>
      </c>
      <c r="P7" s="37" t="n">
        <f aca="false">C7</f>
        <v>482.591716829577</v>
      </c>
    </row>
    <row r="8" customFormat="false" ht="15" hidden="false" customHeight="false" outlineLevel="0" collapsed="false">
      <c r="A8" s="10" t="s">
        <v>1722</v>
      </c>
      <c r="B8" s="36" t="n">
        <v>1.353917</v>
      </c>
      <c r="C8" s="37" t="n">
        <f aca="false">Parametres!$C$3/B8</f>
        <v>484.488340127201</v>
      </c>
      <c r="D8" s="14" t="n">
        <v>3.025</v>
      </c>
      <c r="E8" s="14" t="n">
        <v>2633.5154</v>
      </c>
      <c r="F8" s="14" t="n">
        <v>21246</v>
      </c>
      <c r="G8" s="14" t="n">
        <v>1655.88</v>
      </c>
      <c r="H8" s="14" t="n">
        <v>157.2873</v>
      </c>
      <c r="I8" s="14" t="n">
        <v>15789.6548</v>
      </c>
      <c r="J8" s="37" t="n">
        <f aca="false">I8/B8</f>
        <v>11662.2029267673</v>
      </c>
      <c r="K8" s="14" t="n">
        <v>43.4703</v>
      </c>
      <c r="L8" s="37" t="n">
        <f aca="false">K8/B8</f>
        <v>32.1070641701079</v>
      </c>
      <c r="M8" s="14" t="n">
        <v>4.31</v>
      </c>
      <c r="N8" s="37" t="n">
        <f aca="false">M8/B8</f>
        <v>3.18335614369271</v>
      </c>
      <c r="O8" s="11" t="n">
        <v>1</v>
      </c>
      <c r="P8" s="37" t="n">
        <f aca="false">C8</f>
        <v>484.488340127201</v>
      </c>
    </row>
    <row r="9" customFormat="false" ht="15" hidden="false" customHeight="false" outlineLevel="0" collapsed="false">
      <c r="A9" s="10" t="s">
        <v>1723</v>
      </c>
      <c r="B9" s="36" t="n">
        <v>1.33161</v>
      </c>
      <c r="C9" s="37" t="n">
        <f aca="false">Parametres!$C$3/B9</f>
        <v>492.604441240303</v>
      </c>
      <c r="D9" s="14" t="n">
        <v>3.0599</v>
      </c>
      <c r="E9" s="14" t="n">
        <v>2612.5047</v>
      </c>
      <c r="F9" s="14" t="n">
        <v>21246</v>
      </c>
      <c r="G9" s="14" t="n">
        <v>1657.55</v>
      </c>
      <c r="H9" s="14" t="n">
        <v>157.2873</v>
      </c>
      <c r="I9" s="14" t="n">
        <v>15603.0967</v>
      </c>
      <c r="J9" s="37" t="n">
        <f aca="false">I9/B9</f>
        <v>11717.4673515519</v>
      </c>
      <c r="K9" s="14" t="n">
        <v>42.644</v>
      </c>
      <c r="L9" s="37" t="n">
        <f aca="false">K9/B9</f>
        <v>32.0243915260474</v>
      </c>
      <c r="M9" s="14" t="n">
        <v>4.231</v>
      </c>
      <c r="N9" s="37" t="n">
        <f aca="false">M9/B9</f>
        <v>3.17735673357815</v>
      </c>
      <c r="O9" s="11" t="n">
        <v>1</v>
      </c>
      <c r="P9" s="37" t="n">
        <f aca="false">C9</f>
        <v>492.604441240303</v>
      </c>
    </row>
    <row r="10" customFormat="false" ht="15" hidden="false" customHeight="false" outlineLevel="0" collapsed="false">
      <c r="A10" s="10" t="s">
        <v>1724</v>
      </c>
      <c r="B10" s="36" t="n">
        <v>1.290136</v>
      </c>
      <c r="C10" s="37" t="n">
        <f aca="false">Parametres!$C$3/B10</f>
        <v>508.440195452262</v>
      </c>
      <c r="D10" s="14" t="n">
        <v>3.1884</v>
      </c>
      <c r="E10" s="14" t="n">
        <v>2618.7962</v>
      </c>
      <c r="F10" s="14" t="n">
        <v>21246</v>
      </c>
      <c r="G10" s="14" t="n">
        <v>1661.69</v>
      </c>
      <c r="H10" s="14" t="n">
        <v>157.3006</v>
      </c>
      <c r="I10" s="14" t="n">
        <v>15362.8455</v>
      </c>
      <c r="J10" s="37" t="n">
        <f aca="false">I10/B10</f>
        <v>11907.9271487657</v>
      </c>
      <c r="K10" s="14" t="n">
        <v>41.5361</v>
      </c>
      <c r="L10" s="37" t="n">
        <f aca="false">K10/B10</f>
        <v>32.1951329162197</v>
      </c>
      <c r="M10" s="14" t="n">
        <v>4.1522</v>
      </c>
      <c r="N10" s="37" t="n">
        <f aca="false">M10/B10</f>
        <v>3.21842038358747</v>
      </c>
      <c r="O10" s="11" t="n">
        <v>1</v>
      </c>
      <c r="P10" s="37" t="n">
        <f aca="false">C10</f>
        <v>508.440195452262</v>
      </c>
    </row>
    <row r="11" customFormat="false" ht="15" hidden="false" customHeight="false" outlineLevel="0" collapsed="false">
      <c r="A11" s="10" t="s">
        <v>1725</v>
      </c>
      <c r="B11" s="36" t="n">
        <v>1.267274</v>
      </c>
      <c r="C11" s="37" t="n">
        <f aca="false">Parametres!$C$3/B11</f>
        <v>517.612607849605</v>
      </c>
      <c r="D11" s="14" t="n">
        <v>3.1964</v>
      </c>
      <c r="E11" s="14" t="n">
        <v>2680.5087</v>
      </c>
      <c r="F11" s="14" t="n">
        <v>21246</v>
      </c>
      <c r="G11" s="14" t="n">
        <v>1674.64</v>
      </c>
      <c r="H11" s="14" t="n">
        <v>157.3141</v>
      </c>
      <c r="I11" s="14" t="n">
        <v>15389.7952</v>
      </c>
      <c r="J11" s="37" t="n">
        <f aca="false">I11/B11</f>
        <v>12144.0155798983</v>
      </c>
      <c r="K11" s="14" t="n">
        <v>41.1387</v>
      </c>
      <c r="L11" s="37" t="n">
        <f aca="false">K11/B11</f>
        <v>32.4623562071028</v>
      </c>
      <c r="M11" s="14" t="n">
        <v>4.1436</v>
      </c>
      <c r="N11" s="37" t="n">
        <f aca="false">M11/B11</f>
        <v>3.26969542498307</v>
      </c>
      <c r="O11" s="11" t="n">
        <v>1</v>
      </c>
      <c r="P11" s="37" t="n">
        <f aca="false">C11</f>
        <v>517.612607849605</v>
      </c>
    </row>
    <row r="12" customFormat="false" ht="15" hidden="false" customHeight="false" outlineLevel="0" collapsed="false">
      <c r="A12" s="10" t="s">
        <v>1726</v>
      </c>
      <c r="B12" s="36" t="n">
        <v>1.24722</v>
      </c>
      <c r="C12" s="37" t="n">
        <f aca="false">Parametres!$C$3/B12</f>
        <v>525.93528006286</v>
      </c>
      <c r="D12" s="14" t="n">
        <v>3.197</v>
      </c>
      <c r="E12" s="14" t="n">
        <v>2734.2222</v>
      </c>
      <c r="F12" s="14" t="n">
        <v>21246</v>
      </c>
      <c r="G12" s="14" t="n">
        <v>1706.47</v>
      </c>
      <c r="H12" s="14" t="n">
        <v>159.9961</v>
      </c>
      <c r="I12" s="14" t="n">
        <v>15177.1515</v>
      </c>
      <c r="J12" s="37" t="n">
        <f aca="false">I12/B12</f>
        <v>12168.784576899</v>
      </c>
      <c r="K12" s="14" t="n">
        <v>40.908</v>
      </c>
      <c r="L12" s="37" t="n">
        <f aca="false">K12/B12</f>
        <v>32.7993457449367</v>
      </c>
      <c r="M12" s="14" t="n">
        <v>4.1747</v>
      </c>
      <c r="N12" s="37" t="n">
        <f aca="false">M12/B12</f>
        <v>3.34720418210099</v>
      </c>
      <c r="O12" s="11" t="n">
        <v>1</v>
      </c>
      <c r="P12" s="37" t="n">
        <f aca="false">C12</f>
        <v>525.93528006286</v>
      </c>
    </row>
    <row r="13" customFormat="false" ht="15" hidden="false" customHeight="false" outlineLevel="0" collapsed="false">
      <c r="A13" s="10" t="s">
        <v>1727</v>
      </c>
      <c r="B13" s="36" t="n">
        <v>1.233133</v>
      </c>
      <c r="C13" s="37" t="n">
        <f aca="false">Parametres!$C$3/B13</f>
        <v>531.943431892586</v>
      </c>
      <c r="D13" s="14" t="n">
        <v>3.1974</v>
      </c>
      <c r="E13" s="14" t="n">
        <v>2768.7948</v>
      </c>
      <c r="F13" s="14" t="n">
        <v>21246</v>
      </c>
      <c r="G13" s="14" t="n">
        <v>1716.05</v>
      </c>
      <c r="H13" s="14" t="n">
        <v>169.68</v>
      </c>
      <c r="I13" s="14" t="n">
        <v>15351.1924</v>
      </c>
      <c r="J13" s="37" t="n">
        <f aca="false">I13/B13</f>
        <v>12448.9348675285</v>
      </c>
      <c r="K13" s="14" t="n">
        <v>40.5639</v>
      </c>
      <c r="L13" s="37" t="n">
        <f aca="false">K13/B13</f>
        <v>32.8949918621917</v>
      </c>
      <c r="M13" s="14" t="n">
        <v>4.2903</v>
      </c>
      <c r="N13" s="37" t="n">
        <f aca="false">M13/B13</f>
        <v>3.47918675438902</v>
      </c>
      <c r="O13" s="11" t="n">
        <v>1</v>
      </c>
      <c r="P13" s="37" t="n">
        <f aca="false">C13</f>
        <v>531.943431892586</v>
      </c>
    </row>
    <row r="14" customFormat="false" ht="15" hidden="false" customHeight="false" outlineLevel="0" collapsed="false">
      <c r="A14" s="10" t="s">
        <v>1728</v>
      </c>
      <c r="B14" s="36" t="n">
        <v>1.162133</v>
      </c>
      <c r="C14" s="37" t="n">
        <f aca="false">Parametres!$C$3/B14</f>
        <v>564.442279842324</v>
      </c>
      <c r="D14" s="14" t="n">
        <v>3.2186</v>
      </c>
      <c r="E14" s="14" t="n">
        <v>2860.7117</v>
      </c>
      <c r="F14" s="14" t="n">
        <v>21436</v>
      </c>
      <c r="G14" s="14" t="n">
        <v>1739.2</v>
      </c>
      <c r="H14" s="14" t="n">
        <v>169.68</v>
      </c>
      <c r="I14" s="14" t="n">
        <v>14617.6943</v>
      </c>
      <c r="J14" s="37" t="n">
        <f aca="false">I14/B14</f>
        <v>12578.3316539501</v>
      </c>
      <c r="K14" s="14" t="n">
        <v>38.0557</v>
      </c>
      <c r="L14" s="37" t="n">
        <f aca="false">K14/B14</f>
        <v>32.7464240323612</v>
      </c>
      <c r="M14" s="14" t="n">
        <v>4.1648</v>
      </c>
      <c r="N14" s="37" t="n">
        <f aca="false">M14/B14</f>
        <v>3.58375504352772</v>
      </c>
      <c r="O14" s="11" t="n">
        <v>1</v>
      </c>
      <c r="P14" s="37" t="n">
        <f aca="false">C14</f>
        <v>564.442279842324</v>
      </c>
    </row>
    <row r="15" customFormat="false" ht="15" hidden="false" customHeight="false" outlineLevel="0" collapsed="false">
      <c r="A15" s="10" t="s">
        <v>1729</v>
      </c>
      <c r="B15" s="36" t="n">
        <v>1.134965</v>
      </c>
      <c r="C15" s="37" t="n">
        <f aca="false">Parametres!$C$3/B15</f>
        <v>577.953505174168</v>
      </c>
      <c r="D15" s="14" t="n">
        <v>3.3623</v>
      </c>
      <c r="E15" s="14" t="n">
        <v>2868.8475</v>
      </c>
      <c r="F15" s="14" t="n">
        <v>21458</v>
      </c>
      <c r="G15" s="14" t="n">
        <v>1759.63</v>
      </c>
      <c r="H15" s="14" t="n">
        <v>169.68</v>
      </c>
      <c r="I15" s="14" t="n">
        <v>14504.278</v>
      </c>
      <c r="J15" s="37" t="n">
        <f aca="false">I15/B15</f>
        <v>12779.4936407731</v>
      </c>
      <c r="K15" s="14" t="n">
        <v>36.9628</v>
      </c>
      <c r="L15" s="37" t="n">
        <f aca="false">K15/B15</f>
        <v>32.5673478917852</v>
      </c>
      <c r="M15" s="14" t="n">
        <v>4.0822</v>
      </c>
      <c r="N15" s="37" t="n">
        <f aca="false">M15/B15</f>
        <v>3.59676289577212</v>
      </c>
      <c r="O15" s="11" t="n">
        <v>1</v>
      </c>
      <c r="P15" s="37" t="n">
        <f aca="false">C15</f>
        <v>577.953505174168</v>
      </c>
    </row>
    <row r="16" customFormat="false" ht="15" hidden="false" customHeight="false" outlineLevel="0" collapsed="false">
      <c r="A16" s="10" t="s">
        <v>1730</v>
      </c>
      <c r="B16" s="36" t="n">
        <v>1.083768</v>
      </c>
      <c r="C16" s="37" t="n">
        <f aca="false">Parametres!$C$3/B16</f>
        <v>605.255921931631</v>
      </c>
      <c r="D16" s="14" t="n">
        <v>3.5909</v>
      </c>
      <c r="E16" s="14" t="n">
        <v>2951.7368</v>
      </c>
      <c r="F16" s="14" t="n">
        <v>21458</v>
      </c>
      <c r="G16" s="14" t="n">
        <v>1788.92</v>
      </c>
      <c r="H16" s="14" t="n">
        <v>197.0727</v>
      </c>
      <c r="I16" s="14" t="n">
        <v>14152.1632</v>
      </c>
      <c r="J16" s="37" t="n">
        <f aca="false">I16/B16</f>
        <v>13058.2958714411</v>
      </c>
      <c r="K16" s="14" t="n">
        <v>35.3547</v>
      </c>
      <c r="L16" s="37" t="n">
        <f aca="false">K16/B16</f>
        <v>32.6220187346369</v>
      </c>
      <c r="M16" s="14" t="n">
        <v>3.9889</v>
      </c>
      <c r="N16" s="37" t="n">
        <f aca="false">M16/B16</f>
        <v>3.68058477460121</v>
      </c>
      <c r="O16" s="11" t="n">
        <v>1</v>
      </c>
      <c r="P16" s="37" t="n">
        <f aca="false">C16</f>
        <v>605.255921931631</v>
      </c>
    </row>
    <row r="17" customFormat="false" ht="15" hidden="false" customHeight="false" outlineLevel="0" collapsed="false">
      <c r="A17" s="10" t="s">
        <v>1731</v>
      </c>
      <c r="B17" s="36" t="n">
        <v>1.07793</v>
      </c>
      <c r="C17" s="37" t="n">
        <f aca="false">Parametres!$C$3/B17</f>
        <v>608.533949328806</v>
      </c>
      <c r="D17" s="14" t="n">
        <v>3.8122</v>
      </c>
      <c r="E17" s="14" t="n">
        <v>2995.578</v>
      </c>
      <c r="F17" s="14" t="n">
        <v>21458</v>
      </c>
      <c r="G17" s="14" t="n">
        <v>1805.61</v>
      </c>
      <c r="H17" s="14" t="n">
        <v>197</v>
      </c>
      <c r="I17" s="14" t="n">
        <v>13950.4915</v>
      </c>
      <c r="J17" s="37" t="n">
        <f aca="false">I17/B17</f>
        <v>12941.9271195718</v>
      </c>
      <c r="K17" s="14" t="n">
        <v>35.0724</v>
      </c>
      <c r="L17" s="37" t="n">
        <f aca="false">K17/B17</f>
        <v>32.5368066572041</v>
      </c>
      <c r="M17" s="14" t="n">
        <v>3.9118</v>
      </c>
      <c r="N17" s="37" t="n">
        <f aca="false">M17/B17</f>
        <v>3.62899260619892</v>
      </c>
      <c r="O17" s="11" t="n">
        <v>1</v>
      </c>
      <c r="P17" s="37" t="n">
        <f aca="false">C17</f>
        <v>608.533949328806</v>
      </c>
    </row>
    <row r="18" customFormat="false" ht="15" hidden="false" customHeight="false" outlineLevel="0" collapsed="false">
      <c r="A18" s="10" t="s">
        <v>1732</v>
      </c>
      <c r="B18" s="36" t="n">
        <v>1.114955</v>
      </c>
      <c r="C18" s="37" t="n">
        <f aca="false">Parametres!$C$3/B18</f>
        <v>588.325986250566</v>
      </c>
      <c r="D18" s="14" t="n">
        <v>3.8932</v>
      </c>
      <c r="E18" s="14" t="n">
        <v>3007.603</v>
      </c>
      <c r="F18" s="14" t="n">
        <v>21673</v>
      </c>
      <c r="G18" s="14" t="n">
        <v>1946.47</v>
      </c>
      <c r="H18" s="14" t="n">
        <v>197</v>
      </c>
      <c r="I18" s="14" t="n">
        <v>14650.3625</v>
      </c>
      <c r="J18" s="37" t="n">
        <f aca="false">I18/B18</f>
        <v>13139.8688736317</v>
      </c>
      <c r="K18" s="14" t="n">
        <v>37.4081</v>
      </c>
      <c r="L18" s="37" t="n">
        <f aca="false">K18/B18</f>
        <v>33.5512195559462</v>
      </c>
      <c r="M18" s="14" t="n">
        <v>4.0191</v>
      </c>
      <c r="N18" s="37" t="n">
        <f aca="false">M18/B18</f>
        <v>3.60471947298321</v>
      </c>
      <c r="O18" s="11" t="n">
        <v>1</v>
      </c>
      <c r="P18" s="37" t="n">
        <f aca="false">C18</f>
        <v>588.325986250566</v>
      </c>
    </row>
    <row r="19" customFormat="false" ht="15" hidden="false" customHeight="false" outlineLevel="0" collapsed="false">
      <c r="A19" s="10" t="s">
        <v>1733</v>
      </c>
      <c r="B19" s="36" t="n">
        <v>1.121323</v>
      </c>
      <c r="C19" s="37" t="n">
        <f aca="false">Parametres!$C$3/B19</f>
        <v>584.984879468271</v>
      </c>
      <c r="D19" s="14" t="n">
        <v>4.1842</v>
      </c>
      <c r="E19" s="14" t="n">
        <v>3199.9028</v>
      </c>
      <c r="F19" s="14" t="n">
        <v>21673</v>
      </c>
      <c r="G19" s="14" t="n">
        <v>2060.21</v>
      </c>
      <c r="H19" s="14" t="n">
        <v>196.9159</v>
      </c>
      <c r="I19" s="14" t="n">
        <v>14919.4268</v>
      </c>
      <c r="J19" s="37" t="n">
        <f aca="false">I19/B19</f>
        <v>13305.2000181928</v>
      </c>
      <c r="K19" s="14" t="n">
        <v>37.8177</v>
      </c>
      <c r="L19" s="37" t="n">
        <f aca="false">K19/B19</f>
        <v>33.7259647755375</v>
      </c>
      <c r="M19" s="14" t="n">
        <v>4.1949</v>
      </c>
      <c r="N19" s="37" t="n">
        <f aca="false">M19/B19</f>
        <v>3.74102734002602</v>
      </c>
      <c r="O19" s="11" t="n">
        <v>1</v>
      </c>
      <c r="P19" s="37" t="n">
        <f aca="false">C19</f>
        <v>584.984879468271</v>
      </c>
    </row>
    <row r="20" customFormat="false" ht="15" hidden="false" customHeight="false" outlineLevel="0" collapsed="false">
      <c r="A20" s="10" t="s">
        <v>1734</v>
      </c>
      <c r="B20" s="36" t="n">
        <v>1.099578</v>
      </c>
      <c r="C20" s="37" t="n">
        <f aca="false">Parametres!$C$3/B20</f>
        <v>596.553405033567</v>
      </c>
      <c r="D20" s="14" t="n">
        <v>3.5322</v>
      </c>
      <c r="E20" s="14" t="n">
        <v>3360.0941</v>
      </c>
      <c r="F20" s="14" t="n">
        <v>21764.81</v>
      </c>
      <c r="G20" s="14" t="n">
        <v>2075.32</v>
      </c>
      <c r="H20" s="14" t="n">
        <v>196.9714</v>
      </c>
      <c r="I20" s="14" t="n">
        <v>14720.403</v>
      </c>
      <c r="J20" s="37" t="n">
        <f aca="false">I20/B20</f>
        <v>13387.3204083749</v>
      </c>
      <c r="K20" s="14" t="n">
        <v>37.7603</v>
      </c>
      <c r="L20" s="37" t="n">
        <f aca="false">K20/B20</f>
        <v>34.3407198034155</v>
      </c>
      <c r="M20" s="14" t="n">
        <v>4.1824</v>
      </c>
      <c r="N20" s="37" t="n">
        <f aca="false">M20/B20</f>
        <v>3.80364103319637</v>
      </c>
      <c r="O20" s="11" t="n">
        <v>1</v>
      </c>
      <c r="P20" s="37" t="n">
        <f aca="false">C20</f>
        <v>596.553405033567</v>
      </c>
    </row>
    <row r="21" customFormat="false" ht="15" hidden="false" customHeight="false" outlineLevel="0" collapsed="false">
      <c r="A21" s="10" t="s">
        <v>1735</v>
      </c>
      <c r="B21" s="36" t="n">
        <v>1.113905</v>
      </c>
      <c r="C21" s="37" t="n">
        <f aca="false">Parametres!$C$3/B21</f>
        <v>588.880559832302</v>
      </c>
      <c r="D21" s="14" t="n">
        <v>3.8588</v>
      </c>
      <c r="E21" s="14" t="n">
        <v>3548.2512</v>
      </c>
      <c r="F21" s="14" t="n">
        <v>21890</v>
      </c>
      <c r="G21" s="14" t="n">
        <v>2107.19</v>
      </c>
      <c r="H21" s="14" t="n">
        <v>197</v>
      </c>
      <c r="I21" s="14" t="n">
        <v>15370.9181</v>
      </c>
      <c r="J21" s="37" t="n">
        <f aca="false">I21/B21</f>
        <v>13799.1283816843</v>
      </c>
      <c r="K21" s="14" t="n">
        <v>39.4654</v>
      </c>
      <c r="L21" s="37" t="n">
        <f aca="false">K21/B21</f>
        <v>35.4297718387116</v>
      </c>
      <c r="M21" s="14" t="n">
        <v>4.5297</v>
      </c>
      <c r="N21" s="37" t="n">
        <f aca="false">M21/B21</f>
        <v>4.06650477374642</v>
      </c>
      <c r="O21" s="11" t="n">
        <v>1</v>
      </c>
      <c r="P21" s="37" t="n">
        <f aca="false">C21</f>
        <v>588.880559832302</v>
      </c>
    </row>
    <row r="22" customFormat="false" ht="15" hidden="false" customHeight="false" outlineLevel="0" collapsed="false">
      <c r="A22" s="10" t="s">
        <v>1736</v>
      </c>
      <c r="B22" s="36" t="n">
        <v>1.122118</v>
      </c>
      <c r="C22" s="37" t="n">
        <f aca="false">Parametres!$C$3/B22</f>
        <v>584.570428421966</v>
      </c>
      <c r="D22" s="14" t="n">
        <v>3.775</v>
      </c>
      <c r="E22" s="14" t="n">
        <v>3667.5048</v>
      </c>
      <c r="F22" s="14" t="n">
        <v>21890</v>
      </c>
      <c r="G22" s="14" t="n">
        <v>2152.85</v>
      </c>
      <c r="H22" s="14" t="n">
        <v>196.9975</v>
      </c>
      <c r="I22" s="14" t="n">
        <v>16175.7573</v>
      </c>
      <c r="J22" s="37" t="n">
        <f aca="false">I22/B22</f>
        <v>14415.3799333047</v>
      </c>
      <c r="K22" s="14" t="n">
        <v>40.4262</v>
      </c>
      <c r="L22" s="37" t="n">
        <f aca="false">K22/B22</f>
        <v>36.0266923799458</v>
      </c>
      <c r="M22" s="14" t="n">
        <v>4.8286</v>
      </c>
      <c r="N22" s="37" t="n">
        <f aca="false">M22/B22</f>
        <v>4.3031125068843</v>
      </c>
      <c r="O22" s="11" t="n">
        <v>1</v>
      </c>
      <c r="P22" s="37" t="n">
        <f aca="false">C22</f>
        <v>584.570428421966</v>
      </c>
    </row>
    <row r="23" customFormat="false" ht="15" hidden="false" customHeight="false" outlineLevel="0" collapsed="false">
      <c r="A23" s="10" t="s">
        <v>1737</v>
      </c>
      <c r="B23" s="36" t="n">
        <v>1.123509</v>
      </c>
      <c r="C23" s="37" t="n">
        <f aca="false">Parametres!$C$3/B23</f>
        <v>583.846680355921</v>
      </c>
      <c r="D23" s="14" t="n">
        <v>3.764</v>
      </c>
      <c r="E23" s="14" t="n">
        <v>3636.0245</v>
      </c>
      <c r="F23" s="14" t="n">
        <v>21890</v>
      </c>
      <c r="G23" s="14" t="n">
        <v>2168.7</v>
      </c>
      <c r="H23" s="14" t="n">
        <v>196.9886</v>
      </c>
      <c r="I23" s="14" t="n">
        <v>15482.5459</v>
      </c>
      <c r="J23" s="37" t="n">
        <f aca="false">I23/B23</f>
        <v>13780.5268137594</v>
      </c>
      <c r="K23" s="14" t="n">
        <v>40.0922</v>
      </c>
      <c r="L23" s="37" t="n">
        <f aca="false">K23/B23</f>
        <v>35.6848053731657</v>
      </c>
      <c r="M23" s="14" t="n">
        <v>4.7818</v>
      </c>
      <c r="N23" s="37" t="n">
        <f aca="false">M23/B23</f>
        <v>4.25612967942402</v>
      </c>
      <c r="O23" s="11" t="n">
        <v>1</v>
      </c>
      <c r="P23" s="37" t="n">
        <f aca="false">C23</f>
        <v>583.846680355921</v>
      </c>
    </row>
    <row r="24" customFormat="false" ht="15" hidden="false" customHeight="false" outlineLevel="0" collapsed="false">
      <c r="A24" s="10" t="s">
        <v>1738</v>
      </c>
      <c r="B24" s="36" t="n">
        <v>1.0736</v>
      </c>
      <c r="C24" s="37" t="n">
        <f aca="false">Parametres!$C$3/B24</f>
        <v>610.988263785395</v>
      </c>
      <c r="D24" s="14" t="n">
        <v>3.7902</v>
      </c>
      <c r="E24" s="14" t="n">
        <v>3428.9981</v>
      </c>
      <c r="F24" s="14" t="n">
        <v>21890</v>
      </c>
      <c r="G24" s="14" t="n">
        <v>2148.34</v>
      </c>
      <c r="H24" s="14" t="n">
        <v>196.9914</v>
      </c>
      <c r="I24" s="14" t="n">
        <v>14685.989</v>
      </c>
      <c r="J24" s="37" t="n">
        <f aca="false">I24/B24</f>
        <v>13679.1998882265</v>
      </c>
      <c r="K24" s="14" t="n">
        <v>38.4316</v>
      </c>
      <c r="L24" s="37" t="n">
        <f aca="false">K24/B24</f>
        <v>35.7969448584203</v>
      </c>
      <c r="M24" s="14" t="n">
        <v>4.6328</v>
      </c>
      <c r="N24" s="37" t="n">
        <f aca="false">M24/B24</f>
        <v>4.31520119225037</v>
      </c>
      <c r="O24" s="11" t="n">
        <v>1</v>
      </c>
      <c r="P24" s="37" t="n">
        <f aca="false">C24</f>
        <v>610.988263785395</v>
      </c>
    </row>
    <row r="25" customFormat="false" ht="15" hidden="false" customHeight="false" outlineLevel="0" collapsed="false">
      <c r="A25" s="10" t="s">
        <v>1739</v>
      </c>
      <c r="B25" s="36" t="n">
        <v>1.087718</v>
      </c>
      <c r="C25" s="37" t="n">
        <f aca="false">Parametres!$C$3/B25</f>
        <v>603.057961714341</v>
      </c>
      <c r="D25" s="14" t="n">
        <v>3.7941</v>
      </c>
      <c r="E25" s="14" t="n">
        <v>3362.4926</v>
      </c>
      <c r="F25" s="14" t="n">
        <v>21890</v>
      </c>
      <c r="G25" s="14" t="n">
        <v>2144.25</v>
      </c>
      <c r="H25" s="14" t="n">
        <v>196.9865</v>
      </c>
      <c r="I25" s="14" t="n">
        <v>15087.4295</v>
      </c>
      <c r="J25" s="37" t="n">
        <f aca="false">I25/B25</f>
        <v>13870.7178698891</v>
      </c>
      <c r="K25" s="14" t="n">
        <v>39.1618</v>
      </c>
      <c r="L25" s="37" t="n">
        <f aca="false">K25/B25</f>
        <v>36.0036332946591</v>
      </c>
      <c r="M25" s="14" t="n">
        <v>4.6615</v>
      </c>
      <c r="N25" s="37" t="n">
        <f aca="false">M25/B25</f>
        <v>4.28557769568951</v>
      </c>
      <c r="O25" s="11" t="n">
        <v>1</v>
      </c>
      <c r="P25" s="37" t="n">
        <f aca="false">C25</f>
        <v>603.057961714341</v>
      </c>
    </row>
    <row r="26" customFormat="false" ht="15" hidden="false" customHeight="false" outlineLevel="0" collapsed="false">
      <c r="A26" s="10" t="s">
        <v>1740</v>
      </c>
      <c r="B26" s="36" t="n">
        <v>1.085965</v>
      </c>
      <c r="C26" s="37" t="n">
        <f aca="false">Parametres!$C$3/B26</f>
        <v>604.031437477267</v>
      </c>
      <c r="D26" s="14" t="n">
        <v>3.8076</v>
      </c>
      <c r="E26" s="14" t="n">
        <v>3451.2089</v>
      </c>
      <c r="F26" s="14" t="n">
        <v>21904.83</v>
      </c>
      <c r="G26" s="14" t="n">
        <v>2172.38</v>
      </c>
      <c r="H26" s="14" t="n">
        <v>197</v>
      </c>
      <c r="I26" s="14" t="n">
        <v>15069.7575</v>
      </c>
      <c r="J26" s="37" t="n">
        <f aca="false">I26/B26</f>
        <v>13876.8353492055</v>
      </c>
      <c r="K26" s="14" t="n">
        <v>39.2488</v>
      </c>
      <c r="L26" s="37" t="n">
        <f aca="false">K26/B26</f>
        <v>36.1418646088962</v>
      </c>
      <c r="M26" s="14" t="n">
        <v>4.7162</v>
      </c>
      <c r="N26" s="37" t="n">
        <f aca="false">M26/B26</f>
        <v>4.34286556196563</v>
      </c>
      <c r="O26" s="11" t="n">
        <v>1</v>
      </c>
      <c r="P26" s="37" t="n">
        <f aca="false">C26</f>
        <v>604.031437477267</v>
      </c>
    </row>
    <row r="27" customFormat="false" ht="15" hidden="false" customHeight="false" outlineLevel="0" collapsed="false">
      <c r="A27" s="10" t="s">
        <v>1741</v>
      </c>
      <c r="B27" s="36" t="n">
        <v>1.109295</v>
      </c>
      <c r="C27" s="37" t="n">
        <f aca="false">Parametres!$C$3/B27</f>
        <v>591.327825330503</v>
      </c>
      <c r="D27" s="14" t="n">
        <v>3.8719</v>
      </c>
      <c r="E27" s="14" t="n">
        <v>3435.114</v>
      </c>
      <c r="F27" s="14" t="n">
        <v>21888.81</v>
      </c>
      <c r="G27" s="14" t="n">
        <v>2177.83</v>
      </c>
      <c r="H27" s="14" t="n">
        <v>197</v>
      </c>
      <c r="I27" s="14" t="n">
        <v>14985.3324</v>
      </c>
      <c r="J27" s="37" t="n">
        <f aca="false">I27/B27</f>
        <v>13508.8794234176</v>
      </c>
      <c r="K27" s="14" t="n">
        <v>39.5072</v>
      </c>
      <c r="L27" s="37" t="n">
        <f aca="false">K27/B27</f>
        <v>35.6146922144245</v>
      </c>
      <c r="M27" s="14" t="n">
        <v>4.6411</v>
      </c>
      <c r="N27" s="37" t="n">
        <f aca="false">M27/B27</f>
        <v>4.18382846763034</v>
      </c>
      <c r="O27" s="11" t="n">
        <v>1</v>
      </c>
      <c r="P27" s="37" t="n">
        <f aca="false">C27</f>
        <v>591.327825330503</v>
      </c>
    </row>
    <row r="28" customFormat="false" ht="15" hidden="false" customHeight="false" outlineLevel="0" collapsed="false">
      <c r="A28" s="10" t="s">
        <v>1742</v>
      </c>
      <c r="B28" s="36" t="n">
        <v>1.109967</v>
      </c>
      <c r="C28" s="37" t="n">
        <f aca="false">Parametres!$C$3/B28</f>
        <v>590.969821625328</v>
      </c>
      <c r="D28" s="14" t="n">
        <v>3.851</v>
      </c>
      <c r="E28" s="14" t="n">
        <v>3365.4969</v>
      </c>
      <c r="F28" s="14" t="n">
        <v>21874.78</v>
      </c>
      <c r="G28" s="14" t="n">
        <v>2179.16</v>
      </c>
      <c r="H28" s="14" t="n">
        <v>197</v>
      </c>
      <c r="I28" s="14" t="n">
        <v>14629.5771</v>
      </c>
      <c r="J28" s="37" t="n">
        <f aca="false">I28/B28</f>
        <v>13180.1910327064</v>
      </c>
      <c r="K28" s="14" t="n">
        <v>39.0886</v>
      </c>
      <c r="L28" s="37" t="n">
        <f aca="false">K28/B28</f>
        <v>35.2160019171741</v>
      </c>
      <c r="M28" s="14" t="n">
        <v>4.5167</v>
      </c>
      <c r="N28" s="37" t="n">
        <f aca="false">M28/B28</f>
        <v>4.06922007591217</v>
      </c>
      <c r="O28" s="11" t="n">
        <v>1</v>
      </c>
      <c r="P28" s="37" t="n">
        <f aca="false">C28</f>
        <v>590.969821625328</v>
      </c>
    </row>
    <row r="29" customFormat="false" ht="15" hidden="false" customHeight="false" outlineLevel="0" collapsed="false">
      <c r="A29" s="10" t="s">
        <v>1743</v>
      </c>
      <c r="B29" s="36" t="n">
        <v>1.133919</v>
      </c>
      <c r="C29" s="37" t="n">
        <f aca="false">Parametres!$C$3/B29</f>
        <v>578.486646753428</v>
      </c>
      <c r="D29" s="14" t="n">
        <v>3.8202</v>
      </c>
      <c r="E29" s="14" t="n">
        <v>3343.5721</v>
      </c>
      <c r="F29" s="14" t="n">
        <v>21888.89</v>
      </c>
      <c r="G29" s="14" t="n">
        <v>2181.77</v>
      </c>
      <c r="H29" s="14" t="n">
        <v>197</v>
      </c>
      <c r="I29" s="14" t="n">
        <v>14932.2157</v>
      </c>
      <c r="J29" s="37" t="n">
        <f aca="false">I29/B29</f>
        <v>13168.6793324744</v>
      </c>
      <c r="K29" s="14" t="n">
        <v>39.7798</v>
      </c>
      <c r="L29" s="37" t="n">
        <f aca="false">K29/B29</f>
        <v>35.0816945478469</v>
      </c>
      <c r="M29" s="14" t="n">
        <v>4.4232</v>
      </c>
      <c r="N29" s="37" t="n">
        <f aca="false">M29/B29</f>
        <v>3.90080772965265</v>
      </c>
      <c r="O29" s="11" t="n">
        <v>1</v>
      </c>
      <c r="P29" s="37" t="n">
        <f aca="false">C29</f>
        <v>578.486646753428</v>
      </c>
    </row>
    <row r="30" customFormat="false" ht="15" hidden="false" customHeight="false" outlineLevel="0" collapsed="false">
      <c r="A30" s="10" t="s">
        <v>1744</v>
      </c>
      <c r="B30" s="36" t="n">
        <v>1.131109</v>
      </c>
      <c r="C30" s="37" t="n">
        <f aca="false">Parametres!$C$3/B30</f>
        <v>579.923773924529</v>
      </c>
      <c r="D30" s="14" t="n">
        <v>3.8125</v>
      </c>
      <c r="E30" s="14" t="n">
        <v>3348.9193</v>
      </c>
      <c r="F30" s="14" t="n">
        <v>21888.08</v>
      </c>
      <c r="G30" s="14" t="n">
        <v>2181.67</v>
      </c>
      <c r="H30" s="14" t="n">
        <v>197</v>
      </c>
      <c r="I30" s="14" t="n">
        <v>15188.8236</v>
      </c>
      <c r="J30" s="37" t="n">
        <f aca="false">I30/B30</f>
        <v>13428.2581077509</v>
      </c>
      <c r="K30" s="14" t="n">
        <v>40.0637</v>
      </c>
      <c r="L30" s="37" t="n">
        <f aca="false">K30/B30</f>
        <v>35.4198401745544</v>
      </c>
      <c r="M30" s="14" t="n">
        <v>4.5755</v>
      </c>
      <c r="N30" s="37" t="n">
        <f aca="false">M30/B30</f>
        <v>4.0451450744358</v>
      </c>
      <c r="O30" s="11" t="n">
        <v>1</v>
      </c>
      <c r="P30" s="37" t="n">
        <f aca="false">C30</f>
        <v>579.923773924529</v>
      </c>
    </row>
    <row r="31" customFormat="false" ht="15" hidden="false" customHeight="false" outlineLevel="0" collapsed="false">
      <c r="A31" s="10" t="s">
        <v>1745</v>
      </c>
      <c r="B31" s="36" t="n">
        <v>1.122891</v>
      </c>
      <c r="C31" s="37" t="n">
        <f aca="false">Parametres!$C$3/B31</f>
        <v>584.168009183438</v>
      </c>
      <c r="D31" s="14" t="n">
        <v>3.8824</v>
      </c>
      <c r="E31" s="14" t="n">
        <v>3367.9926</v>
      </c>
      <c r="F31" s="14" t="n">
        <v>21881.69</v>
      </c>
      <c r="G31" s="14" t="n">
        <v>2182.34</v>
      </c>
      <c r="H31" s="14" t="n">
        <v>231.7614</v>
      </c>
      <c r="I31" s="14" t="n">
        <v>14969.0336</v>
      </c>
      <c r="J31" s="37" t="n">
        <f aca="false">I31/B31</f>
        <v>13330.7984479348</v>
      </c>
      <c r="K31" s="14" t="n">
        <v>39.6238</v>
      </c>
      <c r="L31" s="37" t="n">
        <f aca="false">K31/B31</f>
        <v>35.2873074946722</v>
      </c>
      <c r="M31" s="14" t="n">
        <v>4.576</v>
      </c>
      <c r="N31" s="37" t="n">
        <f aca="false">M31/B31</f>
        <v>4.07519518813491</v>
      </c>
      <c r="O31" s="11" t="n">
        <v>1</v>
      </c>
      <c r="P31" s="37" t="n">
        <f aca="false">C31</f>
        <v>584.168009183438</v>
      </c>
    </row>
    <row r="32" customFormat="false" ht="15" hidden="false" customHeight="false" outlineLevel="0" collapsed="false">
      <c r="A32" s="10" t="s">
        <v>1746</v>
      </c>
      <c r="B32" s="36" t="n">
        <v>1.106852</v>
      </c>
      <c r="C32" s="37" t="n">
        <f aca="false">Parametres!$C$3/B32</f>
        <v>592.632980741779</v>
      </c>
      <c r="D32" s="14" t="n">
        <v>3.9392</v>
      </c>
      <c r="E32" s="14" t="n">
        <v>3379.2934</v>
      </c>
      <c r="F32" s="14" t="n">
        <v>21871.81</v>
      </c>
      <c r="G32" s="14" t="n">
        <v>2179.97</v>
      </c>
      <c r="H32" s="14" t="n">
        <v>294.5722</v>
      </c>
      <c r="I32" s="14" t="n">
        <v>14520.9119</v>
      </c>
      <c r="J32" s="37" t="n">
        <f aca="false">I32/B32</f>
        <v>13119.1088781517</v>
      </c>
      <c r="K32" s="14" t="n">
        <v>38.794</v>
      </c>
      <c r="L32" s="37" t="n">
        <f aca="false">K32/B32</f>
        <v>35.048949633736</v>
      </c>
      <c r="M32" s="14" t="n">
        <v>4.4471</v>
      </c>
      <c r="N32" s="37" t="n">
        <f aca="false">M32/B32</f>
        <v>4.01779099644758</v>
      </c>
      <c r="O32" s="11" t="n">
        <v>1</v>
      </c>
      <c r="P32" s="37" t="n">
        <f aca="false">C32</f>
        <v>592.632980741779</v>
      </c>
    </row>
    <row r="33" customFormat="false" ht="15" hidden="false" customHeight="false" outlineLevel="0" collapsed="false">
      <c r="A33" s="10" t="s">
        <v>1747</v>
      </c>
      <c r="B33" s="36" t="n">
        <v>1.121174</v>
      </c>
      <c r="C33" s="37" t="n">
        <f aca="false">Parametres!$C$3/B33</f>
        <v>585.062621858873</v>
      </c>
      <c r="D33" s="14" t="n">
        <v>3.945</v>
      </c>
      <c r="E33" s="14" t="n">
        <v>3373.535</v>
      </c>
      <c r="F33" s="14" t="n">
        <v>21860.85</v>
      </c>
      <c r="G33" s="14" t="n">
        <v>2177.89</v>
      </c>
      <c r="H33" s="14" t="n">
        <v>309.7304</v>
      </c>
      <c r="I33" s="14" t="n">
        <v>14757.3139</v>
      </c>
      <c r="J33" s="37" t="n">
        <f aca="false">I33/B33</f>
        <v>13162.3761343021</v>
      </c>
      <c r="K33" s="14" t="n">
        <v>38.9156</v>
      </c>
      <c r="L33" s="37" t="n">
        <f aca="false">K33/B33</f>
        <v>34.7096882375082</v>
      </c>
      <c r="M33" s="14" t="n">
        <v>4.5141</v>
      </c>
      <c r="N33" s="37" t="n">
        <f aca="false">M33/B33</f>
        <v>4.02622608087594</v>
      </c>
      <c r="O33" s="11" t="n">
        <v>1</v>
      </c>
      <c r="P33" s="37" t="n">
        <f aca="false">C33</f>
        <v>585.062621858873</v>
      </c>
    </row>
    <row r="34" customFormat="false" ht="15" hidden="false" customHeight="false" outlineLevel="0" collapsed="false">
      <c r="A34" s="10" t="s">
        <v>1748</v>
      </c>
      <c r="B34" s="36" t="n">
        <v>1.121209</v>
      </c>
      <c r="C34" s="37" t="n">
        <f aca="false">Parametres!$C$3/B34</f>
        <v>585.044358366727</v>
      </c>
      <c r="D34" s="14" t="n">
        <v>3.9563</v>
      </c>
      <c r="E34" s="14" t="n">
        <v>3381.4062</v>
      </c>
      <c r="F34" s="14" t="n">
        <v>21941.08</v>
      </c>
      <c r="G34" s="14" t="n">
        <v>2174.03</v>
      </c>
      <c r="H34" s="14" t="n">
        <v>305.23</v>
      </c>
      <c r="I34" s="14" t="n">
        <v>14697.5177</v>
      </c>
      <c r="J34" s="37" t="n">
        <f aca="false">I34/B34</f>
        <v>13108.6333591685</v>
      </c>
      <c r="K34" s="14" t="n">
        <v>38.9345</v>
      </c>
      <c r="L34" s="37" t="n">
        <f aca="false">K34/B34</f>
        <v>34.7254615330416</v>
      </c>
      <c r="M34" s="14" t="n">
        <v>4.6108</v>
      </c>
      <c r="N34" s="37" t="n">
        <f aca="false">M34/B34</f>
        <v>4.11234658301887</v>
      </c>
      <c r="O34" s="11" t="n">
        <v>1</v>
      </c>
      <c r="P34" s="37" t="n">
        <f aca="false">C34</f>
        <v>585.044358366727</v>
      </c>
    </row>
    <row r="35" customFormat="false" ht="15" hidden="false" customHeight="false" outlineLevel="0" collapsed="false">
      <c r="A35" s="10" t="s">
        <v>1749</v>
      </c>
      <c r="B35" s="36" t="n">
        <v>1.102605</v>
      </c>
      <c r="C35" s="37" t="n">
        <f aca="false">Parametres!$C$3/B35</f>
        <v>594.915676965006</v>
      </c>
      <c r="D35" s="14" t="n">
        <v>3.9665</v>
      </c>
      <c r="E35" s="14" t="n">
        <v>3435.8484</v>
      </c>
      <c r="F35" s="14" t="n">
        <v>22003</v>
      </c>
      <c r="G35" s="14" t="n">
        <v>2175.49</v>
      </c>
      <c r="H35" s="14" t="n">
        <v>305.21</v>
      </c>
      <c r="I35" s="14" t="n">
        <v>14361.0986</v>
      </c>
      <c r="J35" s="37" t="n">
        <f aca="false">I35/B35</f>
        <v>13024.6993256878</v>
      </c>
      <c r="K35" s="14" t="n">
        <v>38.666</v>
      </c>
      <c r="L35" s="37" t="n">
        <f aca="false">K35/B35</f>
        <v>35.0678620176763</v>
      </c>
      <c r="M35" s="14" t="n">
        <v>4.604</v>
      </c>
      <c r="N35" s="37" t="n">
        <f aca="false">M35/B35</f>
        <v>4.17556604586411</v>
      </c>
      <c r="O35" s="11" t="n">
        <v>1</v>
      </c>
      <c r="P35" s="37" t="n">
        <f aca="false">C35</f>
        <v>594.915676965006</v>
      </c>
    </row>
    <row r="36" customFormat="false" ht="15" hidden="false" customHeight="false" outlineLevel="0" collapsed="false">
      <c r="A36" s="10" t="s">
        <v>1750</v>
      </c>
      <c r="B36" s="36" t="n">
        <v>1.079895</v>
      </c>
      <c r="C36" s="37" t="n">
        <f aca="false">Parametres!$C$3/B36</f>
        <v>607.426647961144</v>
      </c>
      <c r="D36" s="14" t="n">
        <v>3.9715</v>
      </c>
      <c r="E36" s="14" t="n">
        <v>3560.6234</v>
      </c>
      <c r="F36" s="14" t="n">
        <v>22078</v>
      </c>
      <c r="G36" s="14" t="n">
        <v>2172.07</v>
      </c>
      <c r="H36" s="14" t="n">
        <v>305.18</v>
      </c>
      <c r="I36" s="14" t="n">
        <v>14398.1764</v>
      </c>
      <c r="J36" s="37" t="n">
        <f aca="false">I36/B36</f>
        <v>13332.9410729747</v>
      </c>
      <c r="K36" s="14" t="n">
        <v>38.155</v>
      </c>
      <c r="L36" s="37" t="n">
        <f aca="false">K36/B36</f>
        <v>35.3321387727511</v>
      </c>
      <c r="M36" s="14" t="n">
        <v>4.6843</v>
      </c>
      <c r="N36" s="37" t="n">
        <f aca="false">M36/B36</f>
        <v>4.33773653920057</v>
      </c>
      <c r="O36" s="11" t="n">
        <v>1</v>
      </c>
      <c r="P36" s="37" t="n">
        <f aca="false">C36</f>
        <v>607.426647961144</v>
      </c>
    </row>
    <row r="37" customFormat="false" ht="15" hidden="false" customHeight="false" outlineLevel="0" collapsed="false">
      <c r="A37" s="10" t="s">
        <v>1751</v>
      </c>
      <c r="B37" s="36" t="n">
        <v>1.05429</v>
      </c>
      <c r="C37" s="37" t="n">
        <f aca="false">Parametres!$C$3/B37</f>
        <v>622.178907131814</v>
      </c>
      <c r="D37" s="14" t="n">
        <v>4.0937</v>
      </c>
      <c r="E37" s="14" t="n">
        <v>3598.166</v>
      </c>
      <c r="F37" s="14" t="n">
        <v>22138.19</v>
      </c>
      <c r="G37" s="14" t="n">
        <v>2170.44</v>
      </c>
      <c r="H37" s="14" t="n">
        <v>305.22</v>
      </c>
      <c r="I37" s="14" t="n">
        <v>14135.7095</v>
      </c>
      <c r="J37" s="37" t="n">
        <f aca="false">I37/B37</f>
        <v>13407.8000360432</v>
      </c>
      <c r="K37" s="14" t="n">
        <v>37.7302</v>
      </c>
      <c r="L37" s="37" t="n">
        <f aca="false">K37/B37</f>
        <v>35.7873070976676</v>
      </c>
      <c r="M37" s="14" t="n">
        <v>4.7013</v>
      </c>
      <c r="N37" s="37" t="n">
        <f aca="false">M37/B37</f>
        <v>4.45920951540847</v>
      </c>
      <c r="O37" s="11" t="n">
        <v>1</v>
      </c>
      <c r="P37" s="37" t="n">
        <f aca="false">C37</f>
        <v>622.178907131814</v>
      </c>
    </row>
    <row r="38" customFormat="false" ht="15" hidden="false" customHeight="false" outlineLevel="0" collapsed="false">
      <c r="A38" s="10" t="s">
        <v>1752</v>
      </c>
      <c r="B38" s="36" t="n">
        <v>1.061441</v>
      </c>
      <c r="C38" s="37" t="n">
        <f aca="false">Parametres!$C$3/B38</f>
        <v>617.987245640596</v>
      </c>
      <c r="D38" s="14" t="n">
        <v>4.2355</v>
      </c>
      <c r="E38" s="14" t="n">
        <v>3609.4773</v>
      </c>
      <c r="F38" s="14" t="n">
        <v>22172.14</v>
      </c>
      <c r="G38" s="14" t="n">
        <v>2205.95</v>
      </c>
      <c r="H38" s="14" t="n">
        <v>305.2024</v>
      </c>
      <c r="I38" s="14" t="n">
        <v>14181.2505</v>
      </c>
      <c r="J38" s="37" t="n">
        <f aca="false">I38/B38</f>
        <v>13360.3756591275</v>
      </c>
      <c r="K38" s="14" t="n">
        <v>37.6448</v>
      </c>
      <c r="L38" s="37" t="n">
        <f aca="false">K38/B38</f>
        <v>35.4657489205712</v>
      </c>
      <c r="M38" s="14" t="n">
        <v>4.7318</v>
      </c>
      <c r="N38" s="37" t="n">
        <f aca="false">M38/B38</f>
        <v>4.45790204071635</v>
      </c>
      <c r="O38" s="11" t="n">
        <v>1</v>
      </c>
      <c r="P38" s="37" t="n">
        <f aca="false">C38</f>
        <v>617.987245640596</v>
      </c>
    </row>
    <row r="39" customFormat="false" ht="15" hidden="false" customHeight="false" outlineLevel="0" collapsed="false">
      <c r="A39" s="10" t="s">
        <v>1753</v>
      </c>
      <c r="B39" s="36" t="n">
        <v>1.064265</v>
      </c>
      <c r="C39" s="37" t="n">
        <f aca="false">Parametres!$C$3/B39</f>
        <v>616.34743226546</v>
      </c>
      <c r="D39" s="14" t="n">
        <v>4.373</v>
      </c>
      <c r="E39" s="14" t="n">
        <v>3585.3495</v>
      </c>
      <c r="F39" s="14" t="n">
        <v>22221.78</v>
      </c>
      <c r="G39" s="14" t="n">
        <v>2225.32</v>
      </c>
      <c r="H39" s="14" t="n">
        <v>305.3125</v>
      </c>
      <c r="I39" s="14" t="n">
        <v>14186.742</v>
      </c>
      <c r="J39" s="37" t="n">
        <f aca="false">I39/B39</f>
        <v>13330.0841425773</v>
      </c>
      <c r="K39" s="14" t="n">
        <v>37.2584</v>
      </c>
      <c r="L39" s="37" t="n">
        <f aca="false">K39/B39</f>
        <v>35.0085739923797</v>
      </c>
      <c r="M39" s="14" t="n">
        <v>4.7283</v>
      </c>
      <c r="N39" s="37" t="n">
        <f aca="false">M39/B39</f>
        <v>4.44278445687869</v>
      </c>
      <c r="O39" s="11" t="n">
        <v>1</v>
      </c>
      <c r="P39" s="37" t="n">
        <f aca="false">C39</f>
        <v>616.34743226546</v>
      </c>
    </row>
    <row r="40" customFormat="false" ht="15" hidden="false" customHeight="false" outlineLevel="0" collapsed="false">
      <c r="A40" s="10" t="s">
        <v>1754</v>
      </c>
      <c r="B40" s="36" t="n">
        <v>1.06847</v>
      </c>
      <c r="C40" s="37" t="n">
        <f aca="false">Parametres!$C$3/B40</f>
        <v>613.921775997454</v>
      </c>
      <c r="D40" s="14" t="n">
        <v>4.4842</v>
      </c>
      <c r="E40" s="14" t="n">
        <v>3599.0141</v>
      </c>
      <c r="F40" s="14" t="n">
        <v>22254.19</v>
      </c>
      <c r="G40" s="14" t="n">
        <v>2225.45</v>
      </c>
      <c r="H40" s="14" t="n">
        <v>306.4022</v>
      </c>
      <c r="I40" s="14" t="n">
        <v>14255.4565</v>
      </c>
      <c r="J40" s="37" t="n">
        <f aca="false">I40/B40</f>
        <v>13341.9342611398</v>
      </c>
      <c r="K40" s="14" t="n">
        <v>37.2597</v>
      </c>
      <c r="L40" s="37" t="n">
        <f aca="false">K40/B40</f>
        <v>34.8720132525948</v>
      </c>
      <c r="M40" s="14" t="n">
        <v>4.7413</v>
      </c>
      <c r="N40" s="37" t="n">
        <f aca="false">M40/B40</f>
        <v>4.43746665793143</v>
      </c>
      <c r="O40" s="11" t="n">
        <v>1</v>
      </c>
      <c r="P40" s="37" t="n">
        <f aca="false">C40</f>
        <v>613.921775997454</v>
      </c>
    </row>
    <row r="41" customFormat="false" ht="15" hidden="false" customHeight="false" outlineLevel="0" collapsed="false">
      <c r="A41" s="10" t="s">
        <v>1755</v>
      </c>
      <c r="B41" s="36" t="n">
        <v>1.072267</v>
      </c>
      <c r="C41" s="37" t="n">
        <f aca="false">Parametres!$C$3/B41</f>
        <v>611.747820272376</v>
      </c>
      <c r="D41" s="14" t="n">
        <v>4.1964</v>
      </c>
      <c r="E41" s="14" t="n">
        <v>3618.6972</v>
      </c>
      <c r="F41" s="14" t="n">
        <v>22324.57</v>
      </c>
      <c r="G41" s="14" t="n">
        <v>2226.07</v>
      </c>
      <c r="H41" s="14" t="n">
        <v>306.0528</v>
      </c>
      <c r="I41" s="14" t="n">
        <v>14265.9628</v>
      </c>
      <c r="J41" s="37" t="n">
        <f aca="false">I41/B41</f>
        <v>13304.4874084533</v>
      </c>
      <c r="K41" s="14" t="n">
        <v>36.9665</v>
      </c>
      <c r="L41" s="37" t="n">
        <f aca="false">K41/B41</f>
        <v>34.4750887605419</v>
      </c>
      <c r="M41" s="14" t="n">
        <v>4.7224</v>
      </c>
      <c r="N41" s="37" t="n">
        <f aca="false">M41/B41</f>
        <v>4.4041269571851</v>
      </c>
      <c r="O41" s="11" t="n">
        <v>1</v>
      </c>
      <c r="P41" s="37" t="n">
        <f aca="false">C41</f>
        <v>611.747820272376</v>
      </c>
    </row>
    <row r="42" customFormat="false" ht="15" hidden="false" customHeight="false" outlineLevel="0" collapsed="false">
      <c r="A42" s="10" t="s">
        <v>1756</v>
      </c>
      <c r="B42" s="36" t="n">
        <v>1.10575</v>
      </c>
      <c r="C42" s="37" t="n">
        <f aca="false">Parametres!$C$3/B42</f>
        <v>593.223603888763</v>
      </c>
      <c r="D42" s="14" t="n">
        <v>4.2376</v>
      </c>
      <c r="E42" s="14" t="n">
        <v>3623.6066</v>
      </c>
      <c r="F42" s="14" t="n">
        <v>22373.19</v>
      </c>
      <c r="G42" s="14" t="n">
        <v>2228.74</v>
      </c>
      <c r="H42" s="14" t="n">
        <v>305.5381</v>
      </c>
      <c r="I42" s="14" t="n">
        <v>14730.6</v>
      </c>
      <c r="J42" s="37" t="n">
        <f aca="false">I42/B42</f>
        <v>13321.8177707438</v>
      </c>
      <c r="K42" s="14" t="n">
        <v>38.1025</v>
      </c>
      <c r="L42" s="37" t="n">
        <f aca="false">K42/B42</f>
        <v>34.4585123219534</v>
      </c>
      <c r="M42" s="14" t="n">
        <v>4.7713</v>
      </c>
      <c r="N42" s="37" t="n">
        <f aca="false">M42/B42</f>
        <v>4.31498982591002</v>
      </c>
      <c r="O42" s="11" t="n">
        <v>1</v>
      </c>
      <c r="P42" s="37" t="n">
        <f aca="false">C42</f>
        <v>593.223603888763</v>
      </c>
    </row>
    <row r="43" customFormat="false" ht="15" hidden="false" customHeight="false" outlineLevel="0" collapsed="false">
      <c r="A43" s="10" t="s">
        <v>1757</v>
      </c>
      <c r="B43" s="36" t="n">
        <v>1.122945</v>
      </c>
      <c r="C43" s="37" t="n">
        <f aca="false">Parametres!$C$3/B43</f>
        <v>584.139917805413</v>
      </c>
      <c r="D43" s="14" t="n">
        <v>4.3322</v>
      </c>
      <c r="E43" s="14" t="n">
        <v>3591.0986</v>
      </c>
      <c r="F43" s="14" t="n">
        <v>22415.5</v>
      </c>
      <c r="G43" s="14" t="n">
        <v>2230.45</v>
      </c>
      <c r="H43" s="14" t="n">
        <v>305.715</v>
      </c>
      <c r="I43" s="14" t="n">
        <v>14940.1159</v>
      </c>
      <c r="J43" s="37" t="n">
        <f aca="false">I43/B43</f>
        <v>13304.4057367013</v>
      </c>
      <c r="K43" s="14" t="n">
        <v>38.181</v>
      </c>
      <c r="L43" s="37" t="n">
        <f aca="false">K43/B43</f>
        <v>34.0007747485407</v>
      </c>
      <c r="M43" s="14" t="n">
        <v>4.8045</v>
      </c>
      <c r="N43" s="37" t="n">
        <f aca="false">M43/B43</f>
        <v>4.27848202716963</v>
      </c>
      <c r="O43" s="11" t="n">
        <v>1</v>
      </c>
      <c r="P43" s="37" t="n">
        <f aca="false">C43</f>
        <v>584.139917805413</v>
      </c>
    </row>
    <row r="44" customFormat="false" ht="15" hidden="false" customHeight="false" outlineLevel="0" collapsed="false">
      <c r="A44" s="10" t="s">
        <v>1758</v>
      </c>
      <c r="B44" s="36" t="n">
        <v>1.151114</v>
      </c>
      <c r="C44" s="37" t="n">
        <f aca="false">Parametres!$C$3/B44</f>
        <v>569.845384557915</v>
      </c>
      <c r="D44" s="14" t="n">
        <v>4.3669</v>
      </c>
      <c r="E44" s="14" t="n">
        <v>3601.5305</v>
      </c>
      <c r="F44" s="14" t="n">
        <v>22438.71</v>
      </c>
      <c r="G44" s="14" t="n">
        <v>2231.3</v>
      </c>
      <c r="H44" s="14" t="n">
        <v>305.8619</v>
      </c>
      <c r="I44" s="14" t="n">
        <v>15363.8352</v>
      </c>
      <c r="J44" s="37" t="n">
        <f aca="false">I44/B44</f>
        <v>13346.9275849308</v>
      </c>
      <c r="K44" s="14" t="n">
        <v>38.8341</v>
      </c>
      <c r="L44" s="37" t="n">
        <f aca="false">K44/B44</f>
        <v>33.7361025927927</v>
      </c>
      <c r="M44" s="14" t="n">
        <v>4.9389</v>
      </c>
      <c r="N44" s="37" t="n">
        <f aca="false">M44/B44</f>
        <v>4.29053942528716</v>
      </c>
      <c r="O44" s="11" t="n">
        <v>1</v>
      </c>
      <c r="P44" s="37" t="n">
        <f aca="false">C44</f>
        <v>569.845384557915</v>
      </c>
    </row>
    <row r="45" customFormat="false" ht="15" hidden="false" customHeight="false" outlineLevel="0" collapsed="false">
      <c r="A45" s="10" t="s">
        <v>1759</v>
      </c>
      <c r="B45" s="36" t="n">
        <v>1.180674</v>
      </c>
      <c r="C45" s="37" t="n">
        <f aca="false">Parametres!$C$3/B45</f>
        <v>555.578423849428</v>
      </c>
      <c r="D45" s="14" t="n">
        <v>4.3873</v>
      </c>
      <c r="E45" s="14" t="n">
        <v>3606.0317</v>
      </c>
      <c r="F45" s="14" t="n">
        <v>22442.19</v>
      </c>
      <c r="G45" s="14" t="n">
        <v>2232.43</v>
      </c>
      <c r="H45" s="14" t="n">
        <v>305.6674</v>
      </c>
      <c r="I45" s="14" t="n">
        <v>15753.0891</v>
      </c>
      <c r="J45" s="37" t="n">
        <f aca="false">I45/B45</f>
        <v>13342.4544793906</v>
      </c>
      <c r="K45" s="14" t="n">
        <v>39.2671</v>
      </c>
      <c r="L45" s="37" t="n">
        <f aca="false">K45/B45</f>
        <v>33.2582067530919</v>
      </c>
      <c r="M45" s="14" t="n">
        <v>5.0579</v>
      </c>
      <c r="N45" s="37" t="n">
        <f aca="false">M45/B45</f>
        <v>4.28390902145724</v>
      </c>
      <c r="O45" s="11" t="n">
        <v>1</v>
      </c>
      <c r="P45" s="37" t="n">
        <f aca="false">C45</f>
        <v>555.578423849428</v>
      </c>
    </row>
    <row r="46" customFormat="false" ht="15" hidden="false" customHeight="false" outlineLevel="0" collapsed="false">
      <c r="A46" s="10" t="s">
        <v>1760</v>
      </c>
      <c r="B46" s="36" t="n">
        <v>1.191457</v>
      </c>
      <c r="C46" s="37" t="n">
        <f aca="false">Parametres!$C$3/B46</f>
        <v>550.550292624912</v>
      </c>
      <c r="D46" s="14" t="n">
        <v>4.4037</v>
      </c>
      <c r="E46" s="14" t="n">
        <v>3599.866</v>
      </c>
      <c r="F46" s="14" t="n">
        <v>22445.58</v>
      </c>
      <c r="G46" s="14" t="n">
        <v>2236.45</v>
      </c>
      <c r="H46" s="14" t="n">
        <v>305.8868</v>
      </c>
      <c r="I46" s="14" t="n">
        <v>15852.42</v>
      </c>
      <c r="J46" s="37" t="n">
        <f aca="false">I46/B46</f>
        <v>13305.0710180896</v>
      </c>
      <c r="K46" s="14" t="n">
        <v>39.4969</v>
      </c>
      <c r="L46" s="37" t="n">
        <f aca="false">K46/B46</f>
        <v>33.1500843085399</v>
      </c>
      <c r="M46" s="14" t="n">
        <v>5.0191</v>
      </c>
      <c r="N46" s="37" t="n">
        <f aca="false">M46/B46</f>
        <v>4.21257334507246</v>
      </c>
      <c r="O46" s="11" t="n">
        <v>1</v>
      </c>
      <c r="P46" s="37" t="n">
        <f aca="false">C46</f>
        <v>550.550292624912</v>
      </c>
    </row>
    <row r="47" customFormat="false" ht="15" hidden="false" customHeight="false" outlineLevel="0" collapsed="false">
      <c r="A47" s="10" t="s">
        <v>1761</v>
      </c>
      <c r="B47" s="36" t="n">
        <v>1.175586</v>
      </c>
      <c r="C47" s="37" t="n">
        <f aca="false">Parametres!$C$3/B47</f>
        <v>557.982997415757</v>
      </c>
      <c r="D47" s="14" t="n">
        <v>4.3813</v>
      </c>
      <c r="E47" s="14" t="n">
        <v>3637.9095</v>
      </c>
      <c r="F47" s="14" t="n">
        <v>22464.85</v>
      </c>
      <c r="G47" s="14" t="n">
        <v>2238.03</v>
      </c>
      <c r="H47" s="14" t="n">
        <v>305.6238</v>
      </c>
      <c r="I47" s="14" t="n">
        <v>15904.4223</v>
      </c>
      <c r="J47" s="37" t="n">
        <f aca="false">I47/B47</f>
        <v>13528.9313584884</v>
      </c>
      <c r="K47" s="14" t="n">
        <v>39.0691</v>
      </c>
      <c r="L47" s="37" t="n">
        <f aca="false">K47/B47</f>
        <v>33.233723436652</v>
      </c>
      <c r="M47" s="14" t="n">
        <v>4.9716</v>
      </c>
      <c r="N47" s="37" t="n">
        <f aca="false">M47/B47</f>
        <v>4.22903981503693</v>
      </c>
      <c r="O47" s="11" t="n">
        <v>1</v>
      </c>
      <c r="P47" s="37" t="n">
        <f aca="false">C47</f>
        <v>557.982997415757</v>
      </c>
    </row>
    <row r="48" customFormat="false" ht="15" hidden="false" customHeight="false" outlineLevel="0" collapsed="false">
      <c r="A48" s="10" t="s">
        <v>1762</v>
      </c>
      <c r="B48" s="36" t="n">
        <v>1.1738</v>
      </c>
      <c r="C48" s="37" t="n">
        <f aca="false">Parametres!$C$3/B48</f>
        <v>558.831998636906</v>
      </c>
      <c r="D48" s="14" t="n">
        <v>4.396</v>
      </c>
      <c r="E48" s="14" t="n">
        <v>3638.8508</v>
      </c>
      <c r="F48" s="14" t="n">
        <v>22451.04</v>
      </c>
      <c r="G48" s="14" t="n">
        <v>2234.92</v>
      </c>
      <c r="H48" s="14" t="n">
        <v>305.9045</v>
      </c>
      <c r="I48" s="14" t="n">
        <v>15875.6723</v>
      </c>
      <c r="J48" s="37" t="n">
        <f aca="false">I48/B48</f>
        <v>13525.0232577952</v>
      </c>
      <c r="K48" s="14" t="n">
        <v>38.6232</v>
      </c>
      <c r="L48" s="37" t="n">
        <f aca="false">K48/B48</f>
        <v>32.9044130175498</v>
      </c>
      <c r="M48" s="14" t="n">
        <v>4.8902</v>
      </c>
      <c r="N48" s="37" t="n">
        <f aca="false">M48/B48</f>
        <v>4.16612710853638</v>
      </c>
      <c r="O48" s="11" t="n">
        <v>1</v>
      </c>
      <c r="P48" s="37" t="n">
        <f aca="false">C48</f>
        <v>558.831998636906</v>
      </c>
    </row>
    <row r="49" customFormat="false" ht="15" hidden="false" customHeight="false" outlineLevel="0" collapsed="false">
      <c r="A49" s="10" t="s">
        <v>1763</v>
      </c>
      <c r="B49" s="36" t="n">
        <v>1.183621</v>
      </c>
      <c r="C49" s="37" t="n">
        <f aca="false">Parametres!$C$3/B49</f>
        <v>554.195135098144</v>
      </c>
      <c r="D49" s="14" t="n">
        <v>4.4123</v>
      </c>
      <c r="E49" s="14" t="n">
        <v>3623.2616</v>
      </c>
      <c r="F49" s="14" t="n">
        <v>22437.3</v>
      </c>
      <c r="G49" s="14" t="n">
        <v>2231.17</v>
      </c>
      <c r="H49" s="14" t="n">
        <v>306.3139</v>
      </c>
      <c r="I49" s="14" t="n">
        <v>16048.7868</v>
      </c>
      <c r="J49" s="37" t="n">
        <f aca="false">I49/B49</f>
        <v>13559.0588541433</v>
      </c>
      <c r="K49" s="14" t="n">
        <v>38.6391</v>
      </c>
      <c r="L49" s="37" t="n">
        <f aca="false">K49/B49</f>
        <v>32.6448246524859</v>
      </c>
      <c r="M49" s="14" t="n">
        <v>4.8238</v>
      </c>
      <c r="N49" s="37" t="n">
        <f aca="false">M49/B49</f>
        <v>4.07545996564779</v>
      </c>
      <c r="O49" s="11" t="n">
        <v>1</v>
      </c>
      <c r="P49" s="37" t="n">
        <f aca="false">C49</f>
        <v>554.195135098144</v>
      </c>
    </row>
    <row r="50" customFormat="false" ht="15" hidden="false" customHeight="false" outlineLevel="0" collapsed="false">
      <c r="A50" s="10" t="s">
        <v>1764</v>
      </c>
      <c r="B50" s="36" t="n">
        <v>1.21995</v>
      </c>
      <c r="C50" s="37" t="n">
        <f aca="false">Parametres!$C$3/B50</f>
        <v>537.691708676585</v>
      </c>
      <c r="D50" s="14" t="n">
        <v>4.4209</v>
      </c>
      <c r="E50" s="14" t="n">
        <v>3640.053</v>
      </c>
      <c r="F50" s="14" t="n">
        <v>22410.65</v>
      </c>
      <c r="G50" s="14" t="n">
        <v>2234.74</v>
      </c>
      <c r="H50" s="14" t="n">
        <v>305.7773</v>
      </c>
      <c r="I50" s="14" t="n">
        <v>16316.8077</v>
      </c>
      <c r="J50" s="37" t="n">
        <f aca="false">I50/B50</f>
        <v>13374.9806959302</v>
      </c>
      <c r="K50" s="14" t="n">
        <v>38.913</v>
      </c>
      <c r="L50" s="37" t="n">
        <f aca="false">K50/B50</f>
        <v>31.8972089020042</v>
      </c>
      <c r="M50" s="14" t="n">
        <v>4.8249</v>
      </c>
      <c r="N50" s="37" t="n">
        <f aca="false">M50/B50</f>
        <v>3.95499815566212</v>
      </c>
      <c r="O50" s="11" t="n">
        <v>1</v>
      </c>
      <c r="P50" s="37" t="n">
        <f aca="false">C50</f>
        <v>537.691708676585</v>
      </c>
    </row>
    <row r="51" customFormat="false" ht="15" hidden="false" customHeight="false" outlineLevel="0" collapsed="false">
      <c r="A51" s="10" t="s">
        <v>1765</v>
      </c>
      <c r="B51" s="36" t="n">
        <v>1.23478</v>
      </c>
      <c r="C51" s="37" t="n">
        <f aca="false">Parametres!$C$3/B51</f>
        <v>531.23390401529</v>
      </c>
      <c r="D51" s="14" t="n">
        <v>4.4195</v>
      </c>
      <c r="E51" s="14" t="n">
        <v>3637.5626</v>
      </c>
      <c r="F51" s="14" t="n">
        <v>22439.05</v>
      </c>
      <c r="G51" s="14" t="n">
        <v>2242.42</v>
      </c>
      <c r="H51" s="14" t="n">
        <v>305.895</v>
      </c>
      <c r="I51" s="14" t="n">
        <v>16793.7365</v>
      </c>
      <c r="J51" s="37" t="n">
        <f aca="false">I51/B51</f>
        <v>13600.5899836408</v>
      </c>
      <c r="K51" s="14" t="n">
        <v>38.888</v>
      </c>
      <c r="L51" s="37" t="n">
        <f aca="false">K51/B51</f>
        <v>31.4938693532451</v>
      </c>
      <c r="M51" s="14" t="n">
        <v>4.8318</v>
      </c>
      <c r="N51" s="37" t="n">
        <f aca="false">M51/B51</f>
        <v>3.91308573187126</v>
      </c>
      <c r="O51" s="11" t="n">
        <v>1</v>
      </c>
      <c r="P51" s="37" t="n">
        <f aca="false">C51</f>
        <v>531.23390401529</v>
      </c>
    </row>
    <row r="52" customFormat="false" ht="15" hidden="false" customHeight="false" outlineLevel="0" collapsed="false">
      <c r="A52" s="10" t="s">
        <v>1766</v>
      </c>
      <c r="B52" s="36" t="n">
        <v>1.233619</v>
      </c>
      <c r="C52" s="37" t="n">
        <f aca="false">Parametres!$C$3/B52</f>
        <v>531.733865966721</v>
      </c>
      <c r="D52" s="14" t="n">
        <v>4.4136</v>
      </c>
      <c r="E52" s="14" t="n">
        <v>3660.1179</v>
      </c>
      <c r="F52" s="14" t="n">
        <v>22454.44</v>
      </c>
      <c r="G52" s="14" t="n">
        <v>2246.57</v>
      </c>
      <c r="H52" s="14" t="n">
        <v>305.7429</v>
      </c>
      <c r="I52" s="14" t="n">
        <v>16973.1005</v>
      </c>
      <c r="J52" s="37" t="n">
        <f aca="false">I52/B52</f>
        <v>13758.7865459271</v>
      </c>
      <c r="K52" s="14" t="n">
        <v>38.5805</v>
      </c>
      <c r="L52" s="37" t="n">
        <f aca="false">K52/B52</f>
        <v>31.2742426956783</v>
      </c>
      <c r="M52" s="14" t="n">
        <v>4.8155</v>
      </c>
      <c r="N52" s="37" t="n">
        <f aca="false">M52/B52</f>
        <v>3.90355531164809</v>
      </c>
      <c r="O52" s="11" t="n">
        <v>1</v>
      </c>
      <c r="P52" s="37" t="n">
        <f aca="false">C52</f>
        <v>531.733865966721</v>
      </c>
    </row>
    <row r="53" customFormat="false" ht="15" hidden="false" customHeight="false" outlineLevel="0" collapsed="false">
      <c r="A53" s="10" t="s">
        <v>1767</v>
      </c>
      <c r="B53" s="36" t="n">
        <v>1.22763</v>
      </c>
      <c r="C53" s="37" t="n">
        <f aca="false">Parametres!$C$3/B53</f>
        <v>534.3279326833</v>
      </c>
      <c r="D53" s="14" t="n">
        <v>4.4053</v>
      </c>
      <c r="E53" s="14" t="n">
        <v>3697.2425</v>
      </c>
      <c r="F53" s="14" t="n">
        <v>22488</v>
      </c>
      <c r="G53" s="14" t="n">
        <v>2256.87</v>
      </c>
      <c r="H53" s="14" t="n">
        <v>305.61</v>
      </c>
      <c r="I53" s="14" t="n">
        <v>16959.007</v>
      </c>
      <c r="J53" s="37" t="n">
        <f aca="false">I53/B53</f>
        <v>13814.4286144848</v>
      </c>
      <c r="K53" s="14" t="n">
        <v>38.4515</v>
      </c>
      <c r="L53" s="37" t="n">
        <f aca="false">K53/B53</f>
        <v>31.3217337471388</v>
      </c>
      <c r="M53" s="14" t="n">
        <v>4.7734</v>
      </c>
      <c r="N53" s="37" t="n">
        <f aca="false">M53/B53</f>
        <v>3.88830510821665</v>
      </c>
      <c r="O53" s="11" t="n">
        <v>1</v>
      </c>
      <c r="P53" s="37" t="n">
        <f aca="false">C53</f>
        <v>534.3279326833</v>
      </c>
    </row>
    <row r="54" customFormat="false" ht="15" hidden="false" customHeight="false" outlineLevel="0" collapsed="false">
      <c r="A54" s="10" t="s">
        <v>1768</v>
      </c>
      <c r="B54" s="36" t="n">
        <v>1.181223</v>
      </c>
      <c r="C54" s="37" t="n">
        <f aca="false">Parametres!$C$3/B54</f>
        <v>555.320206260799</v>
      </c>
      <c r="D54" s="14" t="n">
        <v>4.4139</v>
      </c>
      <c r="E54" s="14" t="n">
        <v>3726.843</v>
      </c>
      <c r="F54" s="14" t="n">
        <v>22575.04</v>
      </c>
      <c r="G54" s="14" t="n">
        <v>2264.57</v>
      </c>
      <c r="H54" s="14" t="n">
        <v>305.8262</v>
      </c>
      <c r="I54" s="14" t="n">
        <v>16594.3891</v>
      </c>
      <c r="J54" s="37" t="n">
        <f aca="false">I54/B54</f>
        <v>14048.4811927976</v>
      </c>
      <c r="K54" s="14" t="n">
        <v>37.7813</v>
      </c>
      <c r="L54" s="37" t="n">
        <f aca="false">K54/B54</f>
        <v>31.9849003956069</v>
      </c>
      <c r="M54" s="14" t="n">
        <v>4.6891</v>
      </c>
      <c r="N54" s="37" t="n">
        <f aca="false">M54/B54</f>
        <v>3.96969920159022</v>
      </c>
      <c r="O54" s="11" t="n">
        <v>1</v>
      </c>
      <c r="P54" s="37" t="n">
        <f aca="false">C54</f>
        <v>555.320206260799</v>
      </c>
    </row>
    <row r="55" customFormat="false" ht="15" hidden="false" customHeight="false" outlineLevel="0" collapsed="false">
      <c r="A55" s="10" t="s">
        <v>1769</v>
      </c>
      <c r="B55" s="36" t="n">
        <v>1.167829</v>
      </c>
      <c r="C55" s="37" t="n">
        <f aca="false">Parametres!$C$3/B55</f>
        <v>561.689254163067</v>
      </c>
      <c r="D55" s="14" t="n">
        <v>4.4625</v>
      </c>
      <c r="E55" s="14" t="n">
        <v>3840.4767</v>
      </c>
      <c r="F55" s="14" t="n">
        <v>22597.31</v>
      </c>
      <c r="G55" s="14" t="n">
        <v>2264.97</v>
      </c>
      <c r="H55" s="14" t="n">
        <v>305.8711</v>
      </c>
      <c r="I55" s="14" t="n">
        <v>16393.3852</v>
      </c>
      <c r="J55" s="37" t="n">
        <f aca="false">I55/B55</f>
        <v>14037.4876801313</v>
      </c>
      <c r="K55" s="14" t="n">
        <v>37.9301</v>
      </c>
      <c r="L55" s="37" t="n">
        <f aca="false">K55/B55</f>
        <v>32.4791557668118</v>
      </c>
      <c r="M55" s="14" t="n">
        <v>4.6717</v>
      </c>
      <c r="N55" s="37" t="n">
        <f aca="false">M55/B55</f>
        <v>4.00032881526319</v>
      </c>
      <c r="O55" s="11" t="n">
        <v>1</v>
      </c>
      <c r="P55" s="37" t="n">
        <f aca="false">C55</f>
        <v>561.689254163067</v>
      </c>
    </row>
    <row r="56" customFormat="false" ht="15" hidden="false" customHeight="false" outlineLevel="0" collapsed="false">
      <c r="A56" s="10" t="s">
        <v>1770</v>
      </c>
      <c r="B56" s="36" t="n">
        <v>1.168573</v>
      </c>
      <c r="C56" s="37" t="n">
        <f aca="false">Parametres!$C$3/B56</f>
        <v>561.331641241069</v>
      </c>
      <c r="D56" s="14" t="n">
        <v>4.6474</v>
      </c>
      <c r="E56" s="14" t="n">
        <v>3760.4434</v>
      </c>
      <c r="F56" s="14" t="n">
        <v>22647.5</v>
      </c>
      <c r="G56" s="14" t="n">
        <v>2267.69</v>
      </c>
      <c r="H56" s="14" t="n">
        <v>305.8143</v>
      </c>
      <c r="I56" s="14" t="n">
        <v>16836.5527</v>
      </c>
      <c r="J56" s="37" t="n">
        <f aca="false">I56/B56</f>
        <v>14407.7885592085</v>
      </c>
      <c r="K56" s="14" t="n">
        <v>38.8936</v>
      </c>
      <c r="L56" s="37" t="n">
        <f aca="false">K56/B56</f>
        <v>33.2829870277681</v>
      </c>
      <c r="M56" s="14" t="n">
        <v>4.7327</v>
      </c>
      <c r="N56" s="37" t="n">
        <f aca="false">M56/B56</f>
        <v>4.04998232887462</v>
      </c>
      <c r="O56" s="11" t="n">
        <v>1</v>
      </c>
      <c r="P56" s="37" t="n">
        <f aca="false">C56</f>
        <v>561.331641241069</v>
      </c>
    </row>
    <row r="57" customFormat="false" ht="15" hidden="false" customHeight="false" outlineLevel="0" collapsed="false">
      <c r="A57" s="10" t="s">
        <v>1771</v>
      </c>
      <c r="B57" s="36" t="n">
        <v>1.154896</v>
      </c>
      <c r="C57" s="37" t="n">
        <f aca="false">Parametres!$C$3/B57</f>
        <v>567.979281251299</v>
      </c>
      <c r="D57" s="14" t="n">
        <v>4.7083</v>
      </c>
      <c r="E57" s="14" t="n">
        <v>3729.5325</v>
      </c>
      <c r="F57" s="14" t="n">
        <v>22679.26</v>
      </c>
      <c r="G57" s="14" t="n">
        <v>2273.69</v>
      </c>
      <c r="H57" s="14" t="n">
        <v>306.0571</v>
      </c>
      <c r="I57" s="14" t="n">
        <v>16822.687</v>
      </c>
      <c r="J57" s="37" t="n">
        <f aca="false">I57/B57</f>
        <v>14566.4085770494</v>
      </c>
      <c r="K57" s="14" t="n">
        <v>38.1457</v>
      </c>
      <c r="L57" s="37" t="n">
        <f aca="false">K57/B57</f>
        <v>33.0295541763068</v>
      </c>
      <c r="M57" s="14" t="n">
        <v>4.7277</v>
      </c>
      <c r="N57" s="37" t="n">
        <f aca="false">M57/B57</f>
        <v>4.09361535584157</v>
      </c>
      <c r="O57" s="11" t="n">
        <v>1</v>
      </c>
      <c r="P57" s="37" t="n">
        <f aca="false">C57</f>
        <v>567.979281251299</v>
      </c>
    </row>
    <row r="58" customFormat="false" ht="15" hidden="false" customHeight="false" outlineLevel="0" collapsed="false">
      <c r="A58" s="10" t="s">
        <v>1772</v>
      </c>
      <c r="B58" s="36" t="n">
        <v>1.16587</v>
      </c>
      <c r="C58" s="37" t="n">
        <f aca="false">Parametres!$C$3/B58</f>
        <v>562.633055143369</v>
      </c>
      <c r="D58" s="14" t="n">
        <v>4.7393</v>
      </c>
      <c r="E58" s="14" t="n">
        <v>3800.6794</v>
      </c>
      <c r="F58" s="14" t="n">
        <v>22699.88</v>
      </c>
      <c r="G58" s="14" t="n">
        <v>2276.09</v>
      </c>
      <c r="H58" s="14" t="n">
        <v>306.2725</v>
      </c>
      <c r="I58" s="14" t="n">
        <v>17338.4455</v>
      </c>
      <c r="J58" s="37" t="n">
        <f aca="false">I58/B58</f>
        <v>14871.6799471639</v>
      </c>
      <c r="K58" s="14" t="n">
        <v>38.013</v>
      </c>
      <c r="L58" s="37" t="n">
        <f aca="false">K58/B58</f>
        <v>32.6048358736394</v>
      </c>
      <c r="M58" s="14" t="n">
        <v>4.8265</v>
      </c>
      <c r="N58" s="37" t="n">
        <f aca="false">M58/B58</f>
        <v>4.13982691037594</v>
      </c>
      <c r="O58" s="11" t="n">
        <v>1</v>
      </c>
      <c r="P58" s="37" t="n">
        <f aca="false">C58</f>
        <v>562.633055143369</v>
      </c>
    </row>
    <row r="59" customFormat="false" ht="15" hidden="false" customHeight="false" outlineLevel="0" collapsed="false">
      <c r="A59" s="10" t="s">
        <v>1773</v>
      </c>
      <c r="B59" s="36" t="n">
        <v>1.148404</v>
      </c>
      <c r="C59" s="37" t="n">
        <f aca="false">Parametres!$C$3/B59</f>
        <v>571.190103831056</v>
      </c>
      <c r="D59" s="14" t="n">
        <v>4.7922</v>
      </c>
      <c r="E59" s="14" t="n">
        <v>3777.9777</v>
      </c>
      <c r="F59" s="14" t="n">
        <v>22719.81</v>
      </c>
      <c r="G59" s="14" t="n">
        <v>2278.5</v>
      </c>
      <c r="H59" s="14" t="n">
        <v>306.505</v>
      </c>
      <c r="I59" s="14" t="n">
        <v>17428.7348</v>
      </c>
      <c r="J59" s="37" t="n">
        <f aca="false">I59/B59</f>
        <v>15176.4838854619</v>
      </c>
      <c r="K59" s="14" t="n">
        <v>37.6519</v>
      </c>
      <c r="L59" s="37" t="n">
        <f aca="false">K59/B59</f>
        <v>32.786284269299</v>
      </c>
      <c r="M59" s="14" t="n">
        <v>4.7761</v>
      </c>
      <c r="N59" s="37" t="n">
        <f aca="false">M59/B59</f>
        <v>4.15890226784302</v>
      </c>
      <c r="O59" s="11" t="n">
        <v>1</v>
      </c>
      <c r="P59" s="37" t="n">
        <f aca="false">C59</f>
        <v>571.190103831056</v>
      </c>
    </row>
    <row r="60" customFormat="false" ht="15" hidden="false" customHeight="false" outlineLevel="0" collapsed="false">
      <c r="A60" s="10" t="s">
        <v>1774</v>
      </c>
      <c r="B60" s="36" t="n">
        <v>1.136686</v>
      </c>
      <c r="C60" s="37" t="n">
        <f aca="false">Parametres!$C$3/B60</f>
        <v>577.07845438406</v>
      </c>
      <c r="D60" s="14" t="n">
        <v>4.7911</v>
      </c>
      <c r="E60" s="14" t="n">
        <v>3739.7723</v>
      </c>
      <c r="F60" s="14" t="n">
        <v>22730.62</v>
      </c>
      <c r="G60" s="14" t="n">
        <v>2279.31</v>
      </c>
      <c r="H60" s="14" t="n">
        <v>306.7119</v>
      </c>
      <c r="I60" s="14" t="n">
        <v>16651.7127</v>
      </c>
      <c r="J60" s="37" t="n">
        <f aca="false">I60/B60</f>
        <v>14649.3514479812</v>
      </c>
      <c r="K60" s="14" t="n">
        <v>37.4697</v>
      </c>
      <c r="L60" s="37" t="n">
        <f aca="false">K60/B60</f>
        <v>32.9639847767985</v>
      </c>
      <c r="M60" s="14" t="n">
        <v>4.7548</v>
      </c>
      <c r="N60" s="37" t="n">
        <f aca="false">M60/B60</f>
        <v>4.18303735596286</v>
      </c>
      <c r="O60" s="11" t="n">
        <v>1</v>
      </c>
      <c r="P60" s="37" t="n">
        <f aca="false">C60</f>
        <v>577.07845438406</v>
      </c>
    </row>
    <row r="61" customFormat="false" ht="15" hidden="false" customHeight="false" outlineLevel="0" collapsed="false">
      <c r="A61" s="10" t="s">
        <v>1775</v>
      </c>
      <c r="B61" s="36" t="n">
        <v>1.138421</v>
      </c>
      <c r="C61" s="37" t="n">
        <f aca="false">Parametres!$C$3/B61</f>
        <v>576.198963300923</v>
      </c>
      <c r="D61" s="14" t="n">
        <v>4.8099</v>
      </c>
      <c r="E61" s="14" t="n">
        <v>3714.1268</v>
      </c>
      <c r="F61" s="14" t="n">
        <v>22783.04</v>
      </c>
      <c r="G61" s="14" t="n">
        <v>2279.96</v>
      </c>
      <c r="H61" s="14" t="n">
        <v>306.9211</v>
      </c>
      <c r="I61" s="14" t="n">
        <v>16512.15</v>
      </c>
      <c r="J61" s="37" t="n">
        <f aca="false">I61/B61</f>
        <v>14504.4320159238</v>
      </c>
      <c r="K61" s="14" t="n">
        <v>37.2385</v>
      </c>
      <c r="L61" s="37" t="n">
        <f aca="false">K61/B61</f>
        <v>32.7106580078899</v>
      </c>
      <c r="M61" s="14" t="n">
        <v>4.7459</v>
      </c>
      <c r="N61" s="37" t="n">
        <f aca="false">M61/B61</f>
        <v>4.16884439060769</v>
      </c>
      <c r="O61" s="11" t="n">
        <v>1</v>
      </c>
      <c r="P61" s="37" t="n">
        <f aca="false">C61</f>
        <v>576.198963300923</v>
      </c>
    </row>
    <row r="62" customFormat="false" ht="15" hidden="false" customHeight="false" outlineLevel="0" collapsed="false">
      <c r="A62" s="10" t="s">
        <v>1776</v>
      </c>
      <c r="B62" s="36" t="n">
        <v>1.141641</v>
      </c>
      <c r="C62" s="37" t="n">
        <f aca="false">Parametres!$C$3/B62</f>
        <v>574.573793337836</v>
      </c>
      <c r="D62" s="14" t="n">
        <v>4.8947</v>
      </c>
      <c r="E62" s="14" t="n">
        <v>3702.4341</v>
      </c>
      <c r="F62" s="14" t="n">
        <v>22850.7</v>
      </c>
      <c r="G62" s="14" t="n">
        <v>2282.37</v>
      </c>
      <c r="H62" s="14" t="n">
        <v>306.8455</v>
      </c>
      <c r="I62" s="14" t="n">
        <v>16164.77</v>
      </c>
      <c r="J62" s="37" t="n">
        <f aca="false">I62/B62</f>
        <v>14159.2409522783</v>
      </c>
      <c r="K62" s="14" t="n">
        <v>36.3183</v>
      </c>
      <c r="L62" s="37" t="n">
        <f aca="false">K62/B62</f>
        <v>31.8123648327276</v>
      </c>
      <c r="M62" s="14" t="n">
        <v>4.7001</v>
      </c>
      <c r="N62" s="37" t="n">
        <f aca="false">M62/B62</f>
        <v>4.11696846907215</v>
      </c>
      <c r="O62" s="11" t="n">
        <v>1</v>
      </c>
      <c r="P62" s="37" t="n">
        <f aca="false">C62</f>
        <v>574.573793337836</v>
      </c>
    </row>
    <row r="63" customFormat="false" ht="15" hidden="false" customHeight="false" outlineLevel="0" collapsed="false">
      <c r="A63" s="10" t="s">
        <v>1777</v>
      </c>
      <c r="B63" s="36" t="n">
        <v>1.135115</v>
      </c>
      <c r="C63" s="37" t="n">
        <f aca="false">Parametres!$C$3/B63</f>
        <v>577.877131391973</v>
      </c>
      <c r="D63" s="14" t="n">
        <v>5.0162</v>
      </c>
      <c r="E63" s="14" t="n">
        <v>3672.894</v>
      </c>
      <c r="F63" s="14" t="n">
        <v>22902.78</v>
      </c>
      <c r="G63" s="14" t="n">
        <v>2285.39</v>
      </c>
      <c r="H63" s="14" t="n">
        <v>306.7682</v>
      </c>
      <c r="I63" s="14" t="n">
        <v>15936.2205</v>
      </c>
      <c r="J63" s="37" t="n">
        <f aca="false">I63/B63</f>
        <v>14039.3004233051</v>
      </c>
      <c r="K63" s="14" t="n">
        <v>35.532</v>
      </c>
      <c r="L63" s="37" t="n">
        <f aca="false">K63/B63</f>
        <v>31.3025552477062</v>
      </c>
      <c r="M63" s="14" t="n">
        <v>4.6272</v>
      </c>
      <c r="N63" s="37" t="n">
        <f aca="false">M63/B63</f>
        <v>4.07641516498328</v>
      </c>
      <c r="O63" s="11" t="n">
        <v>1</v>
      </c>
      <c r="P63" s="37" t="n">
        <f aca="false">C63</f>
        <v>577.877131391973</v>
      </c>
    </row>
    <row r="64" customFormat="false" ht="15" hidden="false" customHeight="false" outlineLevel="0" collapsed="false">
      <c r="A64" s="10" t="s">
        <v>1778</v>
      </c>
      <c r="B64" s="36" t="n">
        <v>1.130248</v>
      </c>
      <c r="C64" s="37" t="n">
        <f aca="false">Parametres!$C$3/B64</f>
        <v>580.3655480921</v>
      </c>
      <c r="D64" s="14" t="n">
        <v>5.1797</v>
      </c>
      <c r="E64" s="14" t="n">
        <v>3706.1915</v>
      </c>
      <c r="F64" s="14" t="n">
        <v>22952.73</v>
      </c>
      <c r="G64" s="14" t="n">
        <v>2289.1</v>
      </c>
      <c r="H64" s="14" t="n">
        <v>306.9238</v>
      </c>
      <c r="I64" s="14" t="n">
        <v>16059.4957</v>
      </c>
      <c r="J64" s="37" t="n">
        <f aca="false">I64/B64</f>
        <v>14208.8247004197</v>
      </c>
      <c r="K64" s="14" t="n">
        <v>35.8687</v>
      </c>
      <c r="L64" s="37" t="n">
        <f aca="false">K64/B64</f>
        <v>31.7352474855076</v>
      </c>
      <c r="M64" s="14" t="n">
        <v>4.609</v>
      </c>
      <c r="N64" s="37" t="n">
        <f aca="false">M64/B64</f>
        <v>4.07786609664428</v>
      </c>
      <c r="O64" s="11" t="n">
        <v>1</v>
      </c>
      <c r="P64" s="37" t="n">
        <f aca="false">C64</f>
        <v>580.3655480921</v>
      </c>
    </row>
    <row r="65" customFormat="false" ht="15" hidden="false" customHeight="false" outlineLevel="0" collapsed="false">
      <c r="A65" s="10" t="s">
        <v>1779</v>
      </c>
      <c r="B65" s="36" t="n">
        <v>1.123825</v>
      </c>
      <c r="C65" s="37" t="n">
        <f aca="false">Parametres!$C$3/B65</f>
        <v>583.682512846751</v>
      </c>
      <c r="D65" s="14" t="n">
        <v>5.0865</v>
      </c>
      <c r="E65" s="14" t="n">
        <v>3736.9758</v>
      </c>
      <c r="F65" s="14" t="n">
        <v>22996.75</v>
      </c>
      <c r="G65" s="14" t="n">
        <v>2289.54</v>
      </c>
      <c r="H65" s="14" t="n">
        <v>306.9625</v>
      </c>
      <c r="I65" s="14" t="n">
        <v>15899.1825</v>
      </c>
      <c r="J65" s="37" t="n">
        <f aca="false">I65/B65</f>
        <v>14147.3828220586</v>
      </c>
      <c r="K65" s="14" t="n">
        <v>35.8004</v>
      </c>
      <c r="L65" s="37" t="n">
        <f aca="false">K65/B65</f>
        <v>31.8558494427513</v>
      </c>
      <c r="M65" s="14" t="n">
        <v>4.6237</v>
      </c>
      <c r="N65" s="37" t="n">
        <f aca="false">M65/B65</f>
        <v>4.1142526638934</v>
      </c>
      <c r="O65" s="11" t="n">
        <v>1</v>
      </c>
      <c r="P65" s="37" t="n">
        <f aca="false">C65</f>
        <v>583.682512846751</v>
      </c>
    </row>
    <row r="66" customFormat="false" ht="15" hidden="false" customHeight="false" outlineLevel="0" collapsed="false">
      <c r="A66" s="10" t="s">
        <v>1780</v>
      </c>
      <c r="B66" s="36" t="n">
        <v>1.118459</v>
      </c>
      <c r="C66" s="37" t="n">
        <f aca="false">Parametres!$C$3/B66</f>
        <v>586.482830394319</v>
      </c>
      <c r="D66" s="14" t="n">
        <v>5.1083</v>
      </c>
      <c r="E66" s="14" t="n">
        <v>3765.6293</v>
      </c>
      <c r="F66" s="14" t="n">
        <v>23054.54</v>
      </c>
      <c r="G66" s="14" t="n">
        <v>2288.12</v>
      </c>
      <c r="H66" s="14" t="n">
        <v>306.95</v>
      </c>
      <c r="I66" s="14" t="n">
        <v>16095.4659</v>
      </c>
      <c r="J66" s="37" t="n">
        <f aca="false">I66/B66</f>
        <v>14390.7518290791</v>
      </c>
      <c r="K66" s="14" t="n">
        <v>35.5704</v>
      </c>
      <c r="L66" s="37" t="n">
        <f aca="false">K66/B66</f>
        <v>31.8030432943899</v>
      </c>
      <c r="M66" s="14" t="n">
        <v>4.6665</v>
      </c>
      <c r="N66" s="37" t="n">
        <f aca="false">M66/B66</f>
        <v>4.17225843772548</v>
      </c>
      <c r="O66" s="11" t="n">
        <v>1</v>
      </c>
      <c r="P66" s="37" t="n">
        <f aca="false">C66</f>
        <v>586.482830394319</v>
      </c>
    </row>
    <row r="67" customFormat="false" ht="15" hidden="false" customHeight="false" outlineLevel="0" collapsed="false">
      <c r="A67" s="10" t="s">
        <v>1781</v>
      </c>
      <c r="B67" s="36" t="n">
        <v>1.12934</v>
      </c>
      <c r="C67" s="37" t="n">
        <f aca="false">Parametres!$C$3/B67</f>
        <v>580.832167460641</v>
      </c>
      <c r="D67" s="14" t="n">
        <v>5.2402</v>
      </c>
      <c r="E67" s="14" t="n">
        <v>3728.9883</v>
      </c>
      <c r="F67" s="14" t="n">
        <v>23059.68</v>
      </c>
      <c r="G67" s="14" t="n">
        <v>2289.23</v>
      </c>
      <c r="H67" s="14" t="n">
        <v>306.9471</v>
      </c>
      <c r="I67" s="14" t="n">
        <v>16060.272</v>
      </c>
      <c r="J67" s="37" t="n">
        <f aca="false">I67/B67</f>
        <v>14220.9361219828</v>
      </c>
      <c r="K67" s="14" t="n">
        <v>35.1386</v>
      </c>
      <c r="L67" s="37" t="n">
        <f aca="false">K67/B67</f>
        <v>31.1142791364868</v>
      </c>
      <c r="M67" s="14" t="n">
        <v>4.6968</v>
      </c>
      <c r="N67" s="37" t="n">
        <f aca="false">M67/B67</f>
        <v>4.15888926275524</v>
      </c>
      <c r="O67" s="11" t="n">
        <v>1</v>
      </c>
      <c r="P67" s="37" t="n">
        <f aca="false">C67</f>
        <v>580.832167460641</v>
      </c>
    </row>
    <row r="68" customFormat="false" ht="15" hidden="false" customHeight="false" outlineLevel="0" collapsed="false">
      <c r="A68" s="10" t="s">
        <v>1782</v>
      </c>
      <c r="B68" s="36" t="n">
        <v>1.121839</v>
      </c>
      <c r="C68" s="37" t="n">
        <f aca="false">Parametres!$C$3/B68</f>
        <v>584.715810379208</v>
      </c>
      <c r="D68" s="14" t="n">
        <v>5.256</v>
      </c>
      <c r="E68" s="14" t="n">
        <v>3696.487</v>
      </c>
      <c r="F68" s="14" t="n">
        <v>23068.81</v>
      </c>
      <c r="G68" s="14" t="n">
        <v>2289.08</v>
      </c>
      <c r="H68" s="14" t="n">
        <v>306.937</v>
      </c>
      <c r="I68" s="14" t="n">
        <v>15745.5043</v>
      </c>
      <c r="J68" s="37" t="n">
        <f aca="false">I68/B68</f>
        <v>14035.4402904517</v>
      </c>
      <c r="K68" s="14" t="n">
        <v>34.5502</v>
      </c>
      <c r="L68" s="37" t="n">
        <f aca="false">K68/B68</f>
        <v>30.7978239301718</v>
      </c>
      <c r="M68" s="14" t="n">
        <v>4.6258</v>
      </c>
      <c r="N68" s="37" t="n">
        <f aca="false">M68/B68</f>
        <v>4.12340808262148</v>
      </c>
      <c r="O68" s="11" t="n">
        <v>1</v>
      </c>
      <c r="P68" s="37" t="n">
        <f aca="false">C68</f>
        <v>584.715810379208</v>
      </c>
    </row>
    <row r="69" customFormat="false" ht="15" hidden="false" customHeight="false" outlineLevel="0" collapsed="false">
      <c r="A69" s="10" t="s">
        <v>1783</v>
      </c>
      <c r="B69" s="36" t="n">
        <v>1.112623</v>
      </c>
      <c r="C69" s="37" t="n">
        <f aca="false">Parametres!$C$3/B69</f>
        <v>589.559086950387</v>
      </c>
      <c r="D69" s="14" t="n">
        <v>5.2701</v>
      </c>
      <c r="E69" s="14" t="n">
        <v>3693.7339</v>
      </c>
      <c r="F69" s="14" t="n">
        <v>23114.56</v>
      </c>
      <c r="G69" s="14" t="n">
        <v>2289.09</v>
      </c>
      <c r="H69" s="14" t="n">
        <v>306.9325</v>
      </c>
      <c r="I69" s="14" t="n">
        <v>15838.6191</v>
      </c>
      <c r="J69" s="37" t="n">
        <f aca="false">I69/B69</f>
        <v>14235.3870987747</v>
      </c>
      <c r="K69" s="14" t="n">
        <v>34.2182</v>
      </c>
      <c r="L69" s="37" t="n">
        <f aca="false">K69/B69</f>
        <v>30.7545323078887</v>
      </c>
      <c r="M69" s="14" t="n">
        <v>4.6599</v>
      </c>
      <c r="N69" s="37" t="n">
        <f aca="false">M69/B69</f>
        <v>4.18821110115466</v>
      </c>
      <c r="O69" s="11" t="n">
        <v>1</v>
      </c>
      <c r="P69" s="37" t="n">
        <f aca="false">C69</f>
        <v>589.559086950387</v>
      </c>
    </row>
    <row r="70" customFormat="false" ht="15" hidden="false" customHeight="false" outlineLevel="0" collapsed="false">
      <c r="A70" s="10" t="s">
        <v>1784</v>
      </c>
      <c r="B70" s="36" t="n">
        <v>1.10039</v>
      </c>
      <c r="C70" s="37" t="n">
        <f aca="false">Parametres!$C$3/B70</f>
        <v>596.113196230427</v>
      </c>
      <c r="D70" s="14" t="n">
        <v>5.3067</v>
      </c>
      <c r="E70" s="14" t="n">
        <v>3675.4964</v>
      </c>
      <c r="F70" s="14" t="n">
        <v>23142.04</v>
      </c>
      <c r="G70" s="14" t="n">
        <v>2289.36</v>
      </c>
      <c r="H70" s="14" t="n">
        <v>306.919</v>
      </c>
      <c r="I70" s="14" t="n">
        <v>15511.8433</v>
      </c>
      <c r="J70" s="37" t="n">
        <f aca="false">I70/B70</f>
        <v>14096.6778142295</v>
      </c>
      <c r="K70" s="14" t="n">
        <v>33.639</v>
      </c>
      <c r="L70" s="37" t="n">
        <f aca="false">K70/B70</f>
        <v>30.5700706113287</v>
      </c>
      <c r="M70" s="14" t="n">
        <v>4.6056</v>
      </c>
      <c r="N70" s="37" t="n">
        <f aca="false">M70/B70</f>
        <v>4.18542516744064</v>
      </c>
      <c r="O70" s="11" t="n">
        <v>1</v>
      </c>
      <c r="P70" s="37" t="n">
        <f aca="false">C70</f>
        <v>596.113196230427</v>
      </c>
    </row>
    <row r="71" customFormat="false" ht="15" hidden="false" customHeight="false" outlineLevel="0" collapsed="false">
      <c r="A71" s="10" t="s">
        <v>1785</v>
      </c>
      <c r="B71" s="36" t="n">
        <v>1.105257</v>
      </c>
      <c r="C71" s="37" t="n">
        <f aca="false">Parametres!$C$3/B71</f>
        <v>593.488211339082</v>
      </c>
      <c r="D71" s="14" t="n">
        <v>5.3235</v>
      </c>
      <c r="E71" s="14" t="n">
        <v>3695.8364</v>
      </c>
      <c r="F71" s="14" t="n">
        <v>23154.63</v>
      </c>
      <c r="G71" s="14" t="n">
        <v>2289.36</v>
      </c>
      <c r="H71" s="14" t="n">
        <v>306.9636</v>
      </c>
      <c r="I71" s="14" t="n">
        <v>15604.447</v>
      </c>
      <c r="J71" s="37" t="n">
        <f aca="false">I71/B71</f>
        <v>14118.3878500656</v>
      </c>
      <c r="K71" s="14" t="n">
        <v>33.5583</v>
      </c>
      <c r="L71" s="37" t="n">
        <f aca="false">K71/B71</f>
        <v>30.3624405907404</v>
      </c>
      <c r="M71" s="14" t="n">
        <v>4.6283</v>
      </c>
      <c r="N71" s="37" t="n">
        <f aca="false">M71/B71</f>
        <v>4.18753285434971</v>
      </c>
      <c r="O71" s="11" t="n">
        <v>1</v>
      </c>
      <c r="P71" s="37" t="n">
        <f aca="false">C71</f>
        <v>593.488211339082</v>
      </c>
    </row>
    <row r="72" customFormat="false" ht="15" hidden="false" customHeight="false" outlineLevel="0" collapsed="false">
      <c r="A72" s="10" t="s">
        <v>1786</v>
      </c>
      <c r="B72" s="36" t="n">
        <v>1.105095</v>
      </c>
      <c r="C72" s="37" t="n">
        <f aca="false">Parametres!$C$3/B72</f>
        <v>593.575212990738</v>
      </c>
      <c r="D72" s="14" t="n">
        <v>5.3888</v>
      </c>
      <c r="E72" s="14" t="n">
        <v>3697.4429</v>
      </c>
      <c r="F72" s="14" t="n">
        <v>23143.46</v>
      </c>
      <c r="G72" s="14" t="n">
        <v>2289.2</v>
      </c>
      <c r="H72" s="14" t="n">
        <v>306.9523</v>
      </c>
      <c r="I72" s="14" t="n">
        <v>15546.6867</v>
      </c>
      <c r="J72" s="37" t="n">
        <f aca="false">I72/B72</f>
        <v>14068.1902460874</v>
      </c>
      <c r="K72" s="14" t="n">
        <v>33.4221</v>
      </c>
      <c r="L72" s="37" t="n">
        <f aca="false">K72/B72</f>
        <v>30.2436442115836</v>
      </c>
      <c r="M72" s="14" t="n">
        <v>4.5937</v>
      </c>
      <c r="N72" s="37" t="n">
        <f aca="false">M72/B72</f>
        <v>4.15683719499229</v>
      </c>
      <c r="O72" s="11" t="n">
        <v>1</v>
      </c>
      <c r="P72" s="37" t="n">
        <f aca="false">C72</f>
        <v>593.575212990738</v>
      </c>
    </row>
    <row r="73" customFormat="false" ht="15" hidden="false" customHeight="false" outlineLevel="0" collapsed="false">
      <c r="A73" s="10" t="s">
        <v>1787</v>
      </c>
      <c r="B73" s="36" t="n">
        <v>1.111345</v>
      </c>
      <c r="C73" s="37" t="n">
        <f aca="false">Parametres!$C$3/B73</f>
        <v>590.237055099902</v>
      </c>
      <c r="D73" s="14" t="n">
        <v>5.5377</v>
      </c>
      <c r="E73" s="14" t="n">
        <v>3676.4794</v>
      </c>
      <c r="F73" s="14" t="n">
        <v>23162.22</v>
      </c>
      <c r="G73" s="14" t="n">
        <v>2288.64</v>
      </c>
      <c r="H73" s="14" t="n">
        <v>306.95</v>
      </c>
      <c r="I73" s="14" t="n">
        <v>15568.8725</v>
      </c>
      <c r="J73" s="37" t="n">
        <f aca="false">I73/B73</f>
        <v>14009.0363478488</v>
      </c>
      <c r="K73" s="14" t="n">
        <v>33.5615</v>
      </c>
      <c r="L73" s="37" t="n">
        <f aca="false">K73/B73</f>
        <v>30.1989931119499</v>
      </c>
      <c r="M73" s="14" t="n">
        <v>4.6093</v>
      </c>
      <c r="N73" s="37" t="n">
        <f aca="false">M73/B73</f>
        <v>4.14749695189163</v>
      </c>
      <c r="O73" s="11" t="n">
        <v>1</v>
      </c>
      <c r="P73" s="37" t="n">
        <f aca="false">C73</f>
        <v>590.237055099902</v>
      </c>
    </row>
    <row r="74" customFormat="false" ht="15" hidden="false" customHeight="false" outlineLevel="0" collapsed="false">
      <c r="A74" s="10" t="s">
        <v>1788</v>
      </c>
      <c r="B74" s="36" t="n">
        <v>1.110036</v>
      </c>
      <c r="C74" s="37" t="n">
        <f aca="false">Parametres!$C$3/B74</f>
        <v>590.933086854841</v>
      </c>
      <c r="D74" s="14" t="n">
        <v>5.5274</v>
      </c>
      <c r="E74" s="14" t="n">
        <v>3680.7927</v>
      </c>
      <c r="F74" s="14" t="n">
        <v>23164.3</v>
      </c>
      <c r="G74" s="14" t="n">
        <v>2288.55</v>
      </c>
      <c r="H74" s="14" t="n">
        <v>306.9591</v>
      </c>
      <c r="I74" s="14" t="n">
        <v>15236.0759</v>
      </c>
      <c r="J74" s="37" t="n">
        <f aca="false">I74/B74</f>
        <v>13725.7493450663</v>
      </c>
      <c r="K74" s="14" t="n">
        <v>33.8145</v>
      </c>
      <c r="L74" s="37" t="n">
        <f aca="false">K74/B74</f>
        <v>30.4625255397122</v>
      </c>
      <c r="M74" s="14" t="n">
        <v>4.5279</v>
      </c>
      <c r="N74" s="37" t="n">
        <f aca="false">M74/B74</f>
        <v>4.07905689545204</v>
      </c>
      <c r="O74" s="11" t="n">
        <v>1</v>
      </c>
      <c r="P74" s="37" t="n">
        <f aca="false">C74</f>
        <v>590.933086854841</v>
      </c>
    </row>
    <row r="75" customFormat="false" ht="15" hidden="false" customHeight="false" outlineLevel="0" collapsed="false">
      <c r="A75" s="10" t="s">
        <v>1789</v>
      </c>
      <c r="B75" s="36" t="n">
        <v>1.0905</v>
      </c>
      <c r="C75" s="37" t="n">
        <f aca="false">Parametres!$C$3/B75</f>
        <v>601.519486474094</v>
      </c>
      <c r="D75" s="14" t="n">
        <v>5.3194</v>
      </c>
      <c r="E75" s="14" t="n">
        <v>3676.8465</v>
      </c>
      <c r="F75" s="14" t="n">
        <v>23218.2</v>
      </c>
      <c r="G75" s="14" t="n">
        <v>2289.51</v>
      </c>
      <c r="H75" s="14" t="n">
        <v>306.955</v>
      </c>
      <c r="I75" s="14" t="n">
        <v>15032.662</v>
      </c>
      <c r="J75" s="37" t="n">
        <f aca="false">I75/B75</f>
        <v>13785.1095827602</v>
      </c>
      <c r="K75" s="14" t="n">
        <v>34.1629</v>
      </c>
      <c r="L75" s="37" t="n">
        <f aca="false">K75/B75</f>
        <v>31.327739569005</v>
      </c>
      <c r="M75" s="14" t="n">
        <v>4.5391</v>
      </c>
      <c r="N75" s="37" t="n">
        <f aca="false">M75/B75</f>
        <v>4.16240256762953</v>
      </c>
      <c r="O75" s="11" t="n">
        <v>1</v>
      </c>
      <c r="P75" s="37" t="n">
        <f aca="false">C75</f>
        <v>601.519486474094</v>
      </c>
    </row>
    <row r="76" customFormat="false" ht="15" hidden="false" customHeight="false" outlineLevel="0" collapsed="false">
      <c r="A76" s="10" t="s">
        <v>1790</v>
      </c>
      <c r="B76" s="36" t="n">
        <v>1.106341</v>
      </c>
      <c r="C76" s="37" t="n">
        <f aca="false">Parametres!$C$3/B76</f>
        <v>592.906707787201</v>
      </c>
      <c r="D76" s="14" t="n">
        <v>5.3566</v>
      </c>
      <c r="E76" s="14" t="n">
        <v>3772.9075</v>
      </c>
      <c r="F76" s="14" t="n">
        <v>23223.42</v>
      </c>
      <c r="G76" s="14" t="n">
        <v>2289.3715</v>
      </c>
      <c r="H76" s="14" t="n">
        <v>326.625</v>
      </c>
      <c r="I76" s="14" t="n">
        <v>16851.125</v>
      </c>
      <c r="J76" s="37" t="n">
        <f aca="false">I76/B76</f>
        <v>15231.4024337885</v>
      </c>
      <c r="K76" s="14" t="n">
        <v>35.4992</v>
      </c>
      <c r="L76" s="37" t="n">
        <f aca="false">K76/B76</f>
        <v>32.0870328406884</v>
      </c>
      <c r="M76" s="14" t="n">
        <v>4.7549</v>
      </c>
      <c r="N76" s="37" t="n">
        <f aca="false">M76/B76</f>
        <v>4.29786114769316</v>
      </c>
      <c r="O76" s="11" t="n">
        <v>1</v>
      </c>
      <c r="P76" s="37" t="n">
        <f aca="false">C76</f>
        <v>592.906707787201</v>
      </c>
    </row>
    <row r="77" customFormat="false" ht="15" hidden="false" customHeight="false" outlineLevel="0" collapsed="false">
      <c r="A77" s="10" t="s">
        <v>1791</v>
      </c>
      <c r="B77" s="36" t="n">
        <v>1.08619</v>
      </c>
      <c r="C77" s="37" t="n">
        <f aca="false">Parametres!$C$3/B77</f>
        <v>603.90631473315</v>
      </c>
      <c r="D77" s="14" t="n">
        <v>5.5153</v>
      </c>
      <c r="E77" s="14" t="n">
        <v>3785.7464</v>
      </c>
      <c r="F77" s="14" t="n">
        <v>23241.5</v>
      </c>
      <c r="G77" s="14" t="n">
        <v>2290.7223</v>
      </c>
      <c r="H77" s="14" t="n">
        <v>361</v>
      </c>
      <c r="I77" s="14" t="n">
        <v>17178.8875</v>
      </c>
      <c r="J77" s="37" t="n">
        <f aca="false">I77/B77</f>
        <v>15815.7297526216</v>
      </c>
      <c r="K77" s="14" t="n">
        <v>35.4455</v>
      </c>
      <c r="L77" s="37" t="n">
        <f aca="false">K77/B77</f>
        <v>32.6328727018293</v>
      </c>
      <c r="M77" s="14" t="n">
        <v>4.7307</v>
      </c>
      <c r="N77" s="37" t="n">
        <f aca="false">M77/B77</f>
        <v>4.35531536839779</v>
      </c>
      <c r="O77" s="11" t="n">
        <v>1</v>
      </c>
      <c r="P77" s="37" t="n">
        <f aca="false">C77</f>
        <v>603.90631473315</v>
      </c>
    </row>
    <row r="78" customFormat="false" ht="15" hidden="false" customHeight="false" outlineLevel="0" collapsed="false">
      <c r="A78" s="10" t="s">
        <v>1792</v>
      </c>
      <c r="B78" s="36" t="n">
        <v>1.090185</v>
      </c>
      <c r="C78" s="37" t="n">
        <f aca="false">Parametres!$C$3/B78</f>
        <v>601.693290588295</v>
      </c>
      <c r="D78" s="14" t="n">
        <v>5.6109</v>
      </c>
      <c r="E78" s="14" t="n">
        <v>3791.46</v>
      </c>
      <c r="F78" s="14" t="n">
        <v>23256.5</v>
      </c>
      <c r="G78" s="14" t="n">
        <v>2291.5891</v>
      </c>
      <c r="H78" s="14" t="n">
        <v>361</v>
      </c>
      <c r="I78" s="14" t="n">
        <v>16198.23</v>
      </c>
      <c r="J78" s="37" t="n">
        <f aca="false">I78/B78</f>
        <v>14858.2396565721</v>
      </c>
      <c r="K78" s="14" t="n">
        <v>34.9527</v>
      </c>
      <c r="L78" s="37" t="n">
        <f aca="false">K78/B78</f>
        <v>32.0612556584433</v>
      </c>
      <c r="M78" s="14" t="n">
        <v>4.7331</v>
      </c>
      <c r="N78" s="37" t="n">
        <f aca="false">M78/B78</f>
        <v>4.34155670826511</v>
      </c>
      <c r="O78" s="11" t="n">
        <v>1</v>
      </c>
      <c r="P78" s="37" t="n">
        <f aca="false">C78</f>
        <v>601.693290588295</v>
      </c>
    </row>
    <row r="79" customFormat="false" ht="15" hidden="false" customHeight="false" outlineLevel="0" collapsed="false">
      <c r="A79" s="10" t="s">
        <v>1793</v>
      </c>
      <c r="B79" s="36" t="n">
        <v>1.125459</v>
      </c>
      <c r="C79" s="37" t="n">
        <f aca="false">Parametres!$C$3/B79</f>
        <v>582.835092171283</v>
      </c>
      <c r="D79" s="14" t="n">
        <v>5.6427</v>
      </c>
      <c r="E79" s="14" t="n">
        <v>3737.9445</v>
      </c>
      <c r="F79" s="14" t="n">
        <v>23235.92</v>
      </c>
      <c r="G79" s="14" t="n">
        <v>2293.8483</v>
      </c>
      <c r="H79" s="14" t="n">
        <v>361</v>
      </c>
      <c r="I79" s="14" t="n">
        <v>15987.12</v>
      </c>
      <c r="J79" s="37" t="n">
        <f aca="false">I79/B79</f>
        <v>14204.9777024307</v>
      </c>
      <c r="K79" s="14" t="n">
        <v>35.077</v>
      </c>
      <c r="L79" s="37" t="n">
        <f aca="false">K79/B79</f>
        <v>31.1668394850457</v>
      </c>
      <c r="M79" s="14" t="n">
        <v>4.8118</v>
      </c>
      <c r="N79" s="37" t="n">
        <f aca="false">M79/B79</f>
        <v>4.27541118779094</v>
      </c>
      <c r="O79" s="11" t="n">
        <v>1</v>
      </c>
      <c r="P79" s="37" t="n">
        <f aca="false">C79</f>
        <v>582.835092171283</v>
      </c>
    </row>
    <row r="80" customFormat="false" ht="15" hidden="false" customHeight="false" outlineLevel="0" collapsed="false">
      <c r="A80" s="10" t="s">
        <v>1794</v>
      </c>
      <c r="B80" s="36" t="n">
        <v>1.146339</v>
      </c>
      <c r="C80" s="37" t="n">
        <f aca="false">Parametres!$C$3/B80</f>
        <v>572.219038172827</v>
      </c>
      <c r="D80" s="14" t="n">
        <v>5.6724</v>
      </c>
      <c r="E80" s="14" t="n">
        <v>3703.537</v>
      </c>
      <c r="F80" s="14" t="n">
        <v>23222.56</v>
      </c>
      <c r="G80" s="14" t="n">
        <v>2297.6385</v>
      </c>
      <c r="H80" s="14" t="n">
        <v>377.1905</v>
      </c>
      <c r="I80" s="14" t="n">
        <v>16659.2748</v>
      </c>
      <c r="J80" s="37" t="n">
        <f aca="false">I80/B80</f>
        <v>14532.5900976936</v>
      </c>
      <c r="K80" s="14" t="n">
        <v>36.0137</v>
      </c>
      <c r="L80" s="37" t="n">
        <f aca="false">K80/B80</f>
        <v>31.416273894546</v>
      </c>
      <c r="M80" s="14" t="n">
        <v>4.8878</v>
      </c>
      <c r="N80" s="37" t="n">
        <f aca="false">M80/B80</f>
        <v>4.26383469462349</v>
      </c>
      <c r="O80" s="11" t="n">
        <v>1</v>
      </c>
      <c r="P80" s="37" t="n">
        <f aca="false">C80</f>
        <v>572.219038172827</v>
      </c>
    </row>
    <row r="81" customFormat="false" ht="15" hidden="false" customHeight="false" outlineLevel="0" collapsed="false">
      <c r="A81" s="10" t="s">
        <v>1795</v>
      </c>
      <c r="B81" s="36" t="n">
        <v>1.18281</v>
      </c>
      <c r="C81" s="37" t="n">
        <f aca="false">Parametres!$C$3/B81</f>
        <v>554.575121955344</v>
      </c>
      <c r="D81" s="14" t="n">
        <v>5.6815</v>
      </c>
      <c r="E81" s="14" t="n">
        <v>3677.5276</v>
      </c>
      <c r="F81" s="14" t="n">
        <v>23209</v>
      </c>
      <c r="G81" s="14" t="n">
        <v>2297.6873</v>
      </c>
      <c r="H81" s="14" t="n">
        <v>381</v>
      </c>
      <c r="I81" s="14" t="n">
        <v>17402.529</v>
      </c>
      <c r="J81" s="37" t="n">
        <f aca="false">I81/B81</f>
        <v>14712.8693534887</v>
      </c>
      <c r="K81" s="14" t="n">
        <v>36.9109</v>
      </c>
      <c r="L81" s="37" t="n">
        <f aca="false">K81/B81</f>
        <v>31.2061108715686</v>
      </c>
      <c r="M81" s="14" t="n">
        <v>4.9506</v>
      </c>
      <c r="N81" s="37" t="n">
        <f aca="false">M81/B81</f>
        <v>4.18545666675121</v>
      </c>
      <c r="O81" s="11" t="n">
        <v>1</v>
      </c>
      <c r="P81" s="37" t="n">
        <f aca="false">C81</f>
        <v>554.575121955344</v>
      </c>
    </row>
    <row r="82" customFormat="false" ht="15" hidden="false" customHeight="false" outlineLevel="0" collapsed="false">
      <c r="A82" s="10" t="s">
        <v>1796</v>
      </c>
      <c r="B82" s="36" t="n">
        <v>1.179241</v>
      </c>
      <c r="C82" s="37" t="n">
        <f aca="false">Parametres!$C$3/B82</f>
        <v>556.253556312917</v>
      </c>
      <c r="D82" s="14" t="n">
        <v>5.6865</v>
      </c>
      <c r="E82" s="14" t="n">
        <v>3695.0873</v>
      </c>
      <c r="F82" s="14" t="n">
        <v>23206.84</v>
      </c>
      <c r="G82" s="14" t="n">
        <v>2297.6118</v>
      </c>
      <c r="H82" s="14" t="n">
        <v>381</v>
      </c>
      <c r="I82" s="14" t="n">
        <v>17491.9891</v>
      </c>
      <c r="J82" s="37" t="n">
        <f aca="false">I82/B82</f>
        <v>14833.2606312026</v>
      </c>
      <c r="K82" s="14" t="n">
        <v>36.9971</v>
      </c>
      <c r="L82" s="37" t="n">
        <f aca="false">K82/B82</f>
        <v>31.3736547491141</v>
      </c>
      <c r="M82" s="14" t="n">
        <v>4.8935</v>
      </c>
      <c r="N82" s="37" t="n">
        <f aca="false">M82/B82</f>
        <v>4.14970307172156</v>
      </c>
      <c r="O82" s="11" t="n">
        <v>1</v>
      </c>
      <c r="P82" s="37" t="n">
        <f aca="false">C82</f>
        <v>556.253556312917</v>
      </c>
    </row>
    <row r="83" customFormat="false" ht="15" hidden="false" customHeight="false" outlineLevel="0" collapsed="false">
      <c r="A83" s="10" t="s">
        <v>1797</v>
      </c>
      <c r="B83" s="36" t="n">
        <v>1.177518</v>
      </c>
      <c r="C83" s="37" t="n">
        <f aca="false">Parametres!$C$3/B83</f>
        <v>557.06749281115</v>
      </c>
      <c r="D83" s="14" t="n">
        <v>5.7029</v>
      </c>
      <c r="E83" s="14" t="n">
        <v>3719.9169</v>
      </c>
      <c r="F83" s="14" t="n">
        <v>23197.22</v>
      </c>
      <c r="G83" s="14" t="n">
        <v>2297.6363</v>
      </c>
      <c r="H83" s="14" t="n">
        <v>381</v>
      </c>
      <c r="I83" s="14" t="n">
        <v>17348.27</v>
      </c>
      <c r="J83" s="37" t="n">
        <f aca="false">I83/B83</f>
        <v>14732.9127877451</v>
      </c>
      <c r="K83" s="14" t="n">
        <v>36.7956</v>
      </c>
      <c r="L83" s="37" t="n">
        <f aca="false">K83/B83</f>
        <v>31.2484395143004</v>
      </c>
      <c r="M83" s="14" t="n">
        <v>4.8891</v>
      </c>
      <c r="N83" s="37" t="n">
        <f aca="false">M83/B83</f>
        <v>4.15203844017671</v>
      </c>
      <c r="O83" s="11" t="n">
        <v>1</v>
      </c>
      <c r="P83" s="37" t="n">
        <f aca="false">C83</f>
        <v>557.06749281115</v>
      </c>
    </row>
    <row r="84" customFormat="false" ht="15" hidden="false" customHeight="false" outlineLevel="0" collapsed="false">
      <c r="A84" s="10" t="s">
        <v>1798</v>
      </c>
      <c r="B84" s="36" t="n">
        <v>1.18379</v>
      </c>
      <c r="C84" s="37" t="n">
        <f aca="false">Parametres!$C$3/B84</f>
        <v>554.116017198997</v>
      </c>
      <c r="D84" s="14" t="n">
        <v>5.712</v>
      </c>
      <c r="E84" s="14" t="n">
        <v>3710.6774</v>
      </c>
      <c r="F84" s="14" t="n">
        <v>23178.96</v>
      </c>
      <c r="G84" s="14" t="n">
        <v>2297.6887</v>
      </c>
      <c r="H84" s="14" t="n">
        <v>381</v>
      </c>
      <c r="I84" s="14" t="n">
        <v>16824.3171</v>
      </c>
      <c r="J84" s="37" t="n">
        <f aca="false">I84/B84</f>
        <v>14212.2480338574</v>
      </c>
      <c r="K84" s="14" t="n">
        <v>36.041</v>
      </c>
      <c r="L84" s="37" t="n">
        <f aca="false">K84/B84</f>
        <v>30.4454337340238</v>
      </c>
      <c r="M84" s="14" t="n">
        <v>4.8673</v>
      </c>
      <c r="N84" s="37" t="n">
        <f aca="false">M84/B84</f>
        <v>4.11162452799905</v>
      </c>
      <c r="O84" s="11" t="n">
        <v>1</v>
      </c>
      <c r="P84" s="37" t="n">
        <f aca="false">C84</f>
        <v>554.116017198997</v>
      </c>
    </row>
    <row r="85" customFormat="false" ht="15" hidden="false" customHeight="false" outlineLevel="0" collapsed="false">
      <c r="A85" s="10" t="s">
        <v>1799</v>
      </c>
      <c r="B85" s="36" t="n">
        <v>1.216973</v>
      </c>
      <c r="C85" s="37" t="n">
        <f aca="false">Parametres!$C$3/B85</f>
        <v>539.007028093475</v>
      </c>
      <c r="D85" s="14" t="n">
        <v>5.7209</v>
      </c>
      <c r="E85" s="14" t="n">
        <v>3666.5432</v>
      </c>
      <c r="F85" s="14" t="n">
        <v>23146</v>
      </c>
      <c r="G85" s="14" t="n">
        <v>2297.9</v>
      </c>
      <c r="H85" s="14" t="n">
        <v>381</v>
      </c>
      <c r="I85" s="14" t="n">
        <v>17226.8327</v>
      </c>
      <c r="J85" s="37" t="n">
        <f aca="false">I85/B85</f>
        <v>14155.4764978352</v>
      </c>
      <c r="K85" s="14" t="n">
        <v>36.6096</v>
      </c>
      <c r="L85" s="37" t="n">
        <f aca="false">K85/B85</f>
        <v>30.0825079931929</v>
      </c>
      <c r="M85" s="14" t="n">
        <v>4.9363</v>
      </c>
      <c r="N85" s="37" t="n">
        <f aca="false">M85/B85</f>
        <v>4.0562116004217</v>
      </c>
      <c r="O85" s="11" t="n">
        <v>1</v>
      </c>
      <c r="P85" s="37" t="n">
        <f aca="false">C85</f>
        <v>539.007028093475</v>
      </c>
    </row>
    <row r="86" customFormat="false" ht="15" hidden="false" customHeight="false" outlineLevel="0" collapsed="false">
      <c r="A86" s="10" t="s">
        <v>1800</v>
      </c>
      <c r="B86" s="36" t="n">
        <v>1.217085</v>
      </c>
      <c r="C86" s="37" t="n">
        <f aca="false">Parametres!$C$3/B86</f>
        <v>538.957426966892</v>
      </c>
      <c r="D86" s="14" t="n">
        <v>5.7608</v>
      </c>
      <c r="E86" s="14" t="n">
        <v>3691.5637</v>
      </c>
      <c r="F86" s="14" t="n">
        <v>23137</v>
      </c>
      <c r="G86" s="14" t="n">
        <v>2298.4015</v>
      </c>
      <c r="H86" s="14" t="n">
        <v>381</v>
      </c>
      <c r="I86" s="14" t="n">
        <v>17111.979</v>
      </c>
      <c r="J86" s="37" t="n">
        <f aca="false">I86/B86</f>
        <v>14059.8060119055</v>
      </c>
      <c r="K86" s="14" t="n">
        <v>36.5275</v>
      </c>
      <c r="L86" s="37" t="n">
        <f aca="false">K86/B86</f>
        <v>30.0122834477461</v>
      </c>
      <c r="M86" s="14" t="n">
        <v>4.9154</v>
      </c>
      <c r="N86" s="37" t="n">
        <f aca="false">M86/B86</f>
        <v>4.03866615725278</v>
      </c>
      <c r="O86" s="11" t="n">
        <v>1</v>
      </c>
      <c r="P86" s="37" t="n">
        <f aca="false">C86</f>
        <v>538.957426966892</v>
      </c>
    </row>
    <row r="87" customFormat="false" ht="15" hidden="false" customHeight="false" outlineLevel="0" collapsed="false">
      <c r="A87" s="10" t="s">
        <v>1801</v>
      </c>
      <c r="B87" s="36" t="n">
        <v>1.20979</v>
      </c>
      <c r="C87" s="37" t="n">
        <f aca="false">Parametres!$C$3/B87</f>
        <v>542.207325238265</v>
      </c>
      <c r="D87" s="14" t="n">
        <v>5.7575</v>
      </c>
      <c r="E87" s="14" t="n">
        <v>3667.3158</v>
      </c>
      <c r="F87" s="14" t="n">
        <v>23138.6111</v>
      </c>
      <c r="G87" s="14" t="n">
        <v>2298.5211</v>
      </c>
      <c r="H87" s="14" t="n">
        <v>381</v>
      </c>
      <c r="I87" s="14" t="n">
        <v>17002.5615</v>
      </c>
      <c r="J87" s="37" t="n">
        <f aca="false">I87/B87</f>
        <v>14054.1428677704</v>
      </c>
      <c r="K87" s="14" t="n">
        <v>36.3069</v>
      </c>
      <c r="L87" s="37" t="n">
        <f aca="false">K87/B87</f>
        <v>30.010910984551</v>
      </c>
      <c r="M87" s="14" t="n">
        <v>4.8944</v>
      </c>
      <c r="N87" s="37" t="n">
        <f aca="false">M87/B87</f>
        <v>4.04566081716662</v>
      </c>
      <c r="O87" s="11" t="n">
        <v>1</v>
      </c>
      <c r="P87" s="37" t="n">
        <f aca="false">C87</f>
        <v>542.207325238265</v>
      </c>
    </row>
    <row r="88" customFormat="false" ht="15" hidden="false" customHeight="false" outlineLevel="0" collapsed="false">
      <c r="A88" s="10" t="s">
        <v>1802</v>
      </c>
      <c r="B88" s="36" t="n">
        <v>1.189909</v>
      </c>
      <c r="C88" s="37" t="n">
        <f aca="false">Parametres!$C$3/B88</f>
        <v>551.266525423373</v>
      </c>
      <c r="D88" s="14" t="n">
        <v>5.7275</v>
      </c>
      <c r="E88" s="14" t="n">
        <v>3662.8695</v>
      </c>
      <c r="F88" s="14" t="n">
        <v>23195.96</v>
      </c>
      <c r="G88" s="14" t="n">
        <v>2298.5279</v>
      </c>
      <c r="H88" s="14" t="n">
        <v>381</v>
      </c>
      <c r="I88" s="14" t="n">
        <v>17135.253</v>
      </c>
      <c r="J88" s="37" t="n">
        <f aca="false">I88/B88</f>
        <v>14400.4734815856</v>
      </c>
      <c r="K88" s="14" t="n">
        <v>36.6322</v>
      </c>
      <c r="L88" s="37" t="n">
        <f aca="false">K88/B88</f>
        <v>30.7857155463149</v>
      </c>
      <c r="M88" s="14" t="n">
        <v>4.8907</v>
      </c>
      <c r="N88" s="37" t="n">
        <f aca="false">M88/B88</f>
        <v>4.11014623807367</v>
      </c>
      <c r="O88" s="11" t="n">
        <v>1</v>
      </c>
      <c r="P88" s="37" t="n">
        <f aca="false">C88</f>
        <v>551.266525423373</v>
      </c>
    </row>
    <row r="89" customFormat="false" ht="15" hidden="false" customHeight="false" outlineLevel="0" collapsed="false">
      <c r="A89" s="10" t="s">
        <v>1803</v>
      </c>
      <c r="B89" s="36" t="n">
        <v>1.19791</v>
      </c>
      <c r="C89" s="37" t="n">
        <f aca="false">Parametres!$C$3/B89</f>
        <v>547.584543079196</v>
      </c>
      <c r="D89" s="14" t="n">
        <v>5.7308</v>
      </c>
      <c r="E89" s="14" t="n">
        <v>3623.302</v>
      </c>
      <c r="F89" s="14" t="n">
        <v>23203.13</v>
      </c>
      <c r="G89" s="14" t="n">
        <v>2298.5129</v>
      </c>
      <c r="H89" s="14" t="n">
        <v>381</v>
      </c>
      <c r="I89" s="14" t="n">
        <v>17414.3745</v>
      </c>
      <c r="J89" s="37" t="n">
        <f aca="false">I89/B89</f>
        <v>14537.297877136</v>
      </c>
      <c r="K89" s="14" t="n">
        <v>37.5512</v>
      </c>
      <c r="L89" s="37" t="n">
        <f aca="false">K89/B89</f>
        <v>31.3472631499862</v>
      </c>
      <c r="M89" s="14" t="n">
        <v>4.9358</v>
      </c>
      <c r="N89" s="37" t="n">
        <f aca="false">M89/B89</f>
        <v>4.12034293060414</v>
      </c>
      <c r="O89" s="11" t="n">
        <v>1</v>
      </c>
      <c r="P89" s="37" t="n">
        <f aca="false">C89</f>
        <v>547.584543079196</v>
      </c>
    </row>
    <row r="90" customFormat="false" ht="15" hidden="false" customHeight="false" outlineLevel="0" collapsed="false">
      <c r="A90" s="10" t="s">
        <v>1804</v>
      </c>
      <c r="B90" s="36" t="n">
        <v>1.21459</v>
      </c>
      <c r="C90" s="37" t="n">
        <f aca="false">Parametres!$C$3/B90</f>
        <v>540.06454853078</v>
      </c>
      <c r="D90" s="14" t="n">
        <v>5.7333</v>
      </c>
      <c r="E90" s="14" t="n">
        <v>3552.7866</v>
      </c>
      <c r="F90" s="14" t="n">
        <v>23159.29</v>
      </c>
      <c r="G90" s="14" t="n">
        <v>2298.541</v>
      </c>
      <c r="H90" s="14" t="n">
        <v>410</v>
      </c>
      <c r="I90" s="14" t="n">
        <v>17393.1329</v>
      </c>
      <c r="J90" s="37" t="n">
        <f aca="false">I90/B90</f>
        <v>14320.168040244</v>
      </c>
      <c r="K90" s="14" t="n">
        <v>37.9916</v>
      </c>
      <c r="L90" s="37" t="n">
        <f aca="false">K90/B90</f>
        <v>31.2793617599354</v>
      </c>
      <c r="M90" s="14" t="n">
        <v>5.0142</v>
      </c>
      <c r="N90" s="37" t="n">
        <f aca="false">M90/B90</f>
        <v>4.12830667138705</v>
      </c>
      <c r="O90" s="11" t="n">
        <v>1</v>
      </c>
      <c r="P90" s="37" t="n">
        <f aca="false">C90</f>
        <v>540.06454853078</v>
      </c>
    </row>
    <row r="91" customFormat="false" ht="15" hidden="false" customHeight="false" outlineLevel="0" collapsed="false">
      <c r="A91" s="10" t="s">
        <v>1805</v>
      </c>
      <c r="B91" s="36" t="n">
        <v>1.204709</v>
      </c>
      <c r="C91" s="37" t="n">
        <f aca="false">Parametres!$C$3/B91</f>
        <v>544.494147549325</v>
      </c>
      <c r="D91" s="14" t="n">
        <v>5.7524</v>
      </c>
      <c r="E91" s="14" t="n">
        <v>3540.3521</v>
      </c>
      <c r="F91" s="14" t="n">
        <v>23140.92</v>
      </c>
      <c r="G91" s="14" t="n">
        <v>2298.7426</v>
      </c>
      <c r="H91" s="14" t="n">
        <v>410.15</v>
      </c>
      <c r="I91" s="14" t="n">
        <v>17295.8568</v>
      </c>
      <c r="J91" s="37" t="n">
        <f aca="false">I91/B91</f>
        <v>14356.8752287897</v>
      </c>
      <c r="K91" s="14" t="n">
        <v>37.8733</v>
      </c>
      <c r="L91" s="37" t="n">
        <f aca="false">K91/B91</f>
        <v>31.4377164941907</v>
      </c>
      <c r="M91" s="14" t="n">
        <v>4.9808</v>
      </c>
      <c r="N91" s="37" t="n">
        <f aca="false">M91/B91</f>
        <v>4.13444242551521</v>
      </c>
      <c r="O91" s="11" t="n">
        <v>1</v>
      </c>
      <c r="P91" s="37" t="n">
        <f aca="false">C91</f>
        <v>544.494147549325</v>
      </c>
    </row>
    <row r="92" customFormat="false" ht="15" hidden="false" customHeight="false" outlineLevel="0" collapsed="false">
      <c r="A92" s="10" t="s">
        <v>1806</v>
      </c>
      <c r="B92" s="36" t="n">
        <v>1.182182</v>
      </c>
      <c r="C92" s="37" t="n">
        <f aca="false">Parametres!$C$3/B92</f>
        <v>554.869723951134</v>
      </c>
      <c r="D92" s="14" t="n">
        <v>5.7848</v>
      </c>
      <c r="E92" s="14" t="n">
        <v>3552.3057</v>
      </c>
      <c r="F92" s="14" t="n">
        <v>23197.93</v>
      </c>
      <c r="G92" s="14" t="n">
        <v>2299.1325</v>
      </c>
      <c r="H92" s="14" t="n">
        <v>410.1</v>
      </c>
      <c r="I92" s="14" t="n">
        <v>17148.3041</v>
      </c>
      <c r="J92" s="37" t="n">
        <f aca="false">I92/B92</f>
        <v>14505.6379643744</v>
      </c>
      <c r="K92" s="14" t="n">
        <v>38.5859</v>
      </c>
      <c r="L92" s="37" t="n">
        <f aca="false">K92/B92</f>
        <v>32.6395597293818</v>
      </c>
      <c r="M92" s="14" t="n">
        <v>4.968</v>
      </c>
      <c r="N92" s="37" t="n">
        <f aca="false">M92/B92</f>
        <v>4.20239861544162</v>
      </c>
      <c r="O92" s="11" t="n">
        <v>1</v>
      </c>
      <c r="P92" s="37" t="n">
        <f aca="false">C92</f>
        <v>554.869723951134</v>
      </c>
    </row>
    <row r="93" customFormat="false" ht="15" hidden="false" customHeight="false" outlineLevel="0" collapsed="false">
      <c r="A93" s="10" t="s">
        <v>1807</v>
      </c>
      <c r="B93" s="36" t="n">
        <v>1.177182</v>
      </c>
      <c r="C93" s="37" t="n">
        <f aca="false">Parametres!$C$3/B93</f>
        <v>557.22649513839</v>
      </c>
      <c r="D93" s="14" t="n">
        <v>5.8264</v>
      </c>
      <c r="E93" s="14" t="n">
        <v>3537.0368</v>
      </c>
      <c r="F93" s="14" t="n">
        <v>23159.54</v>
      </c>
      <c r="G93" s="14" t="n">
        <v>2299.3703</v>
      </c>
      <c r="H93" s="14" t="n">
        <v>411</v>
      </c>
      <c r="I93" s="14" t="n">
        <v>16926.9386</v>
      </c>
      <c r="J93" s="37" t="n">
        <f aca="false">I93/B93</f>
        <v>14379.2027061236</v>
      </c>
      <c r="K93" s="14" t="n">
        <v>38.9557</v>
      </c>
      <c r="L93" s="37" t="n">
        <f aca="false">K93/B93</f>
        <v>33.0923340655905</v>
      </c>
      <c r="M93" s="14" t="n">
        <v>4.966</v>
      </c>
      <c r="N93" s="37" t="n">
        <f aca="false">M93/B93</f>
        <v>4.21854904339346</v>
      </c>
      <c r="O93" s="11" t="n">
        <v>1</v>
      </c>
      <c r="P93" s="37" t="n">
        <f aca="false">C93</f>
        <v>557.22649513839</v>
      </c>
    </row>
    <row r="94" customFormat="false" ht="15" hidden="false" customHeight="false" outlineLevel="0" collapsed="false">
      <c r="A94" s="10" t="s">
        <v>1808</v>
      </c>
      <c r="B94" s="36" t="n">
        <v>1.177032</v>
      </c>
      <c r="C94" s="37" t="n">
        <f aca="false">Parametres!$C$3/B94</f>
        <v>557.297507629359</v>
      </c>
      <c r="D94" s="14" t="n">
        <v>5.8592</v>
      </c>
      <c r="E94" s="14" t="n">
        <v>3530.6314</v>
      </c>
      <c r="F94" s="14" t="n">
        <v>23125.38</v>
      </c>
      <c r="G94" s="14" t="n">
        <v>2299.1311</v>
      </c>
      <c r="H94" s="14" t="n">
        <v>411</v>
      </c>
      <c r="I94" s="14" t="n">
        <v>16781.3936</v>
      </c>
      <c r="J94" s="37" t="n">
        <f aca="false">I94/B94</f>
        <v>14257.3809378165</v>
      </c>
      <c r="K94" s="14" t="n">
        <v>38.9186</v>
      </c>
      <c r="L94" s="37" t="n">
        <f aca="false">K94/B94</f>
        <v>33.0650313670317</v>
      </c>
      <c r="M94" s="14" t="n">
        <v>4.9054</v>
      </c>
      <c r="N94" s="37" t="n">
        <f aca="false">M94/B94</f>
        <v>4.16760122069748</v>
      </c>
      <c r="O94" s="11" t="n">
        <v>1</v>
      </c>
      <c r="P94" s="37" t="n">
        <f aca="false">C94</f>
        <v>557.297507629359</v>
      </c>
    </row>
    <row r="95" customFormat="false" ht="15" hidden="false" customHeight="false" outlineLevel="0" collapsed="false">
      <c r="A95" s="10" t="s">
        <v>1809</v>
      </c>
      <c r="B95" s="36" t="n">
        <v>1.160148</v>
      </c>
      <c r="C95" s="37" t="n">
        <f aca="false">Parametres!$C$3/B95</f>
        <v>565.408034147367</v>
      </c>
      <c r="D95" s="14" t="n">
        <v>5.8818</v>
      </c>
      <c r="E95" s="14" t="n">
        <v>3579.9424</v>
      </c>
      <c r="F95" s="14" t="n">
        <v>23154.27</v>
      </c>
      <c r="G95" s="14" t="n">
        <v>2295.2393</v>
      </c>
      <c r="H95" s="14" t="n">
        <v>411.5</v>
      </c>
      <c r="I95" s="14" t="n">
        <v>16450.0176</v>
      </c>
      <c r="J95" s="37" t="n">
        <f aca="false">I95/B95</f>
        <v>14179.2405796502</v>
      </c>
      <c r="K95" s="14" t="n">
        <v>38.8126</v>
      </c>
      <c r="L95" s="37" t="n">
        <f aca="false">K95/B95</f>
        <v>33.4548695511262</v>
      </c>
      <c r="M95" s="14" t="n">
        <v>4.8307</v>
      </c>
      <c r="N95" s="37" t="n">
        <f aca="false">M95/B95</f>
        <v>4.16386529994449</v>
      </c>
      <c r="O95" s="11" t="n">
        <v>1</v>
      </c>
      <c r="P95" s="37" t="n">
        <f aca="false">C95</f>
        <v>565.408034147367</v>
      </c>
    </row>
    <row r="96" customFormat="false" ht="15" hidden="false" customHeight="false" outlineLevel="0" collapsed="false">
      <c r="A96" s="10" t="s">
        <v>1810</v>
      </c>
      <c r="B96" s="36" t="n">
        <v>1.141405</v>
      </c>
      <c r="C96" s="37" t="n">
        <f aca="false">Parametres!$C$3/B96</f>
        <v>574.692593776968</v>
      </c>
      <c r="D96" s="14" t="n">
        <v>5.907</v>
      </c>
      <c r="E96" s="14" t="n">
        <v>3551.5228</v>
      </c>
      <c r="F96" s="14" t="n">
        <v>23126.58</v>
      </c>
      <c r="G96" s="14" t="n">
        <v>2293.0911</v>
      </c>
      <c r="H96" s="14" t="n">
        <v>411.7386</v>
      </c>
      <c r="I96" s="14" t="n">
        <v>16298.1218</v>
      </c>
      <c r="J96" s="37" t="n">
        <f aca="false">I96/B96</f>
        <v>14278.9998291579</v>
      </c>
      <c r="K96" s="14" t="n">
        <v>37.7727</v>
      </c>
      <c r="L96" s="37" t="n">
        <f aca="false">K96/B96</f>
        <v>33.0931614983288</v>
      </c>
      <c r="M96" s="14" t="n">
        <v>4.7694</v>
      </c>
      <c r="N96" s="37" t="n">
        <f aca="false">M96/B96</f>
        <v>4.17853435020873</v>
      </c>
      <c r="O96" s="11" t="n">
        <v>1</v>
      </c>
      <c r="P96" s="37" t="n">
        <f aca="false">C96</f>
        <v>574.692593776968</v>
      </c>
    </row>
    <row r="97" customFormat="false" ht="15" hidden="false" customHeight="false" outlineLevel="0" collapsed="false">
      <c r="A97" s="10" t="s">
        <v>1811</v>
      </c>
      <c r="B97" s="36" t="n">
        <v>1.130378</v>
      </c>
      <c r="C97" s="37" t="n">
        <f aca="false">Parametres!$C$3/B97</f>
        <v>580.298802701397</v>
      </c>
      <c r="D97" s="14" t="n">
        <v>5.9469</v>
      </c>
      <c r="E97" s="14" t="n">
        <v>3554.9917</v>
      </c>
      <c r="F97" s="14" t="n">
        <v>23178.78</v>
      </c>
      <c r="G97" s="14" t="n">
        <v>2295.9594</v>
      </c>
      <c r="H97" s="14" t="n">
        <v>414.3357</v>
      </c>
      <c r="I97" s="14" t="n">
        <v>16184.1722</v>
      </c>
      <c r="J97" s="37" t="n">
        <f aca="false">I97/B97</f>
        <v>14317.4868937647</v>
      </c>
      <c r="K97" s="14" t="n">
        <v>37.9307</v>
      </c>
      <c r="L97" s="37" t="n">
        <f aca="false">K97/B97</f>
        <v>33.5557663011842</v>
      </c>
      <c r="M97" s="14" t="n">
        <v>4.7599</v>
      </c>
      <c r="N97" s="37" t="n">
        <f aca="false">M97/B97</f>
        <v>4.21089228558942</v>
      </c>
      <c r="O97" s="11" t="n">
        <v>1</v>
      </c>
      <c r="P97" s="37" t="n">
        <f aca="false">C97</f>
        <v>580.298802701397</v>
      </c>
    </row>
    <row r="98" customFormat="false" ht="15" hidden="false" customHeight="false" outlineLevel="0" collapsed="false">
      <c r="A98" s="10" t="s">
        <v>1812</v>
      </c>
      <c r="B98" s="36" t="n">
        <v>1.131448</v>
      </c>
      <c r="C98" s="37" t="n">
        <f aca="false">Parametres!$C$3/B98</f>
        <v>579.750019444111</v>
      </c>
      <c r="D98" s="14" t="n">
        <v>6.014</v>
      </c>
      <c r="E98" s="14" t="n">
        <v>3528.8335</v>
      </c>
      <c r="F98" s="14" t="n">
        <v>23102.04</v>
      </c>
      <c r="G98" s="14" t="n">
        <v>2297.9036</v>
      </c>
      <c r="H98" s="14" t="n">
        <v>415.96</v>
      </c>
      <c r="I98" s="14" t="n">
        <v>16227.119</v>
      </c>
      <c r="J98" s="37" t="n">
        <f aca="false">I98/B98</f>
        <v>14341.9043561878</v>
      </c>
      <c r="K98" s="14" t="n">
        <v>37.6068</v>
      </c>
      <c r="L98" s="37" t="n">
        <f aca="false">K98/B98</f>
        <v>33.2377625838748</v>
      </c>
      <c r="M98" s="14" t="n">
        <v>4.7405</v>
      </c>
      <c r="N98" s="37" t="n">
        <f aca="false">M98/B98</f>
        <v>4.18976391314493</v>
      </c>
      <c r="O98" s="11" t="n">
        <v>1</v>
      </c>
      <c r="P98" s="37" t="n">
        <f aca="false">C98</f>
        <v>579.750019444111</v>
      </c>
    </row>
    <row r="99" customFormat="false" ht="15" hidden="false" customHeight="false" outlineLevel="0" collapsed="false">
      <c r="A99" s="10" t="s">
        <v>1813</v>
      </c>
      <c r="B99" s="36" t="n">
        <v>1.13419</v>
      </c>
      <c r="C99" s="37" t="n">
        <f aca="false">Parametres!$C$3/B99</f>
        <v>578.348424867086</v>
      </c>
      <c r="D99" s="14" t="n">
        <v>6.3076</v>
      </c>
      <c r="E99" s="14" t="n">
        <v>3514.5068</v>
      </c>
      <c r="F99" s="14" t="n">
        <v>23115</v>
      </c>
      <c r="G99" s="14" t="n">
        <v>2298.1748</v>
      </c>
      <c r="H99" s="14" t="n">
        <v>416.95</v>
      </c>
      <c r="I99" s="14" t="n">
        <v>16271.777</v>
      </c>
      <c r="J99" s="37" t="n">
        <f aca="false">I99/B99</f>
        <v>14346.6059478571</v>
      </c>
      <c r="K99" s="14" t="n">
        <v>37.0142</v>
      </c>
      <c r="L99" s="37" t="n">
        <f aca="false">K99/B99</f>
        <v>32.6349200751197</v>
      </c>
      <c r="M99" s="14" t="n">
        <v>4.7492</v>
      </c>
      <c r="N99" s="37" t="n">
        <f aca="false">M99/B99</f>
        <v>4.18730547791816</v>
      </c>
      <c r="O99" s="11" t="n">
        <v>1</v>
      </c>
      <c r="P99" s="37" t="n">
        <f aca="false">C99</f>
        <v>578.348424867086</v>
      </c>
    </row>
    <row r="100" customFormat="false" ht="15" hidden="false" customHeight="false" outlineLevel="0" collapsed="false">
      <c r="A100" s="10" t="s">
        <v>1814</v>
      </c>
      <c r="B100" s="36" t="n">
        <v>1.101896</v>
      </c>
      <c r="C100" s="37" t="n">
        <f aca="false">Parametres!$C$3/B100</f>
        <v>595.298467368971</v>
      </c>
      <c r="D100" s="14" t="n">
        <v>7.0465</v>
      </c>
      <c r="E100" s="14" t="n">
        <v>3589.8423</v>
      </c>
      <c r="F100" s="14" t="n">
        <v>23152.89</v>
      </c>
      <c r="G100" s="14" t="n">
        <v>2298.4501</v>
      </c>
      <c r="H100" s="14" t="n">
        <v>415.7217</v>
      </c>
      <c r="I100" s="14" t="n">
        <v>15802.1191</v>
      </c>
      <c r="J100" s="37" t="n">
        <f aca="false">I100/B100</f>
        <v>14340.844417259</v>
      </c>
      <c r="K100" s="14" t="n">
        <v>36.6481</v>
      </c>
      <c r="L100" s="37" t="n">
        <f aca="false">K100/B100</f>
        <v>33.2591279031778</v>
      </c>
      <c r="M100" s="14" t="n">
        <v>4.6277</v>
      </c>
      <c r="N100" s="37" t="n">
        <f aca="false">M100/B100</f>
        <v>4.19976113898226</v>
      </c>
      <c r="O100" s="11" t="n">
        <v>1</v>
      </c>
      <c r="P100" s="37" t="n">
        <f aca="false">C100</f>
        <v>595.298467368971</v>
      </c>
    </row>
    <row r="101" customFormat="false" ht="15" hidden="false" customHeight="false" outlineLevel="0" collapsed="false">
      <c r="A101" s="10" t="s">
        <v>1815</v>
      </c>
      <c r="B101" s="36" t="n">
        <v>1.081874</v>
      </c>
      <c r="C101" s="37" t="n">
        <f aca="false">Parametres!$C$3/B101</f>
        <v>606.315522879744</v>
      </c>
      <c r="D101" s="14" t="n">
        <v>7.1123</v>
      </c>
      <c r="E101" s="14" t="n">
        <v>3541.4561</v>
      </c>
      <c r="F101" s="14" t="n">
        <v>23112.92</v>
      </c>
      <c r="G101" s="14" t="n">
        <v>2298.7037</v>
      </c>
      <c r="H101" s="14" t="n">
        <v>415.5263</v>
      </c>
      <c r="I101" s="14" t="n">
        <v>15566.6363</v>
      </c>
      <c r="J101" s="37" t="n">
        <f aca="false">I101/B101</f>
        <v>14388.585269634</v>
      </c>
      <c r="K101" s="14" t="n">
        <v>36.559</v>
      </c>
      <c r="L101" s="37" t="n">
        <f aca="false">K101/B101</f>
        <v>33.7922900448666</v>
      </c>
      <c r="M101" s="14" t="n">
        <v>4.6208</v>
      </c>
      <c r="N101" s="37" t="n">
        <f aca="false">M101/B101</f>
        <v>4.27110735630952</v>
      </c>
      <c r="O101" s="11" t="n">
        <v>1</v>
      </c>
      <c r="P101" s="37" t="n">
        <f aca="false">C101</f>
        <v>606.315522879744</v>
      </c>
    </row>
    <row r="102" customFormat="false" ht="15" hidden="false" customHeight="false" outlineLevel="0" collapsed="false">
      <c r="A102" s="10" t="s">
        <v>1816</v>
      </c>
      <c r="B102" s="36" t="n">
        <v>1.05785</v>
      </c>
      <c r="C102" s="37" t="n">
        <f aca="false">Parametres!$C$3/B102</f>
        <v>620.085078224701</v>
      </c>
      <c r="D102" s="14" t="n">
        <v>7.126</v>
      </c>
      <c r="E102" s="14" t="n">
        <v>3633.0681</v>
      </c>
      <c r="F102" s="14" t="n">
        <v>23129.44</v>
      </c>
      <c r="G102" s="14" t="n">
        <v>2299.8604</v>
      </c>
      <c r="H102" s="14" t="n">
        <v>415.95</v>
      </c>
      <c r="I102" s="14" t="n">
        <v>15422.6245</v>
      </c>
      <c r="J102" s="37" t="n">
        <f aca="false">I102/B102</f>
        <v>14579.2168076759</v>
      </c>
      <c r="K102" s="14" t="n">
        <v>36.3916</v>
      </c>
      <c r="L102" s="37" t="n">
        <f aca="false">K102/B102</f>
        <v>34.4014746892282</v>
      </c>
      <c r="M102" s="14" t="n">
        <v>4.6344</v>
      </c>
      <c r="N102" s="37" t="n">
        <f aca="false">M102/B102</f>
        <v>4.38096138393912</v>
      </c>
      <c r="O102" s="11" t="n">
        <v>1</v>
      </c>
      <c r="P102" s="37" t="n">
        <f aca="false">C102</f>
        <v>620.085078224701</v>
      </c>
    </row>
    <row r="103" customFormat="false" ht="15" hidden="false" customHeight="false" outlineLevel="0" collapsed="false">
      <c r="A103" s="10" t="s">
        <v>1817</v>
      </c>
      <c r="B103" s="36" t="n">
        <v>1.056582</v>
      </c>
      <c r="C103" s="37" t="n">
        <f aca="false">Parametres!$C$3/B103</f>
        <v>620.829239945409</v>
      </c>
      <c r="D103" s="14" t="n">
        <v>7.1908</v>
      </c>
      <c r="E103" s="14" t="n">
        <v>3747.3807</v>
      </c>
      <c r="F103" s="14" t="n">
        <v>23082.23</v>
      </c>
      <c r="G103" s="14" t="n">
        <v>2302.3962</v>
      </c>
      <c r="H103" s="14" t="n">
        <v>415.6143</v>
      </c>
      <c r="I103" s="14" t="n">
        <v>15531.7441</v>
      </c>
      <c r="J103" s="37" t="n">
        <f aca="false">I103/B103</f>
        <v>14699.9893051368</v>
      </c>
      <c r="K103" s="14" t="n">
        <v>36.9277</v>
      </c>
      <c r="L103" s="37" t="n">
        <f aca="false">K103/B103</f>
        <v>34.9501505798887</v>
      </c>
      <c r="M103" s="14" t="n">
        <v>4.6496</v>
      </c>
      <c r="N103" s="37" t="n">
        <f aca="false">M103/B103</f>
        <v>4.40060496960955</v>
      </c>
      <c r="O103" s="11" t="n">
        <v>1</v>
      </c>
      <c r="P103" s="37" t="n">
        <f aca="false">C103</f>
        <v>620.829239945409</v>
      </c>
    </row>
    <row r="104" customFormat="false" ht="15" hidden="false" customHeight="false" outlineLevel="0" collapsed="false">
      <c r="A104" s="10" t="s">
        <v>1818</v>
      </c>
      <c r="B104" s="36" t="n">
        <v>1.01789</v>
      </c>
      <c r="C104" s="37" t="n">
        <f aca="false">Parametres!$C$3/B104</f>
        <v>644.428179862264</v>
      </c>
      <c r="D104" s="14" t="n">
        <v>7.3908</v>
      </c>
      <c r="E104" s="14" t="n">
        <v>3791.5919</v>
      </c>
      <c r="F104" s="14" t="n">
        <v>23187</v>
      </c>
      <c r="G104" s="14" t="n">
        <v>2304.4356</v>
      </c>
      <c r="H104" s="14" t="n">
        <v>417.2605</v>
      </c>
      <c r="I104" s="14" t="n">
        <v>15258.22</v>
      </c>
      <c r="J104" s="37" t="n">
        <f aca="false">I104/B104</f>
        <v>14990.0480405545</v>
      </c>
      <c r="K104" s="14" t="n">
        <v>37.0284</v>
      </c>
      <c r="L104" s="37" t="n">
        <f aca="false">K104/B104</f>
        <v>36.3776046527621</v>
      </c>
      <c r="M104" s="14" t="n">
        <v>4.5197</v>
      </c>
      <c r="N104" s="37" t="n">
        <f aca="false">M104/B104</f>
        <v>4.44026368271621</v>
      </c>
      <c r="O104" s="11" t="n">
        <v>1</v>
      </c>
      <c r="P104" s="37" t="n">
        <f aca="false">C104</f>
        <v>644.428179862264</v>
      </c>
    </row>
    <row r="105" customFormat="false" ht="15" hidden="false" customHeight="false" outlineLevel="0" collapsed="false">
      <c r="A105" s="10" t="s">
        <v>1819</v>
      </c>
      <c r="B105" s="36" t="n">
        <v>1.012843</v>
      </c>
      <c r="C105" s="37" t="n">
        <f aca="false">Parametres!$C$3/B105</f>
        <v>647.639367601889</v>
      </c>
      <c r="D105" s="14" t="n">
        <v>8.0588</v>
      </c>
      <c r="E105" s="14" t="n">
        <v>3832.4491</v>
      </c>
      <c r="F105" s="14" t="n">
        <v>23190.41</v>
      </c>
      <c r="G105" s="14" t="n">
        <v>2304.7436</v>
      </c>
      <c r="H105" s="14" t="n">
        <v>426.0609</v>
      </c>
      <c r="I105" s="14" t="n">
        <v>15024.1635</v>
      </c>
      <c r="J105" s="37" t="n">
        <f aca="false">I105/B105</f>
        <v>14833.6548704982</v>
      </c>
      <c r="K105" s="14" t="n">
        <v>36.3063</v>
      </c>
      <c r="L105" s="37" t="n">
        <f aca="false">K105/B105</f>
        <v>35.8459307118675</v>
      </c>
      <c r="M105" s="14" t="n">
        <v>4.5233</v>
      </c>
      <c r="N105" s="37" t="n">
        <f aca="false">M105/B105</f>
        <v>4.4659438827143</v>
      </c>
      <c r="O105" s="11" t="n">
        <v>1</v>
      </c>
      <c r="P105" s="37" t="n">
        <f aca="false">C105</f>
        <v>647.639367601889</v>
      </c>
    </row>
    <row r="106" customFormat="false" ht="15" hidden="false" customHeight="false" outlineLevel="0" collapsed="false">
      <c r="A106" s="10" t="s">
        <v>1820</v>
      </c>
      <c r="B106" s="36" t="n">
        <v>0.990377</v>
      </c>
      <c r="C106" s="37" t="n">
        <f aca="false">Parametres!$C$3/B106</f>
        <v>662.33060743535</v>
      </c>
      <c r="D106" s="14" t="n">
        <v>8.7472</v>
      </c>
      <c r="E106" s="14" t="n">
        <v>3825.3264</v>
      </c>
      <c r="F106" s="14" t="n">
        <v>23295</v>
      </c>
      <c r="G106" s="14" t="n">
        <v>2306.445</v>
      </c>
      <c r="H106" s="14" t="n">
        <v>435.5705</v>
      </c>
      <c r="I106" s="14" t="n">
        <v>14847.4027</v>
      </c>
      <c r="J106" s="37" t="n">
        <f aca="false">I106/B106</f>
        <v>14991.6675165114</v>
      </c>
      <c r="K106" s="14" t="n">
        <v>36.6698</v>
      </c>
      <c r="L106" s="37" t="n">
        <f aca="false">K106/B106</f>
        <v>37.0261021812906</v>
      </c>
      <c r="M106" s="14" t="n">
        <v>4.5005</v>
      </c>
      <c r="N106" s="37" t="n">
        <f aca="false">M106/B106</f>
        <v>4.54422911679088</v>
      </c>
      <c r="O106" s="11" t="n">
        <v>1</v>
      </c>
      <c r="P106" s="37" t="n">
        <f aca="false">C106</f>
        <v>662.33060743535</v>
      </c>
    </row>
    <row r="107" customFormat="false" ht="15" hidden="false" customHeight="false" outlineLevel="0" collapsed="false">
      <c r="A107" s="10" t="s">
        <v>1821</v>
      </c>
      <c r="B107" s="36" t="n">
        <v>0.982567</v>
      </c>
      <c r="C107" s="37" t="n">
        <f aca="false">Parametres!$C$3/B107</f>
        <v>667.595186893108</v>
      </c>
      <c r="D107" s="14" t="n">
        <v>11.1671</v>
      </c>
      <c r="E107" s="14" t="n">
        <v>3822.2676</v>
      </c>
      <c r="F107" s="14" t="n">
        <v>23564.38</v>
      </c>
      <c r="G107" s="14" t="n">
        <v>2308.198</v>
      </c>
      <c r="H107" s="14" t="n">
        <v>440.8468</v>
      </c>
      <c r="I107" s="14" t="n">
        <v>15172.9267</v>
      </c>
      <c r="J107" s="37" t="n">
        <f aca="false">I107/B107</f>
        <v>15442.1293407981</v>
      </c>
      <c r="K107" s="14" t="n">
        <v>37.2858</v>
      </c>
      <c r="L107" s="37" t="n">
        <f aca="false">K107/B107</f>
        <v>37.9473359068644</v>
      </c>
      <c r="M107" s="14" t="n">
        <v>4.6127</v>
      </c>
      <c r="N107" s="37" t="n">
        <f aca="false">M107/B107</f>
        <v>4.69453991432645</v>
      </c>
      <c r="O107" s="11" t="n">
        <v>1</v>
      </c>
      <c r="P107" s="37" t="n">
        <f aca="false">C107</f>
        <v>667.595186893108</v>
      </c>
    </row>
    <row r="108" customFormat="false" ht="15" hidden="false" customHeight="false" outlineLevel="0" collapsed="false">
      <c r="A108" s="10" t="s">
        <v>1822</v>
      </c>
      <c r="B108" s="36" t="n">
        <v>1.020127</v>
      </c>
      <c r="C108" s="37" t="n">
        <f aca="false">Parametres!$C$3/B108</f>
        <v>643.01503636312</v>
      </c>
      <c r="D108" s="14" t="n">
        <v>13.073</v>
      </c>
      <c r="E108" s="14" t="n">
        <v>3760.2282</v>
      </c>
      <c r="F108" s="14" t="n">
        <v>23679.35</v>
      </c>
      <c r="G108" s="14" t="n">
        <v>2308.372</v>
      </c>
      <c r="H108" s="14" t="n">
        <v>445.5814</v>
      </c>
      <c r="I108" s="14" t="n">
        <v>15975.0745</v>
      </c>
      <c r="J108" s="37" t="n">
        <f aca="false">I108/B108</f>
        <v>15659.8879355218</v>
      </c>
      <c r="K108" s="14" t="n">
        <v>37.0867</v>
      </c>
      <c r="L108" s="37" t="n">
        <f aca="false">K108/B108</f>
        <v>36.3549832520853</v>
      </c>
      <c r="M108" s="14" t="n">
        <v>4.7002</v>
      </c>
      <c r="N108" s="37" t="n">
        <f aca="false">M108/B108</f>
        <v>4.60746554105518</v>
      </c>
      <c r="O108" s="11" t="n">
        <v>1</v>
      </c>
      <c r="P108" s="37" t="n">
        <f aca="false">C108</f>
        <v>643.01503636312</v>
      </c>
    </row>
    <row r="109" customFormat="false" ht="15" hidden="false" customHeight="false" outlineLevel="0" collapsed="false">
      <c r="A109" s="10" t="s">
        <v>1823</v>
      </c>
      <c r="B109" s="36" t="n">
        <v>1.058881</v>
      </c>
      <c r="C109" s="37" t="n">
        <f aca="false">Parametres!$C$3/B109</f>
        <v>619.481320375</v>
      </c>
      <c r="D109" s="14" t="n">
        <v>10.0347</v>
      </c>
      <c r="E109" s="14" t="n">
        <v>3690.8579</v>
      </c>
      <c r="F109" s="14" t="n">
        <v>23643.89</v>
      </c>
      <c r="G109" s="14" t="n">
        <v>2308.721</v>
      </c>
      <c r="H109" s="14" t="n">
        <v>450.7075</v>
      </c>
      <c r="I109" s="14" t="n">
        <v>16503.2962</v>
      </c>
      <c r="J109" s="37" t="n">
        <f aca="false">I109/B109</f>
        <v>15585.6004593528</v>
      </c>
      <c r="K109" s="14" t="n">
        <v>36.8173</v>
      </c>
      <c r="L109" s="37" t="n">
        <f aca="false">K109/B109</f>
        <v>34.77000720572</v>
      </c>
      <c r="M109" s="14" t="n">
        <v>4.6721</v>
      </c>
      <c r="N109" s="37" t="n">
        <f aca="false">M109/B109</f>
        <v>4.41229939908262</v>
      </c>
      <c r="O109" s="11" t="n">
        <v>1</v>
      </c>
      <c r="P109" s="37" t="n">
        <f aca="false">C109</f>
        <v>619.481320375</v>
      </c>
    </row>
    <row r="110" customFormat="false" ht="15" hidden="false" customHeight="false" outlineLevel="0" collapsed="false">
      <c r="A110" s="10" t="s">
        <v>1824</v>
      </c>
      <c r="B110" s="36" t="n">
        <v>1.0769</v>
      </c>
      <c r="C110" s="37" t="n">
        <f aca="false">Parametres!$C$3/B110</f>
        <v>609.115981056737</v>
      </c>
      <c r="D110" s="14" t="n">
        <v>9.9092</v>
      </c>
      <c r="E110" s="14" t="n">
        <v>3693.6105</v>
      </c>
      <c r="F110" s="14" t="n">
        <v>23604.78</v>
      </c>
      <c r="G110" s="14" t="n">
        <v>2309.125</v>
      </c>
      <c r="H110" s="14" t="n">
        <v>460.9929</v>
      </c>
      <c r="I110" s="14" t="n">
        <v>16427.0418</v>
      </c>
      <c r="J110" s="37" t="n">
        <f aca="false">I110/B110</f>
        <v>15254.0085430402</v>
      </c>
      <c r="K110" s="14" t="n">
        <v>35.8399</v>
      </c>
      <c r="L110" s="37" t="n">
        <f aca="false">K110/B110</f>
        <v>33.2806202990064</v>
      </c>
      <c r="M110" s="14" t="n">
        <v>4.6589</v>
      </c>
      <c r="N110" s="37" t="n">
        <f aca="false">M110/B110</f>
        <v>4.32621413316</v>
      </c>
      <c r="O110" s="11" t="n">
        <v>1</v>
      </c>
      <c r="P110" s="37" t="n">
        <f aca="false">C110</f>
        <v>609.115981056737</v>
      </c>
    </row>
    <row r="111" customFormat="false" ht="15" hidden="false" customHeight="false" outlineLevel="0" collapsed="false">
      <c r="A111" s="10" t="s">
        <v>1825</v>
      </c>
      <c r="B111" s="36" t="n">
        <v>1.07151</v>
      </c>
      <c r="C111" s="37" t="n">
        <f aca="false">Parametres!$C$3/B111</f>
        <v>612.180007652752</v>
      </c>
      <c r="D111" s="14" t="n">
        <v>10.8636</v>
      </c>
      <c r="E111" s="14" t="n">
        <v>3685.7158</v>
      </c>
      <c r="F111" s="14" t="n">
        <v>23629.75</v>
      </c>
      <c r="G111" s="14" t="n">
        <v>2309.618</v>
      </c>
      <c r="H111" s="14" t="n">
        <v>460.835</v>
      </c>
      <c r="I111" s="14" t="n">
        <v>16232.5785</v>
      </c>
      <c r="J111" s="37" t="n">
        <f aca="false">I111/B111</f>
        <v>15149.2552566005</v>
      </c>
      <c r="K111" s="14" t="n">
        <v>36.4858</v>
      </c>
      <c r="L111" s="37" t="n">
        <f aca="false">K111/B111</f>
        <v>34.0508254705976</v>
      </c>
      <c r="M111" s="14" t="n">
        <v>4.6794</v>
      </c>
      <c r="N111" s="37" t="n">
        <f aca="false">M111/B111</f>
        <v>4.36710809978442</v>
      </c>
      <c r="O111" s="11" t="n">
        <v>1</v>
      </c>
      <c r="P111" s="37" t="n">
        <f aca="false">C111</f>
        <v>612.180007652752</v>
      </c>
    </row>
    <row r="112" customFormat="false" ht="15" hidden="false" customHeight="false" outlineLevel="0" collapsed="false">
      <c r="A112" s="10" t="s">
        <v>1826</v>
      </c>
      <c r="B112" s="36" t="n">
        <v>1.070583</v>
      </c>
      <c r="C112" s="37" t="n">
        <f aca="false">Parametres!$C$3/B112</f>
        <v>612.71008413173</v>
      </c>
      <c r="D112" s="14" t="n">
        <v>11.014</v>
      </c>
      <c r="E112" s="14" t="n">
        <v>3744.515</v>
      </c>
      <c r="F112" s="14" t="n">
        <v>23621.81</v>
      </c>
      <c r="G112" s="14" t="n">
        <v>2310.588</v>
      </c>
      <c r="H112" s="14" t="n">
        <v>460.9735</v>
      </c>
      <c r="I112" s="14" t="n">
        <v>16364.9843</v>
      </c>
      <c r="J112" s="37" t="n">
        <f aca="false">I112/B112</f>
        <v>15286.0490966137</v>
      </c>
      <c r="K112" s="14" t="n">
        <v>36.9118</v>
      </c>
      <c r="L112" s="37" t="n">
        <f aca="false">K112/B112</f>
        <v>34.4782235473569</v>
      </c>
      <c r="M112" s="14" t="n">
        <v>4.7816</v>
      </c>
      <c r="N112" s="37" t="n">
        <f aca="false">M112/B112</f>
        <v>4.46635151127937</v>
      </c>
      <c r="O112" s="11" t="n">
        <v>1</v>
      </c>
      <c r="P112" s="37" t="n">
        <f aca="false">C112</f>
        <v>612.71008413173</v>
      </c>
    </row>
    <row r="113" customFormat="false" ht="15" hidden="false" customHeight="false" outlineLevel="0" collapsed="false">
      <c r="A113" s="10" t="s">
        <v>1827</v>
      </c>
      <c r="B113" s="36" t="n">
        <v>1.096772</v>
      </c>
      <c r="C113" s="37" t="n">
        <f aca="false">Parametres!$C$3/B113</f>
        <v>598.079637335745</v>
      </c>
      <c r="D113" s="14" t="n">
        <v>10.9453</v>
      </c>
      <c r="E113" s="14" t="n">
        <v>3745.8194</v>
      </c>
      <c r="F113" s="14" t="n">
        <v>23615.46</v>
      </c>
      <c r="G113" s="14" t="n">
        <v>2312.489</v>
      </c>
      <c r="H113" s="14" t="n">
        <v>460.9563</v>
      </c>
      <c r="I113" s="14" t="n">
        <v>16313.2006</v>
      </c>
      <c r="J113" s="37" t="n">
        <f aca="false">I113/B113</f>
        <v>14873.8302947194</v>
      </c>
      <c r="K113" s="14" t="n">
        <v>37.5487</v>
      </c>
      <c r="L113" s="37" t="n">
        <f aca="false">K113/B113</f>
        <v>34.2356478830605</v>
      </c>
      <c r="M113" s="14" t="n">
        <v>4.8561</v>
      </c>
      <c r="N113" s="37" t="n">
        <f aca="false">M113/B113</f>
        <v>4.42762944349418</v>
      </c>
      <c r="O113" s="11" t="n">
        <v>1</v>
      </c>
      <c r="P113" s="37" t="n">
        <f aca="false">C113</f>
        <v>598.079637335745</v>
      </c>
    </row>
    <row r="114" customFormat="false" ht="15" hidden="false" customHeight="false" outlineLevel="0" collapsed="false">
      <c r="A114" s="10" t="s">
        <v>1828</v>
      </c>
      <c r="B114" s="36" t="n">
        <v>1.08675</v>
      </c>
      <c r="C114" s="37" t="n">
        <f aca="false">Parametres!$C$3/B114</f>
        <v>603.595123073384</v>
      </c>
      <c r="D114" s="14" t="n">
        <v>10.9218</v>
      </c>
      <c r="E114" s="14" t="n">
        <v>3729.5545</v>
      </c>
      <c r="F114" s="14" t="n">
        <v>23664.5</v>
      </c>
      <c r="G114" s="14" t="n">
        <v>2316.18</v>
      </c>
      <c r="H114" s="14" t="n">
        <v>462.0095</v>
      </c>
      <c r="I114" s="14" t="n">
        <v>16116.8418</v>
      </c>
      <c r="J114" s="37" t="n">
        <f aca="false">I114/B114</f>
        <v>14830.3122153209</v>
      </c>
      <c r="K114" s="14" t="n">
        <v>37.1656</v>
      </c>
      <c r="L114" s="37" t="n">
        <f aca="false">K114/B114</f>
        <v>34.1988497814585</v>
      </c>
      <c r="M114" s="14" t="n">
        <v>4.9119</v>
      </c>
      <c r="N114" s="37" t="n">
        <f aca="false">M114/B114</f>
        <v>4.51980676328502</v>
      </c>
      <c r="O114" s="11" t="n">
        <v>1</v>
      </c>
      <c r="P114" s="37" t="n">
        <f aca="false">C114</f>
        <v>603.595123073384</v>
      </c>
    </row>
    <row r="115" customFormat="false" ht="15" hidden="false" customHeight="false" outlineLevel="0" collapsed="false">
      <c r="A115" s="10" t="s">
        <v>1829</v>
      </c>
      <c r="B115" s="36" t="n">
        <v>1.083986</v>
      </c>
      <c r="C115" s="37" t="n">
        <f aca="false">Parametres!$C$3/B115</f>
        <v>605.134199150174</v>
      </c>
      <c r="D115" s="14" t="n">
        <v>10.9836</v>
      </c>
      <c r="E115" s="14" t="n">
        <v>3707.788</v>
      </c>
      <c r="F115" s="14" t="n">
        <v>23763.15</v>
      </c>
      <c r="G115" s="14" t="n">
        <v>2322.893</v>
      </c>
      <c r="H115" s="14" t="n">
        <v>610.7072</v>
      </c>
      <c r="I115" s="14" t="n">
        <v>16194.8795</v>
      </c>
      <c r="J115" s="37" t="n">
        <f aca="false">I115/B115</f>
        <v>14940.1186915698</v>
      </c>
      <c r="K115" s="14" t="n">
        <v>37.8519</v>
      </c>
      <c r="L115" s="37" t="n">
        <f aca="false">K115/B115</f>
        <v>34.9191779229621</v>
      </c>
      <c r="M115" s="14" t="n">
        <v>5.0208</v>
      </c>
      <c r="N115" s="37" t="n">
        <f aca="false">M115/B115</f>
        <v>4.63179413756266</v>
      </c>
      <c r="O115" s="11" t="n">
        <v>1</v>
      </c>
      <c r="P115" s="37" t="n">
        <f aca="false">C115</f>
        <v>605.134199150174</v>
      </c>
    </row>
    <row r="116" customFormat="false" ht="15" hidden="false" customHeight="false" outlineLevel="0" collapsed="false">
      <c r="A116" s="10" t="s">
        <v>1830</v>
      </c>
      <c r="B116" s="36" t="n">
        <v>1.105814</v>
      </c>
      <c r="C116" s="37" t="n">
        <f aca="false">Parametres!$C$3/B116</f>
        <v>593.189270528317</v>
      </c>
      <c r="D116" s="14" t="n">
        <v>11.002</v>
      </c>
      <c r="E116" s="14" t="n">
        <v>3661.2295</v>
      </c>
      <c r="F116" s="14" t="n">
        <v>23763.15</v>
      </c>
      <c r="G116" s="14" t="n">
        <v>2347.115</v>
      </c>
      <c r="H116" s="14" t="n">
        <v>770.3166</v>
      </c>
      <c r="I116" s="14" t="n">
        <v>16639.9919</v>
      </c>
      <c r="J116" s="37" t="n">
        <f aca="false">I116/B116</f>
        <v>15047.7312640281</v>
      </c>
      <c r="K116" s="14" t="n">
        <v>38.243</v>
      </c>
      <c r="L116" s="37" t="n">
        <f aca="false">K116/B116</f>
        <v>34.5835737293975</v>
      </c>
      <c r="M116" s="14" t="n">
        <v>5.0754</v>
      </c>
      <c r="N116" s="37" t="n">
        <f aca="false">M116/B116</f>
        <v>4.58974113187209</v>
      </c>
      <c r="O116" s="11" t="n">
        <v>1</v>
      </c>
      <c r="P116" s="37" t="n">
        <f aca="false">C116</f>
        <v>593.189270528317</v>
      </c>
    </row>
    <row r="117" customFormat="false" ht="15" hidden="false" customHeight="false" outlineLevel="0" collapsed="false">
      <c r="A117" s="10" t="s">
        <v>1831</v>
      </c>
      <c r="B117" s="36" t="n">
        <v>1.090887</v>
      </c>
      <c r="C117" s="37" t="n">
        <f aca="false">Parametres!$C$3/B117</f>
        <v>601.306093115052</v>
      </c>
      <c r="D117" s="14" t="n">
        <v>11.01</v>
      </c>
      <c r="E117" s="14" t="n">
        <v>3689.1226</v>
      </c>
      <c r="F117" s="14" t="n">
        <v>23882.15</v>
      </c>
      <c r="G117" s="14" t="n">
        <v>2428.097</v>
      </c>
      <c r="H117" s="14" t="n">
        <v>762.1201</v>
      </c>
      <c r="I117" s="14" t="n">
        <v>16639.3957</v>
      </c>
      <c r="J117" s="37" t="n">
        <f aca="false">I117/B117</f>
        <v>15253.0882667041</v>
      </c>
      <c r="K117" s="14" t="n">
        <v>38.1949</v>
      </c>
      <c r="L117" s="37" t="n">
        <f aca="false">K117/B117</f>
        <v>35.0127006738553</v>
      </c>
      <c r="M117" s="14" t="n">
        <v>5.0294</v>
      </c>
      <c r="N117" s="37" t="n">
        <f aca="false">M117/B117</f>
        <v>4.61037669346138</v>
      </c>
      <c r="O117" s="11" t="n">
        <v>1</v>
      </c>
      <c r="P117" s="37" t="n">
        <f aca="false">C117</f>
        <v>601.306093115052</v>
      </c>
    </row>
    <row r="118" customFormat="false" ht="15" hidden="false" customHeight="false" outlineLevel="0" collapsed="false">
      <c r="A118" s="10" t="s">
        <v>1832</v>
      </c>
      <c r="B118" s="36" t="n">
        <v>1.068381</v>
      </c>
      <c r="C118" s="37" t="n">
        <f aca="false">Parametres!$C$3/B118</f>
        <v>613.972917901011</v>
      </c>
      <c r="D118" s="14" t="n">
        <v>11.06</v>
      </c>
      <c r="E118" s="14" t="n">
        <v>3738.0222</v>
      </c>
      <c r="F118" s="14" t="n">
        <v>24037.52</v>
      </c>
      <c r="G118" s="14" t="n">
        <v>2463.737</v>
      </c>
      <c r="H118" s="14" t="n">
        <v>762.0186</v>
      </c>
      <c r="I118" s="14" t="n">
        <v>16424.6748</v>
      </c>
      <c r="J118" s="37" t="n">
        <f aca="false">I118/B118</f>
        <v>15373.4246490718</v>
      </c>
      <c r="K118" s="14" t="n">
        <v>38.301</v>
      </c>
      <c r="L118" s="37" t="n">
        <f aca="false">K118/B118</f>
        <v>35.8495705183825</v>
      </c>
      <c r="M118" s="14" t="n">
        <v>5.0024</v>
      </c>
      <c r="N118" s="37" t="n">
        <f aca="false">M118/B118</f>
        <v>4.68222478685038</v>
      </c>
      <c r="O118" s="11" t="n">
        <v>1</v>
      </c>
      <c r="P118" s="37" t="n">
        <f aca="false">C118</f>
        <v>613.972917901011</v>
      </c>
    </row>
    <row r="119" customFormat="false" ht="15" hidden="false" customHeight="false" outlineLevel="0" collapsed="false">
      <c r="A119" s="10" t="s">
        <v>1833</v>
      </c>
      <c r="B119" s="36" t="n">
        <v>1.056255</v>
      </c>
      <c r="C119" s="37" t="n">
        <f aca="false">Parametres!$C$3/B119</f>
        <v>621.021438951768</v>
      </c>
      <c r="D119" s="14" t="n">
        <v>11.3354</v>
      </c>
      <c r="E119" s="14" t="n">
        <v>3755.6253</v>
      </c>
      <c r="F119" s="14" t="n">
        <v>24079.06</v>
      </c>
      <c r="G119" s="14" t="n">
        <v>2482.578</v>
      </c>
      <c r="H119" s="14" t="n">
        <v>796.9376</v>
      </c>
      <c r="I119" s="14" t="n">
        <v>16646.6664</v>
      </c>
      <c r="J119" s="37" t="n">
        <f aca="false">I119/B119</f>
        <v>15760.0829345187</v>
      </c>
      <c r="K119" s="14" t="n">
        <v>38.5486</v>
      </c>
      <c r="L119" s="37" t="n">
        <f aca="false">K119/B119</f>
        <v>36.4955432163635</v>
      </c>
      <c r="M119" s="14" t="n">
        <v>5.0142</v>
      </c>
      <c r="N119" s="37" t="n">
        <f aca="false">M119/B119</f>
        <v>4.7471491259213</v>
      </c>
      <c r="O119" s="11" t="n">
        <v>1</v>
      </c>
      <c r="P119" s="37" t="n">
        <f aca="false">C119</f>
        <v>621.021438951768</v>
      </c>
    </row>
    <row r="120" customFormat="false" ht="15" hidden="false" customHeight="false" outlineLevel="0" collapsed="false">
      <c r="A120" s="10" t="s">
        <v>1834</v>
      </c>
      <c r="B120" s="36" t="n">
        <v>1.080823</v>
      </c>
      <c r="C120" s="37" t="n">
        <f aca="false">Parametres!$C$3/B120</f>
        <v>606.905108422008</v>
      </c>
      <c r="D120" s="14" t="n">
        <v>11.55</v>
      </c>
      <c r="E120" s="14" t="n">
        <v>3782.0252</v>
      </c>
      <c r="F120" s="14" t="n">
        <v>23869.96</v>
      </c>
      <c r="G120" s="14" t="n">
        <v>2490.588</v>
      </c>
      <c r="H120" s="14" t="n">
        <v>835.3965</v>
      </c>
      <c r="I120" s="14" t="n">
        <v>16853.5568</v>
      </c>
      <c r="J120" s="37" t="n">
        <f aca="false">I120/B120</f>
        <v>15593.2625416002</v>
      </c>
      <c r="K120" s="14" t="n">
        <v>38.3274</v>
      </c>
      <c r="L120" s="37" t="n">
        <f aca="false">K120/B120</f>
        <v>35.4613105013494</v>
      </c>
      <c r="M120" s="14" t="n">
        <v>5.0667</v>
      </c>
      <c r="N120" s="37" t="n">
        <f aca="false">M120/B120</f>
        <v>4.6878165990176</v>
      </c>
      <c r="O120" s="11" t="n">
        <v>1</v>
      </c>
      <c r="P120" s="37" t="n">
        <f aca="false">C120</f>
        <v>606.905108422008</v>
      </c>
    </row>
    <row r="121" customFormat="false" ht="15" hidden="false" customHeight="false" outlineLevel="0" collapsed="false">
      <c r="A121" s="10" t="s">
        <v>1835</v>
      </c>
      <c r="B121" s="36" t="n">
        <v>1.090305</v>
      </c>
      <c r="C121" s="37" t="n">
        <f aca="false">Parametres!$C$3/B121</f>
        <v>601.627067655381</v>
      </c>
      <c r="D121" s="14" t="n">
        <v>11.65</v>
      </c>
      <c r="E121" s="14" t="n">
        <v>3780.6574</v>
      </c>
      <c r="F121" s="14" t="n">
        <v>23916.54</v>
      </c>
      <c r="G121" s="14" t="n">
        <v>2503.503</v>
      </c>
      <c r="H121" s="14" t="n">
        <v>899.0652</v>
      </c>
      <c r="I121" s="14" t="n">
        <v>16910.3347</v>
      </c>
      <c r="J121" s="37" t="n">
        <f aca="false">I121/B121</f>
        <v>15509.7286539088</v>
      </c>
      <c r="K121" s="14" t="n">
        <v>38.1756</v>
      </c>
      <c r="L121" s="37" t="n">
        <f aca="false">K121/B121</f>
        <v>35.0136888301897</v>
      </c>
      <c r="M121" s="14" t="n">
        <v>5.0826</v>
      </c>
      <c r="N121" s="37" t="n">
        <f aca="false">M121/B121</f>
        <v>4.66163137837578</v>
      </c>
      <c r="O121" s="11" t="n">
        <v>1</v>
      </c>
      <c r="P121" s="37" t="n">
        <f aca="false">C121</f>
        <v>601.627067655381</v>
      </c>
    </row>
    <row r="122" customFormat="false" ht="15" hidden="false" customHeight="false" outlineLevel="0" collapsed="false">
      <c r="A122" s="10" t="s">
        <v>1836</v>
      </c>
      <c r="B122" s="36" t="n">
        <v>1.090514</v>
      </c>
      <c r="C122" s="37" t="n">
        <f aca="false">Parametres!$C$3/B122</f>
        <v>601.51176417726</v>
      </c>
      <c r="D122" s="14" t="n">
        <v>11.9344</v>
      </c>
      <c r="E122" s="14" t="n">
        <v>3805.0336</v>
      </c>
      <c r="F122" s="14" t="n">
        <v>23983.08</v>
      </c>
      <c r="G122" s="14" t="n">
        <v>2508.102</v>
      </c>
      <c r="H122" s="14" t="n">
        <v>944.0836</v>
      </c>
      <c r="I122" s="14" t="n">
        <v>17049.4291</v>
      </c>
      <c r="J122" s="37" t="n">
        <f aca="false">I122/B122</f>
        <v>15634.3055659992</v>
      </c>
      <c r="K122" s="14" t="n">
        <v>38.4007</v>
      </c>
      <c r="L122" s="37" t="n">
        <f aca="false">K122/B122</f>
        <v>35.2133947844778</v>
      </c>
      <c r="M122" s="14" t="n">
        <v>5.1105</v>
      </c>
      <c r="N122" s="37" t="n">
        <f aca="false">M122/B122</f>
        <v>4.68632222970086</v>
      </c>
      <c r="O122" s="11" t="n">
        <v>1</v>
      </c>
      <c r="P122" s="37" t="n">
        <f aca="false">C122</f>
        <v>601.51176417726</v>
      </c>
    </row>
    <row r="123" customFormat="false" ht="15" hidden="false" customHeight="false" outlineLevel="0" collapsed="false">
      <c r="A123" s="10" t="s">
        <v>1837</v>
      </c>
      <c r="B123" s="36" t="n">
        <v>1.079471</v>
      </c>
      <c r="C123" s="37" t="n">
        <f aca="false">Parametres!$C$3/B123</f>
        <v>607.665236027647</v>
      </c>
      <c r="D123" s="14" t="n">
        <v>12.2301</v>
      </c>
      <c r="E123" s="14" t="n">
        <v>3873.5877</v>
      </c>
      <c r="F123" s="14" t="n">
        <v>23976.09</v>
      </c>
      <c r="G123" s="14" t="n">
        <v>2526.181</v>
      </c>
      <c r="H123" s="14" t="n">
        <v>1505.3028</v>
      </c>
      <c r="I123" s="14" t="n">
        <v>16898.5933</v>
      </c>
      <c r="J123" s="37" t="n">
        <f aca="false">I123/B123</f>
        <v>15654.5134607599</v>
      </c>
      <c r="K123" s="14" t="n">
        <v>38.7095</v>
      </c>
      <c r="L123" s="37" t="n">
        <f aca="false">K123/B123</f>
        <v>35.8596942391227</v>
      </c>
      <c r="M123" s="14" t="n">
        <v>5.1468</v>
      </c>
      <c r="N123" s="37" t="n">
        <f aca="false">M123/B123</f>
        <v>4.76789093917298</v>
      </c>
      <c r="O123" s="11" t="n">
        <v>1</v>
      </c>
      <c r="P123" s="37" t="n">
        <f aca="false">C123</f>
        <v>607.665236027647</v>
      </c>
    </row>
    <row r="124" customFormat="false" ht="15" hidden="false" customHeight="false" outlineLevel="0" collapsed="false">
      <c r="A124" s="10" t="s">
        <v>1838</v>
      </c>
      <c r="B124" s="36" t="n">
        <v>1.08722</v>
      </c>
      <c r="C124" s="37" t="n">
        <f aca="false">Parametres!$C$3/B124</f>
        <v>603.33419179191</v>
      </c>
      <c r="D124" s="14" t="n">
        <v>12.6674</v>
      </c>
      <c r="E124" s="14" t="n">
        <v>3895.7797</v>
      </c>
      <c r="F124" s="14" t="n">
        <v>23994.88</v>
      </c>
      <c r="G124" s="14" t="n">
        <v>2545.392</v>
      </c>
      <c r="H124" s="14" t="n">
        <v>1511.343</v>
      </c>
      <c r="I124" s="14" t="n">
        <v>17063.6575</v>
      </c>
      <c r="J124" s="37" t="n">
        <f aca="false">I124/B124</f>
        <v>15694.7604900572</v>
      </c>
      <c r="K124" s="14" t="n">
        <v>39.0791</v>
      </c>
      <c r="L124" s="37" t="n">
        <f aca="false">K124/B124</f>
        <v>35.9440591600596</v>
      </c>
      <c r="M124" s="14" t="n">
        <v>5.1272</v>
      </c>
      <c r="N124" s="37" t="n">
        <f aca="false">M124/B124</f>
        <v>4.715880870477</v>
      </c>
      <c r="O124" s="11" t="n">
        <v>1</v>
      </c>
      <c r="P124" s="37" t="n">
        <f aca="false">C124</f>
        <v>603.33419179191</v>
      </c>
    </row>
    <row r="125" customFormat="false" ht="15" hidden="false" customHeight="false" outlineLevel="0" collapsed="false">
      <c r="A125" s="10" t="s">
        <v>1839</v>
      </c>
      <c r="B125" s="36" t="n">
        <v>1.072776</v>
      </c>
      <c r="C125" s="37" t="n">
        <f aca="false">Parametres!$C$3/B125</f>
        <v>611.457564300469</v>
      </c>
      <c r="D125" s="14" t="n">
        <v>13.081</v>
      </c>
      <c r="E125" s="14" t="n">
        <v>3822.6875</v>
      </c>
      <c r="F125" s="14" t="n">
        <v>24140.24</v>
      </c>
      <c r="G125" s="14" t="n">
        <v>2571.241</v>
      </c>
      <c r="H125" s="14" t="n">
        <v>1237.0577</v>
      </c>
      <c r="I125" s="14" t="n">
        <v>17258.7652</v>
      </c>
      <c r="J125" s="37" t="n">
        <f aca="false">I125/B125</f>
        <v>16087.9486491122</v>
      </c>
      <c r="K125" s="14" t="n">
        <v>39.4544</v>
      </c>
      <c r="L125" s="37" t="n">
        <f aca="false">K125/B125</f>
        <v>36.7778548364244</v>
      </c>
      <c r="M125" s="14" t="n">
        <v>5.1139</v>
      </c>
      <c r="N125" s="37" t="n">
        <f aca="false">M125/B125</f>
        <v>4.76697838132098</v>
      </c>
      <c r="O125" s="11" t="n">
        <v>1</v>
      </c>
      <c r="P125" s="37" t="n">
        <f aca="false">C125</f>
        <v>611.457564300469</v>
      </c>
    </row>
    <row r="126" customFormat="false" ht="15" hidden="false" customHeight="false" outlineLevel="0" collapsed="false">
      <c r="A126" s="10" t="s">
        <v>1840</v>
      </c>
      <c r="B126" s="36" t="n">
        <v>1.081223</v>
      </c>
      <c r="C126" s="37" t="n">
        <f aca="false">Parametres!$C$3/B126</f>
        <v>606.680583006466</v>
      </c>
      <c r="D126" s="14" t="n">
        <v>13.7823</v>
      </c>
      <c r="E126" s="14" t="n">
        <v>3791.4008</v>
      </c>
      <c r="F126" s="14" t="n">
        <v>24216.46</v>
      </c>
      <c r="G126" s="14" t="n">
        <v>2587.399</v>
      </c>
      <c r="H126" s="14" t="n">
        <v>1436.0677</v>
      </c>
      <c r="I126" s="14" t="n">
        <v>17375.6682</v>
      </c>
      <c r="J126" s="37" t="n">
        <f aca="false">I126/B126</f>
        <v>16070.3834454132</v>
      </c>
      <c r="K126" s="14" t="n">
        <v>39.6065</v>
      </c>
      <c r="L126" s="37" t="n">
        <f aca="false">K126/B126</f>
        <v>36.6312037387292</v>
      </c>
      <c r="M126" s="14" t="n">
        <v>5.0971</v>
      </c>
      <c r="N126" s="37" t="n">
        <f aca="false">M126/B126</f>
        <v>4.71419864357307</v>
      </c>
      <c r="O126" s="11" t="n">
        <v>1</v>
      </c>
      <c r="P126" s="37" t="n">
        <f aca="false">C126</f>
        <v>606.680583006466</v>
      </c>
    </row>
    <row r="127" customFormat="false" ht="15" hidden="false" customHeight="false" outlineLevel="0" collapsed="false">
      <c r="A127" s="10" t="s">
        <v>1841</v>
      </c>
      <c r="B127" s="36" t="n">
        <v>1.0759</v>
      </c>
      <c r="C127" s="37" t="n">
        <f aca="false">Parametres!$C$3/B127</f>
        <v>609.682126591691</v>
      </c>
      <c r="D127" s="14" t="n">
        <v>14.3274</v>
      </c>
      <c r="E127" s="14" t="n">
        <v>3747.1905</v>
      </c>
      <c r="F127" s="14" t="n">
        <v>24252.8</v>
      </c>
      <c r="G127" s="14" t="n">
        <v>2610.604</v>
      </c>
      <c r="H127" s="14" t="n">
        <v>1482.2662</v>
      </c>
      <c r="I127" s="14" t="n">
        <v>17595.937</v>
      </c>
      <c r="J127" s="37" t="n">
        <f aca="false">I127/B127</f>
        <v>16354.6212473278</v>
      </c>
      <c r="K127" s="14" t="n">
        <v>39.492</v>
      </c>
      <c r="L127" s="37" t="n">
        <f aca="false">K127/B127</f>
        <v>36.7060135700344</v>
      </c>
      <c r="M127" s="14" t="n">
        <v>5.068</v>
      </c>
      <c r="N127" s="37" t="n">
        <f aca="false">M127/B127</f>
        <v>4.71047495120364</v>
      </c>
      <c r="O127" s="11" t="n">
        <v>1</v>
      </c>
      <c r="P127" s="37" t="n">
        <f aca="false">C127</f>
        <v>609.682126591691</v>
      </c>
    </row>
    <row r="128" customFormat="false" ht="15" hidden="false" customHeight="false" outlineLevel="0" collapsed="false">
      <c r="A128" s="10" t="s">
        <v>1842</v>
      </c>
      <c r="B128" s="36" t="n">
        <v>1.084409</v>
      </c>
      <c r="C128" s="37" t="n">
        <f aca="false">Parametres!$C$3/B128</f>
        <v>604.898151896563</v>
      </c>
      <c r="D128" s="14" t="n">
        <v>14.7467</v>
      </c>
      <c r="E128" s="14" t="n">
        <v>3705.8548</v>
      </c>
      <c r="F128" s="14" t="n">
        <v>24251.56</v>
      </c>
      <c r="G128" s="14" t="n">
        <v>2641.853</v>
      </c>
      <c r="H128" s="14" t="n">
        <v>1560.2247</v>
      </c>
      <c r="I128" s="14" t="n">
        <v>17623.2878</v>
      </c>
      <c r="J128" s="37" t="n">
        <f aca="false">I128/B128</f>
        <v>16251.5137738621</v>
      </c>
      <c r="K128" s="14" t="n">
        <v>39.3236</v>
      </c>
      <c r="L128" s="37" t="n">
        <f aca="false">K128/B128</f>
        <v>36.2627016190386</v>
      </c>
      <c r="M128" s="14" t="n">
        <v>5.0737</v>
      </c>
      <c r="N128" s="37" t="n">
        <f aca="false">M128/B128</f>
        <v>4.67876972618265</v>
      </c>
      <c r="O128" s="11" t="n">
        <v>1</v>
      </c>
      <c r="P128" s="37" t="n">
        <f aca="false">C128</f>
        <v>604.898151896563</v>
      </c>
    </row>
    <row r="129" customFormat="false" ht="15" hidden="false" customHeight="false" outlineLevel="0" collapsed="false">
      <c r="A129" s="10" t="s">
        <v>1843</v>
      </c>
      <c r="B129" s="36" t="n">
        <v>1.101218</v>
      </c>
      <c r="C129" s="37" t="n">
        <f aca="false">Parametres!$C$3/B129</f>
        <v>595.664981865534</v>
      </c>
      <c r="D129" s="14" t="n">
        <v>15.1037</v>
      </c>
      <c r="E129" s="14" t="n">
        <v>3723.6473</v>
      </c>
      <c r="F129" s="14" t="n">
        <v>24245.85</v>
      </c>
      <c r="G129" s="14" t="n">
        <v>2678.158</v>
      </c>
      <c r="H129" s="14" t="n">
        <v>1587.3944</v>
      </c>
      <c r="I129" s="14" t="n">
        <v>17347.7482</v>
      </c>
      <c r="J129" s="37" t="n">
        <f aca="false">I129/B129</f>
        <v>15753.2370520642</v>
      </c>
      <c r="K129" s="14" t="n">
        <v>38.2629</v>
      </c>
      <c r="L129" s="37" t="n">
        <f aca="false">K129/B129</f>
        <v>34.7459812680142</v>
      </c>
      <c r="M129" s="14" t="n">
        <v>4.8605</v>
      </c>
      <c r="N129" s="37" t="n">
        <f aca="false">M129/B129</f>
        <v>4.41374913958907</v>
      </c>
      <c r="O129" s="11" t="n">
        <v>1</v>
      </c>
      <c r="P129" s="37" t="n">
        <f aca="false">C129</f>
        <v>595.664981865534</v>
      </c>
    </row>
    <row r="130" customFormat="false" ht="15" hidden="false" customHeight="false" outlineLevel="0" collapsed="false">
      <c r="A130" s="10" t="s">
        <v>1844</v>
      </c>
      <c r="B130" s="36" t="n">
        <v>1.1106</v>
      </c>
      <c r="C130" s="37" t="n">
        <f aca="false">Parametres!$C$3/B130</f>
        <v>590.632991175941</v>
      </c>
      <c r="D130" s="14" t="n">
        <v>15.5575</v>
      </c>
      <c r="E130" s="14" t="n">
        <v>3711.3131</v>
      </c>
      <c r="F130" s="14" t="n">
        <v>24163.54</v>
      </c>
      <c r="G130" s="14" t="n">
        <v>2694.459</v>
      </c>
      <c r="H130" s="14" t="n">
        <v>1618.2178</v>
      </c>
      <c r="I130" s="14" t="n">
        <v>17020.2295</v>
      </c>
      <c r="J130" s="37" t="n">
        <f aca="false">I130/B130</f>
        <v>15325.2561678372</v>
      </c>
      <c r="K130" s="14" t="n">
        <v>37.0122</v>
      </c>
      <c r="L130" s="37" t="n">
        <f aca="false">K130/B130</f>
        <v>33.3263101026472</v>
      </c>
      <c r="M130" s="14" t="n">
        <v>4.7341</v>
      </c>
      <c r="N130" s="37" t="n">
        <f aca="false">M130/B130</f>
        <v>4.26265081937691</v>
      </c>
      <c r="O130" s="11" t="n">
        <v>1</v>
      </c>
      <c r="P130" s="37" t="n">
        <f aca="false">C130</f>
        <v>590.632991175941</v>
      </c>
    </row>
    <row r="131" customFormat="false" ht="15" hidden="false" customHeight="false" outlineLevel="0" collapsed="false">
      <c r="A131" s="10" t="s">
        <v>1845</v>
      </c>
      <c r="B131" s="36" t="n">
        <v>1.090435</v>
      </c>
      <c r="C131" s="37" t="n">
        <f aca="false">Parametres!$C$3/B131</f>
        <v>601.555342592635</v>
      </c>
      <c r="D131" s="14" t="n">
        <v>15.9889</v>
      </c>
      <c r="E131" s="14" t="n">
        <v>3667.9261</v>
      </c>
      <c r="F131" s="14" t="n">
        <v>24192.52</v>
      </c>
      <c r="G131" s="14" t="n">
        <v>2715.008</v>
      </c>
      <c r="H131" s="14" t="n">
        <v>1641.1189</v>
      </c>
      <c r="I131" s="14" t="n">
        <v>16988.1926</v>
      </c>
      <c r="J131" s="37" t="n">
        <f aca="false">I131/B131</f>
        <v>15579.2803789313</v>
      </c>
      <c r="K131" s="14" t="n">
        <v>36.411</v>
      </c>
      <c r="L131" s="37" t="n">
        <f aca="false">K131/B131</f>
        <v>33.3912612856337</v>
      </c>
      <c r="M131" s="14" t="n">
        <v>4.6883</v>
      </c>
      <c r="N131" s="37" t="n">
        <f aca="false">M131/B131</f>
        <v>4.29947681429888</v>
      </c>
      <c r="O131" s="11" t="n">
        <v>1</v>
      </c>
      <c r="P131" s="37" t="n">
        <f aca="false">C131</f>
        <v>601.555342592635</v>
      </c>
    </row>
    <row r="132" customFormat="false" ht="15" hidden="false" customHeight="false" outlineLevel="0" collapsed="false">
      <c r="A132" s="10" t="s">
        <v>1846</v>
      </c>
      <c r="B132" s="36" t="n">
        <v>1.063014</v>
      </c>
      <c r="C132" s="37" t="n">
        <f aca="false">Parametres!$C$3/B132</f>
        <v>617.072776087615</v>
      </c>
      <c r="D132" s="14" t="n">
        <v>15.9834</v>
      </c>
      <c r="E132" s="14" t="n">
        <v>3678.6475</v>
      </c>
      <c r="F132" s="14" t="n">
        <v>24276.42</v>
      </c>
      <c r="G132" s="14" t="n">
        <v>2647.144</v>
      </c>
      <c r="H132" s="14" t="n">
        <v>1670.7764</v>
      </c>
      <c r="I132" s="14" t="n">
        <v>16817.0695</v>
      </c>
      <c r="J132" s="37" t="n">
        <f aca="false">I132/B132</f>
        <v>15820.1768744344</v>
      </c>
      <c r="K132" s="14" t="n">
        <v>36.5964</v>
      </c>
      <c r="L132" s="37" t="n">
        <f aca="false">K132/B132</f>
        <v>34.4270160129594</v>
      </c>
      <c r="M132" s="14" t="n">
        <v>4.7141</v>
      </c>
      <c r="N132" s="37" t="n">
        <f aca="false">M132/B132</f>
        <v>4.43465467058759</v>
      </c>
      <c r="O132" s="11" t="n">
        <v>1</v>
      </c>
      <c r="P132" s="37" t="n">
        <f aca="false">C132</f>
        <v>617.072776087615</v>
      </c>
    </row>
    <row r="133" customFormat="false" ht="15" hidden="false" customHeight="false" outlineLevel="0" collapsed="false">
      <c r="A133" s="10" t="s">
        <v>1847</v>
      </c>
      <c r="B133" s="36" t="n">
        <v>1.047875</v>
      </c>
      <c r="C133" s="37" t="n">
        <f aca="false">Parametres!$C$3/B133</f>
        <v>625.987832518192</v>
      </c>
      <c r="D133" s="14" t="n">
        <v>14.7805</v>
      </c>
      <c r="E133" s="14" t="n">
        <v>3664.0817</v>
      </c>
      <c r="F133" s="14" t="n">
        <v>24285.19</v>
      </c>
      <c r="G133" s="14" t="n">
        <v>2449.264</v>
      </c>
      <c r="H133" s="14" t="n">
        <v>1553.7293</v>
      </c>
      <c r="I133" s="14" t="n">
        <v>16810.953</v>
      </c>
      <c r="J133" s="37" t="n">
        <f aca="false">I133/B133</f>
        <v>16042.8992007635</v>
      </c>
      <c r="K133" s="14" t="n">
        <v>35.7936</v>
      </c>
      <c r="L133" s="37" t="n">
        <f aca="false">K133/B133</f>
        <v>34.1582726947394</v>
      </c>
      <c r="M133" s="14" t="n">
        <v>4.6728</v>
      </c>
      <c r="N133" s="37" t="n">
        <f aca="false">M133/B133</f>
        <v>4.45931050936419</v>
      </c>
      <c r="O133" s="11" t="n">
        <v>1</v>
      </c>
      <c r="P133" s="37" t="n">
        <f aca="false">C133</f>
        <v>625.987832518192</v>
      </c>
    </row>
    <row r="134" customFormat="false" ht="15" hidden="false" customHeight="false" outlineLevel="0" collapsed="false">
      <c r="A134" s="10" t="s">
        <v>1848</v>
      </c>
      <c r="B134" s="36" t="n">
        <v>1.035373</v>
      </c>
      <c r="C134" s="37" t="n">
        <f aca="false">Parametres!$C$3/B134</f>
        <v>633.5465576174</v>
      </c>
      <c r="D134" s="14" t="n">
        <v>14.972</v>
      </c>
      <c r="E134" s="14" t="n">
        <v>3688.959</v>
      </c>
      <c r="F134" s="14" t="n">
        <v>24336.1</v>
      </c>
      <c r="G134" s="14" t="n">
        <v>2449.766</v>
      </c>
      <c r="H134" s="14" t="n">
        <v>1535.9462</v>
      </c>
      <c r="I134" s="14" t="n">
        <v>16832.4014</v>
      </c>
      <c r="J134" s="37" t="n">
        <f aca="false">I134/B134</f>
        <v>16257.3308363266</v>
      </c>
      <c r="K134" s="14" t="n">
        <v>35.4438</v>
      </c>
      <c r="L134" s="37" t="n">
        <f aca="false">K134/B134</f>
        <v>34.2328803242889</v>
      </c>
      <c r="M134" s="14" t="n">
        <v>4.6231</v>
      </c>
      <c r="N134" s="37" t="n">
        <f aca="false">M134/B134</f>
        <v>4.46515410388333</v>
      </c>
      <c r="O134" s="11" t="n">
        <v>1</v>
      </c>
      <c r="P134" s="37" t="n">
        <f aca="false">C134</f>
        <v>633.5465576174</v>
      </c>
    </row>
    <row r="135" customFormat="false" ht="15" hidden="false" customHeight="false" outlineLevel="0" collapsed="false">
      <c r="A135" s="10" t="s">
        <v>1849</v>
      </c>
      <c r="B135" s="36" t="n">
        <v>1.04125</v>
      </c>
      <c r="C135" s="37" t="n">
        <f aca="false">Parametres!$C$3/B135</f>
        <v>629.970708283313</v>
      </c>
      <c r="D135" s="14" t="n">
        <v>15.486</v>
      </c>
      <c r="E135" s="14" t="n">
        <v>3677.7018</v>
      </c>
      <c r="F135" s="14" t="n">
        <v>24546.75</v>
      </c>
      <c r="G135" s="14" t="n">
        <v>2556.115</v>
      </c>
      <c r="H135" s="14" t="n">
        <v>1500.9216</v>
      </c>
      <c r="I135" s="14" t="n">
        <v>17020.419</v>
      </c>
      <c r="J135" s="37" t="n">
        <f aca="false">I135/B135</f>
        <v>16346.1406962785</v>
      </c>
      <c r="K135" s="14" t="n">
        <v>35.1886</v>
      </c>
      <c r="L135" s="37" t="n">
        <f aca="false">K135/B135</f>
        <v>33.7945738295318</v>
      </c>
      <c r="M135" s="14" t="n">
        <v>4.6261</v>
      </c>
      <c r="N135" s="37" t="n">
        <f aca="false">M135/B135</f>
        <v>4.4428331332533</v>
      </c>
      <c r="O135" s="11" t="n">
        <v>1</v>
      </c>
      <c r="P135" s="37" t="n">
        <f aca="false">C135</f>
        <v>629.970708283313</v>
      </c>
    </row>
    <row r="136" customFormat="false" ht="15" hidden="false" customHeight="false" outlineLevel="0" collapsed="false">
      <c r="A136" s="10" t="s">
        <v>1850</v>
      </c>
      <c r="B136" s="36" t="n">
        <v>1.080681</v>
      </c>
      <c r="C136" s="37" t="n">
        <f aca="false">Parametres!$C$3/B136</f>
        <v>606.984854920185</v>
      </c>
      <c r="D136" s="14" t="n">
        <v>15.5316</v>
      </c>
      <c r="E136" s="14" t="n">
        <v>3667.8646</v>
      </c>
      <c r="F136" s="14" t="n">
        <v>24787.92</v>
      </c>
      <c r="G136" s="14" t="n">
        <v>2621.265</v>
      </c>
      <c r="H136" s="14" t="n">
        <v>1526.3694</v>
      </c>
      <c r="I136" s="14" t="n">
        <v>17800.7905</v>
      </c>
      <c r="J136" s="37" t="n">
        <f aca="false">I136/B136</f>
        <v>16471.8270238859</v>
      </c>
      <c r="K136" s="14" t="n">
        <v>36.5221</v>
      </c>
      <c r="L136" s="37" t="n">
        <f aca="false">K136/B136</f>
        <v>33.7954493509185</v>
      </c>
      <c r="M136" s="14" t="n">
        <v>4.7927</v>
      </c>
      <c r="N136" s="37" t="n">
        <f aca="false">M136/B136</f>
        <v>4.43488874145099</v>
      </c>
      <c r="O136" s="11" t="n">
        <v>1</v>
      </c>
      <c r="P136" s="37" t="n">
        <f aca="false">C136</f>
        <v>606.984854920185</v>
      </c>
    </row>
    <row r="137" customFormat="false" ht="15" hidden="false" customHeight="false" outlineLevel="0" collapsed="false">
      <c r="A137" s="10" t="s">
        <v>1851</v>
      </c>
      <c r="B137" s="36" t="n">
        <v>1.121395</v>
      </c>
      <c r="C137" s="37" t="n">
        <f aca="false">Parametres!$C$3/B137</f>
        <v>584.947320079009</v>
      </c>
      <c r="D137" s="14" t="n">
        <v>15.2216</v>
      </c>
      <c r="E137" s="14" t="n">
        <v>3669.6121</v>
      </c>
      <c r="F137" s="14" t="n">
        <v>24905.72</v>
      </c>
      <c r="G137" s="14" t="n">
        <v>2667.742</v>
      </c>
      <c r="H137" s="14" t="n">
        <v>1595.0509</v>
      </c>
      <c r="I137" s="14" t="n">
        <v>18871.739</v>
      </c>
      <c r="J137" s="37" t="n">
        <f aca="false">I137/B137</f>
        <v>16828.8060852777</v>
      </c>
      <c r="K137" s="14" t="n">
        <v>37.8828</v>
      </c>
      <c r="L137" s="37" t="n">
        <f aca="false">K137/B137</f>
        <v>33.7818520681829</v>
      </c>
      <c r="M137" s="14" t="n">
        <v>4.951</v>
      </c>
      <c r="N137" s="37" t="n">
        <f aca="false">M137/B137</f>
        <v>4.41503662848506</v>
      </c>
      <c r="O137" s="11" t="n">
        <v>1</v>
      </c>
      <c r="P137" s="37" t="n">
        <f aca="false">C137</f>
        <v>584.947320079009</v>
      </c>
    </row>
    <row r="138" customFormat="false" ht="15" hidden="false" customHeight="false" outlineLevel="0" collapsed="false">
      <c r="A138" s="10" t="s">
        <v>1852</v>
      </c>
      <c r="B138" s="36" t="n">
        <v>1.127805</v>
      </c>
      <c r="C138" s="37" t="n">
        <f aca="false">Parametres!$C$3/B138</f>
        <v>581.622709599621</v>
      </c>
      <c r="D138" s="14" t="n">
        <v>12.0751</v>
      </c>
      <c r="E138" s="14" t="n">
        <v>3653.3972</v>
      </c>
      <c r="F138" s="14" t="n">
        <v>24955.72</v>
      </c>
      <c r="H138" s="14" t="n">
        <v>1595.2045</v>
      </c>
      <c r="I138" s="14" t="n">
        <v>18526.84</v>
      </c>
      <c r="J138" s="37" t="n">
        <f aca="false">I138/B138</f>
        <v>16427.3433793963</v>
      </c>
      <c r="K138" s="14" t="n">
        <v>37.1435</v>
      </c>
      <c r="L138" s="37" t="n">
        <f aca="false">K138/B138</f>
        <v>32.9343281861669</v>
      </c>
      <c r="M138" s="14" t="n">
        <v>4.8091</v>
      </c>
      <c r="N138" s="37" t="n">
        <f aca="false">M138/B138</f>
        <v>4.26412367386206</v>
      </c>
      <c r="O138" s="11" t="n">
        <v>1</v>
      </c>
      <c r="P138" s="37" t="n">
        <f aca="false">C138</f>
        <v>581.622709599621</v>
      </c>
    </row>
    <row r="139" customFormat="false" ht="15" hidden="false" customHeight="false" outlineLevel="0" collapsed="false">
      <c r="A139" s="10" t="s">
        <v>1853</v>
      </c>
      <c r="B139" s="36" t="n">
        <v>1.151619</v>
      </c>
      <c r="C139" s="37" t="n">
        <f aca="false">Parametres!$C$3/B139</f>
        <v>569.595499900575</v>
      </c>
      <c r="D139" s="14" t="n">
        <v>10.284</v>
      </c>
      <c r="E139" s="14" t="n">
        <v>3605.8384</v>
      </c>
      <c r="F139" s="14" t="n">
        <v>25009.92</v>
      </c>
      <c r="H139" s="14" t="n">
        <v>1549.7943</v>
      </c>
      <c r="I139" s="14" t="n">
        <v>18776.5652</v>
      </c>
      <c r="J139" s="37" t="n">
        <f aca="false">I139/B139</f>
        <v>16304.4941078603</v>
      </c>
      <c r="K139" s="14" t="n">
        <v>37.564</v>
      </c>
      <c r="L139" s="37" t="n">
        <f aca="false">K139/B139</f>
        <v>32.6184267539872</v>
      </c>
      <c r="M139" s="14" t="n">
        <v>4.8848</v>
      </c>
      <c r="N139" s="37" t="n">
        <f aca="false">M139/B139</f>
        <v>4.24168062527624</v>
      </c>
      <c r="O139" s="11" t="n">
        <v>1</v>
      </c>
      <c r="P139" s="37" t="n">
        <f aca="false">C139</f>
        <v>569.595499900575</v>
      </c>
    </row>
    <row r="140" customFormat="false" ht="15" hidden="false" customHeight="false" outlineLevel="0" collapsed="false">
      <c r="A140" s="10" t="s">
        <v>1854</v>
      </c>
      <c r="B140" s="36" t="n">
        <v>1.167687</v>
      </c>
      <c r="C140" s="37" t="n">
        <f aca="false">Parametres!$C$3/B140</f>
        <v>561.75756003107</v>
      </c>
      <c r="D140" s="14" t="n">
        <v>10.417</v>
      </c>
      <c r="E140" s="14" t="n">
        <v>3586.5659</v>
      </c>
      <c r="F140" s="14" t="n">
        <v>25150.96</v>
      </c>
      <c r="H140" s="14" t="n">
        <v>1530.3013</v>
      </c>
      <c r="I140" s="14" t="n">
        <v>19029.6909</v>
      </c>
      <c r="J140" s="37" t="n">
        <f aca="false">I140/B140</f>
        <v>16296.9108159978</v>
      </c>
      <c r="K140" s="14" t="n">
        <v>37.8827</v>
      </c>
      <c r="L140" s="37" t="n">
        <f aca="false">K140/B140</f>
        <v>32.4425124198522</v>
      </c>
      <c r="M140" s="14" t="n">
        <v>4.9462</v>
      </c>
      <c r="N140" s="37" t="n">
        <f aca="false">M140/B140</f>
        <v>4.23589540690271</v>
      </c>
      <c r="O140" s="11" t="n">
        <v>1</v>
      </c>
      <c r="P140" s="37" t="n">
        <f aca="false">C140</f>
        <v>561.75756003107</v>
      </c>
    </row>
    <row r="141" customFormat="false" ht="15" hidden="false" customHeight="false" outlineLevel="0" collapsed="false">
      <c r="A141" s="10" t="s">
        <v>1855</v>
      </c>
      <c r="B141" s="36" t="n">
        <v>1.163143</v>
      </c>
      <c r="C141" s="37" t="n">
        <f aca="false">Parametres!$C$3/B141</f>
        <v>563.952153776449</v>
      </c>
      <c r="D141" s="14" t="n">
        <v>10.7875</v>
      </c>
      <c r="E141" s="14" t="n">
        <v>3563.9289</v>
      </c>
      <c r="H141" s="14" t="n">
        <v>1534.7836</v>
      </c>
      <c r="I141" s="14" t="n">
        <v>18967.8786</v>
      </c>
      <c r="J141" s="37" t="n">
        <f aca="false">I141/B141</f>
        <v>16307.4347694136</v>
      </c>
      <c r="K141" s="14" t="n">
        <v>37.7553</v>
      </c>
      <c r="L141" s="37" t="n">
        <f aca="false">K141/B141</f>
        <v>32.4597233530185</v>
      </c>
      <c r="M141" s="14" t="n">
        <v>4.9166</v>
      </c>
      <c r="N141" s="37" t="n">
        <f aca="false">M141/B141</f>
        <v>4.2269953049625</v>
      </c>
      <c r="O141" s="11" t="n">
        <v>1</v>
      </c>
      <c r="P141" s="37" t="n">
        <f aca="false">C141</f>
        <v>563.952153776449</v>
      </c>
    </row>
    <row r="142" customFormat="false" ht="15" hidden="false" customHeight="false" outlineLevel="0" collapsed="false">
      <c r="A142" s="10" t="s">
        <v>1856</v>
      </c>
      <c r="B142" s="36" t="n">
        <v>1.173223</v>
      </c>
      <c r="C142" s="37" t="n">
        <f aca="false">Parametres!$C$3/B142</f>
        <v>559.106836466725</v>
      </c>
      <c r="D142" s="14" t="n">
        <v>12.1443</v>
      </c>
      <c r="E142" s="14" t="n">
        <v>3507.7902</v>
      </c>
      <c r="F142" s="14" t="n">
        <v>25204.93</v>
      </c>
      <c r="H142" s="14" t="n">
        <v>1497.7896</v>
      </c>
      <c r="I142" s="14" t="n">
        <v>19399.6664</v>
      </c>
      <c r="J142" s="37" t="n">
        <f aca="false">I142/B142</f>
        <v>16535.3614785936</v>
      </c>
      <c r="K142" s="14" t="n">
        <v>37.5485</v>
      </c>
      <c r="L142" s="37" t="n">
        <f aca="false">K142/B142</f>
        <v>32.0045720208349</v>
      </c>
      <c r="M142" s="14" t="n">
        <v>4.9417</v>
      </c>
      <c r="N142" s="37" t="n">
        <f aca="false">M142/B142</f>
        <v>4.21207221474519</v>
      </c>
      <c r="O142" s="11" t="n">
        <v>1</v>
      </c>
      <c r="P142" s="37" t="n">
        <f aca="false">C142</f>
        <v>559.106836466725</v>
      </c>
    </row>
    <row r="143" customFormat="false" ht="15" hidden="false" customHeight="false" outlineLevel="0" collapsed="false">
      <c r="A143" s="10" t="s">
        <v>1857</v>
      </c>
      <c r="B143" s="36" t="n">
        <v>1.163043</v>
      </c>
      <c r="C143" s="37" t="n">
        <f aca="false">Parametres!$C$3/B143</f>
        <v>564.000643140451</v>
      </c>
      <c r="D143" s="14" t="n">
        <v>11.4607</v>
      </c>
      <c r="E143" s="14" t="n">
        <v>3463.8558</v>
      </c>
      <c r="F143" s="14" t="n">
        <v>25188.7</v>
      </c>
      <c r="H143" s="14" t="n">
        <v>1459.5861</v>
      </c>
      <c r="I143" s="14" t="n">
        <v>19310.7904</v>
      </c>
      <c r="J143" s="37" t="n">
        <f aca="false">I143/B143</f>
        <v>16603.6770781476</v>
      </c>
      <c r="K143" s="14" t="n">
        <v>37.8859</v>
      </c>
      <c r="L143" s="37" t="n">
        <f aca="false">K143/B143</f>
        <v>32.5748059186118</v>
      </c>
      <c r="M143" s="14" t="n">
        <v>4.9028</v>
      </c>
      <c r="N143" s="37" t="n">
        <f aca="false">M143/B143</f>
        <v>4.21549332225894</v>
      </c>
      <c r="O143" s="11" t="n">
        <v>1</v>
      </c>
      <c r="P143" s="37" t="n">
        <f aca="false">C143</f>
        <v>564.000643140451</v>
      </c>
    </row>
    <row r="144" customFormat="false" ht="23.85" hidden="false" customHeight="false" outlineLevel="0" collapsed="false">
      <c r="A144" s="10" t="s">
        <v>1858</v>
      </c>
      <c r="B144" s="36" t="n">
        <v>1.15602</v>
      </c>
      <c r="C144" s="37" t="n">
        <f aca="false">Parametres!$C$3/B144</f>
        <v>567.427034134358</v>
      </c>
      <c r="D144" s="38" t="n">
        <f aca="false">(10.9+11.27)/2</f>
        <v>11.085</v>
      </c>
      <c r="E144" s="14" t="n">
        <v>3575.14</v>
      </c>
      <c r="G144" s="38" t="n">
        <f aca="false">(2452.5+2422.5+2427.5)/3</f>
        <v>2434.16666666667</v>
      </c>
      <c r="H144" s="14" t="n">
        <v>1443.85</v>
      </c>
      <c r="I144" s="14" t="n">
        <v>19303.8775</v>
      </c>
      <c r="J144" s="37" t="n">
        <f aca="false">I144/B144</f>
        <v>16698.5670663137</v>
      </c>
      <c r="K144" s="14" t="n">
        <v>37.4356</v>
      </c>
      <c r="L144" s="37" t="n">
        <f aca="false">K144/B144</f>
        <v>32.3831767616477</v>
      </c>
      <c r="M144" s="14" t="n">
        <v>4.8021</v>
      </c>
      <c r="N144" s="37" t="n">
        <f aca="false">M144/B144</f>
        <v>4.15399387553849</v>
      </c>
      <c r="O144" s="11" t="n">
        <v>1</v>
      </c>
      <c r="P144" s="37" t="n">
        <f aca="false">C144</f>
        <v>567.427034134358</v>
      </c>
      <c r="Q144" s="3" t="s">
        <v>1958</v>
      </c>
    </row>
    <row r="145" customFormat="false" ht="15" hidden="false" customHeight="false" outlineLevel="0" collapsed="false">
      <c r="A145" s="10" t="s">
        <v>1859</v>
      </c>
      <c r="B145" s="36" t="n">
        <v>1.170871</v>
      </c>
      <c r="C145" s="37" t="n">
        <f aca="false">Parametres!$C$3/B145</f>
        <v>560.229948474256</v>
      </c>
      <c r="D145" s="38" t="n">
        <f aca="false">(11.27+10.45)/2</f>
        <v>10.86</v>
      </c>
      <c r="E145" s="14" t="n">
        <v>3575.2289</v>
      </c>
      <c r="I145" s="14" t="n">
        <v>19548.05</v>
      </c>
      <c r="J145" s="37" t="n">
        <f aca="false">I145/B145</f>
        <v>16695.3063147008</v>
      </c>
      <c r="K145" s="14" t="n">
        <v>37.0093</v>
      </c>
      <c r="L145" s="37" t="n">
        <f aca="false">K145/B145</f>
        <v>31.6083496815618</v>
      </c>
      <c r="M145" s="14" t="n">
        <v>4.792</v>
      </c>
      <c r="N145" s="37" t="n">
        <f aca="false">M145/B145</f>
        <v>4.09267972304379</v>
      </c>
      <c r="O145" s="11" t="n">
        <v>1</v>
      </c>
      <c r="P145" s="37" t="n">
        <f aca="false">C145</f>
        <v>560.229948474256</v>
      </c>
      <c r="Q145" s="3" t="s">
        <v>1959</v>
      </c>
    </row>
    <row r="146" customFormat="false" ht="15" hidden="false" customHeight="false" outlineLevel="0" collapsed="false">
      <c r="A146" s="10" t="s">
        <v>1860</v>
      </c>
      <c r="B146" s="36" t="n">
        <v>1.173824</v>
      </c>
      <c r="C146" s="37" t="n">
        <f aca="false">Parametres!$C$3/B146</f>
        <v>558.820572760482</v>
      </c>
      <c r="D146" s="14" t="n">
        <f aca="false">10.7921</f>
        <v>10.7921</v>
      </c>
      <c r="I146" s="14" t="n">
        <v>19757.019</v>
      </c>
      <c r="J146" s="37" t="n">
        <f aca="false">I146/B146</f>
        <v>16831.329909765</v>
      </c>
      <c r="K146" s="14" t="n">
        <v>36.7349</v>
      </c>
      <c r="L146" s="37" t="n">
        <f aca="false">K146/B146</f>
        <v>31.2950663813314</v>
      </c>
      <c r="M146" s="14" t="n">
        <v>4.7262</v>
      </c>
      <c r="N146" s="37" t="n">
        <f aca="false">M146/B146</f>
        <v>4.02632762662887</v>
      </c>
      <c r="O146" s="11" t="n">
        <v>1</v>
      </c>
      <c r="P146" s="37" t="n">
        <f aca="false">C146</f>
        <v>558.820572760482</v>
      </c>
      <c r="Q146" s="3" t="s">
        <v>1960</v>
      </c>
    </row>
    <row r="147" customFormat="false" ht="15" hidden="false" customHeight="false" outlineLevel="0" collapsed="false">
      <c r="A147" s="10" t="s">
        <v>1861</v>
      </c>
      <c r="B147" s="36" t="n">
        <v>1.182395</v>
      </c>
      <c r="C147" s="37" t="n">
        <f aca="false">Parametres!$C$3/B147</f>
        <v>554.769768140089</v>
      </c>
      <c r="D147" s="14" t="n">
        <f aca="false">10.9188</f>
        <v>10.9188</v>
      </c>
      <c r="I147" s="14" t="n">
        <v>19896.392</v>
      </c>
      <c r="J147" s="37" t="n">
        <f aca="false">I147/B147</f>
        <v>16827.195649508</v>
      </c>
      <c r="K147" s="14" t="n">
        <v>36.9601</v>
      </c>
      <c r="L147" s="37" t="n">
        <f aca="false">K147/B147</f>
        <v>31.2586741317411</v>
      </c>
      <c r="M147" s="14" t="n">
        <v>4.6261</v>
      </c>
      <c r="N147" s="37" t="n">
        <f aca="false">M147/B147</f>
        <v>3.9124827151671</v>
      </c>
      <c r="O147" s="11" t="n">
        <v>1</v>
      </c>
      <c r="P147" s="37" t="n">
        <f aca="false">C147</f>
        <v>554.769768140089</v>
      </c>
      <c r="Q147" s="3" t="s">
        <v>1960</v>
      </c>
    </row>
    <row r="148" customFormat="false" ht="15" hidden="false" customHeight="false" outlineLevel="0" collapsed="false">
      <c r="A148" s="10" t="s">
        <v>1863</v>
      </c>
      <c r="B148" s="36" t="n">
        <v>1.155832</v>
      </c>
      <c r="C148" s="37" t="n">
        <f aca="false">Parametres!$C$3/B148</f>
        <v>567.519328068439</v>
      </c>
      <c r="D148" s="14" t="n">
        <f aca="false">10.8721</f>
        <v>10.8721</v>
      </c>
      <c r="I148" s="14" t="n">
        <v>19561.2364</v>
      </c>
      <c r="J148" s="37" t="n">
        <f aca="false">I148/B148</f>
        <v>16923.9443102458</v>
      </c>
      <c r="K148" s="14" t="n">
        <v>37.2979</v>
      </c>
      <c r="L148" s="37" t="n">
        <f aca="false">K148/B148</f>
        <v>32.269309034531</v>
      </c>
      <c r="M148" s="14" t="n">
        <v>4.5687</v>
      </c>
      <c r="N148" s="37" t="n">
        <f aca="false">M148/B148</f>
        <v>3.95273707597644</v>
      </c>
      <c r="O148" s="11" t="n">
        <v>1</v>
      </c>
      <c r="P148" s="37" t="n">
        <f aca="false">C148</f>
        <v>567.519328068439</v>
      </c>
      <c r="Q148" s="3" t="s">
        <v>1960</v>
      </c>
    </row>
    <row r="149" customFormat="false" ht="15" hidden="false" customHeight="false" outlineLevel="0" collapsed="false">
      <c r="A149" s="10" t="s">
        <v>1864</v>
      </c>
      <c r="B149" s="36" t="n">
        <v>1.17064</v>
      </c>
      <c r="C149" s="37" t="n">
        <f aca="false">Parametres!$C$3/B149</f>
        <v>560.340497505638</v>
      </c>
      <c r="D149" s="14" t="n">
        <f aca="false">11.0664</f>
        <v>11.0664</v>
      </c>
      <c r="I149" s="14" t="n">
        <v>20083.8675</v>
      </c>
      <c r="J149" s="37" t="n">
        <f aca="false">I149/B149</f>
        <v>17156.3140675186</v>
      </c>
      <c r="K149" s="14" t="n">
        <v>37.7836</v>
      </c>
      <c r="L149" s="37" t="n">
        <f aca="false">K149/B149</f>
        <v>32.2760199548965</v>
      </c>
      <c r="M149" s="14" t="n">
        <v>4.6484</v>
      </c>
      <c r="N149" s="37" t="n">
        <f aca="false">M149/B149</f>
        <v>3.9708193808515</v>
      </c>
      <c r="O149" s="11" t="n">
        <v>1</v>
      </c>
      <c r="P149" s="37" t="n">
        <f aca="false">C149</f>
        <v>560.340497505638</v>
      </c>
      <c r="Q149" s="3" t="s">
        <v>1960</v>
      </c>
    </row>
    <row r="150" customFormat="false" ht="15" hidden="false" customHeight="false" outlineLevel="0" collapsed="false">
      <c r="A150" s="10" t="s">
        <v>1865</v>
      </c>
      <c r="B150" s="36" t="n">
        <v>1.16732</v>
      </c>
      <c r="C150" s="37" t="n">
        <f aca="false">Parametres!$C$3/B150</f>
        <v>561.934174005414</v>
      </c>
      <c r="D150" s="14" t="n">
        <f aca="false">11.4498</f>
        <v>11.4498</v>
      </c>
      <c r="I150" s="14" t="n">
        <v>20537.998</v>
      </c>
      <c r="J150" s="37" t="n">
        <f aca="false">I150/B150</f>
        <v>17594.1455641983</v>
      </c>
      <c r="K150" s="14" t="n">
        <v>37.9505</v>
      </c>
      <c r="L150" s="37" t="n">
        <f aca="false">K150/B150</f>
        <v>32.510793955385</v>
      </c>
      <c r="M150" s="14" t="n">
        <v>4.6121</v>
      </c>
      <c r="N150" s="37" t="n">
        <f aca="false">M150/B150</f>
        <v>3.95101600246719</v>
      </c>
      <c r="O150" s="11" t="n">
        <v>1</v>
      </c>
      <c r="P150" s="37" t="n">
        <f aca="false">C150</f>
        <v>561.934174005414</v>
      </c>
      <c r="Q150" s="3" t="s">
        <v>1960</v>
      </c>
    </row>
    <row r="151" customFormat="false" ht="15" hidden="false" customHeight="false" outlineLevel="0" collapsed="false">
      <c r="A151" s="10" t="s">
        <v>1866</v>
      </c>
      <c r="B151" s="36" t="n">
        <v>1.1518</v>
      </c>
      <c r="C151" s="37" t="n">
        <f aca="false">Parametres!$C$3/B151</f>
        <v>569.505990623372</v>
      </c>
      <c r="D151" s="14" t="n">
        <f aca="false">11.4068</f>
        <v>11.4068</v>
      </c>
      <c r="I151" s="14" t="n">
        <v>20614.7136</v>
      </c>
      <c r="J151" s="37" t="n">
        <f aca="false">I151/B151</f>
        <v>17897.8239277652</v>
      </c>
      <c r="K151" s="14" t="n">
        <v>37.874</v>
      </c>
      <c r="L151" s="37" t="n">
        <f aca="false">K151/B151</f>
        <v>32.8824448689009</v>
      </c>
      <c r="M151" s="14" t="n">
        <v>4.6866</v>
      </c>
      <c r="N151" s="37" t="n">
        <f aca="false">M151/B151</f>
        <v>4.06893557909359</v>
      </c>
      <c r="O151" s="11" t="n">
        <v>1</v>
      </c>
      <c r="P151" s="37" t="n">
        <f aca="false">C151</f>
        <v>569.505990623372</v>
      </c>
      <c r="Q151" s="3" t="s">
        <v>1960</v>
      </c>
    </row>
    <row r="152" customFormat="false" ht="23.85" hidden="false" customHeight="false" outlineLevel="0" collapsed="false">
      <c r="A152" s="10" t="s">
        <v>1867</v>
      </c>
      <c r="B152" s="36" t="n">
        <v>1.141748</v>
      </c>
      <c r="C152" s="37" t="n">
        <f aca="false">Parametres!$C$3/B152</f>
        <v>574.519946608183</v>
      </c>
      <c r="D152" s="14" t="n">
        <f aca="false">11.5423</f>
        <v>11.5423</v>
      </c>
      <c r="E152" s="38" t="n">
        <f aca="false">3678.495</f>
        <v>3678.495</v>
      </c>
      <c r="I152" s="14" t="n">
        <v>20563.9952</v>
      </c>
      <c r="J152" s="37" t="n">
        <f aca="false">I152/B152</f>
        <v>18010.9754516759</v>
      </c>
      <c r="K152" s="14" t="n">
        <v>38.2595</v>
      </c>
      <c r="L152" s="37" t="n">
        <f aca="false">K152/B152</f>
        <v>33.5095835508361</v>
      </c>
      <c r="M152" s="14" t="n">
        <v>4.6614</v>
      </c>
      <c r="N152" s="37" t="n">
        <f aca="false">M152/B152</f>
        <v>4.08268724797416</v>
      </c>
      <c r="O152" s="11" t="n">
        <v>1</v>
      </c>
      <c r="P152" s="37" t="n">
        <f aca="false">C152</f>
        <v>574.519946608183</v>
      </c>
      <c r="Q152" s="3" t="s">
        <v>1961</v>
      </c>
    </row>
    <row r="153" customFormat="false" ht="15" hidden="false" customHeight="false" outlineLevel="0" collapsed="false">
      <c r="A153" s="10" t="s">
        <v>1868</v>
      </c>
      <c r="B153" s="36" t="n">
        <v>1.15931</v>
      </c>
      <c r="C153" s="37" t="n">
        <f aca="false">Parametres!$C$3/B153</f>
        <v>565.816735816995</v>
      </c>
      <c r="D153" s="14" t="n">
        <f aca="false">11.3349</f>
        <v>11.3349</v>
      </c>
      <c r="I153" s="14" t="n">
        <v>20641.1148</v>
      </c>
      <c r="J153" s="37" t="n">
        <f aca="false">I153/B153</f>
        <v>17804.6551828243</v>
      </c>
      <c r="K153" s="14" t="n">
        <v>38.2698</v>
      </c>
      <c r="L153" s="37" t="n">
        <f aca="false">K153/B153</f>
        <v>33.0108426564077</v>
      </c>
      <c r="M153" s="14" t="n">
        <v>4.7125</v>
      </c>
      <c r="N153" s="37" t="n">
        <f aca="false">M153/B153</f>
        <v>4.06491792531765</v>
      </c>
      <c r="O153" s="11" t="n">
        <v>1</v>
      </c>
      <c r="P153" s="37" t="n">
        <f aca="false">C153</f>
        <v>565.816735816995</v>
      </c>
      <c r="Q153" s="3" t="s">
        <v>1960</v>
      </c>
    </row>
    <row r="154" customFormat="false" ht="46.25" hidden="false" customHeight="false" outlineLevel="0" collapsed="false">
      <c r="A154" s="10" t="s">
        <v>1870</v>
      </c>
      <c r="B154" s="36" t="n">
        <v>1.16052</v>
      </c>
      <c r="C154" s="37" t="n">
        <f aca="false">Parametres!$C$3/B154</f>
        <v>565.226794885052</v>
      </c>
      <c r="D154" s="14" t="n">
        <f aca="false">(11.55+11.43)/2</f>
        <v>11.49</v>
      </c>
      <c r="F154" s="14" t="n">
        <f aca="false">(25780+26160)/2</f>
        <v>25970</v>
      </c>
      <c r="H154" s="38" t="n">
        <f aca="false">5728.5/4.311</f>
        <v>1328.81002087683</v>
      </c>
      <c r="I154" s="14" t="n">
        <v>20459.705</v>
      </c>
      <c r="J154" s="37" t="n">
        <f aca="false">I154/B154</f>
        <v>17629.7737221246</v>
      </c>
      <c r="K154" s="14" t="n">
        <v>38.3421</v>
      </c>
      <c r="L154" s="37" t="n">
        <f aca="false">K154/B154</f>
        <v>33.0387240202668</v>
      </c>
      <c r="M154" s="14" t="n">
        <v>4.7071</v>
      </c>
      <c r="N154" s="37" t="n">
        <f aca="false">M154/B154</f>
        <v>4.05602660876159</v>
      </c>
      <c r="O154" s="11" t="n">
        <v>1</v>
      </c>
      <c r="P154" s="37" t="n">
        <f aca="false">C154</f>
        <v>565.226794885052</v>
      </c>
      <c r="Q154" s="3" t="s">
        <v>1962</v>
      </c>
    </row>
    <row r="156" customFormat="false" ht="15" hidden="false" customHeight="false" outlineLevel="0" collapsed="false">
      <c r="A156" s="13" t="s">
        <v>1963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9"/>
    <col collapsed="false" customWidth="true" hidden="false" outlineLevel="0" max="15" min="4" style="0" width="10"/>
  </cols>
  <sheetData>
    <row r="1" customFormat="false" ht="42" hidden="false" customHeight="true" outlineLevel="0" collapsed="false">
      <c r="A1" s="4" t="s">
        <v>1964</v>
      </c>
      <c r="B1" s="4" t="s">
        <v>1874</v>
      </c>
      <c r="C1" s="4" t="s">
        <v>1875</v>
      </c>
      <c r="D1" s="4" t="s">
        <v>267</v>
      </c>
      <c r="E1" s="4" t="s">
        <v>383</v>
      </c>
      <c r="F1" s="4" t="s">
        <v>564</v>
      </c>
      <c r="G1" s="4" t="s">
        <v>577</v>
      </c>
      <c r="H1" s="4" t="s">
        <v>688</v>
      </c>
      <c r="I1" s="4" t="s">
        <v>480</v>
      </c>
      <c r="J1" s="4" t="s">
        <v>843</v>
      </c>
      <c r="K1" s="4" t="s">
        <v>830</v>
      </c>
      <c r="L1" s="4" t="s">
        <v>882</v>
      </c>
      <c r="M1" s="4" t="s">
        <v>491</v>
      </c>
      <c r="N1" s="4" t="s">
        <v>455</v>
      </c>
      <c r="O1" s="4" t="s">
        <v>1965</v>
      </c>
    </row>
    <row r="2" customFormat="false" ht="15" hidden="false" customHeight="false" outlineLevel="0" collapsed="false">
      <c r="A2" s="10" t="s">
        <v>588</v>
      </c>
      <c r="B2" s="10" t="s">
        <v>1741</v>
      </c>
      <c r="C2" s="10" t="s">
        <v>1746</v>
      </c>
      <c r="D2" s="17" t="n">
        <f aca="false">IFERROR(AVERAGE(Change_mensuel!C27:C32),"")</f>
        <v>586.251509593168</v>
      </c>
      <c r="E2" s="17" t="n">
        <f aca="false">IFERROR(AVERAGE(Change_mensuel!D27:D32),"")</f>
        <v>3.86286666666667</v>
      </c>
      <c r="F2" s="17" t="n">
        <f aca="false">IFERROR(AVERAGE(Change_mensuel!E27:E32),"")</f>
        <v>3373.39805</v>
      </c>
      <c r="G2" s="17" t="n">
        <f aca="false">IFERROR(AVERAGE(Change_mensuel!F27:F32),"")</f>
        <v>21882.3433333333</v>
      </c>
      <c r="H2" s="17" t="n">
        <f aca="false">IFERROR(AVERAGE(Change_mensuel!G27:G32),"")</f>
        <v>2180.45666666667</v>
      </c>
      <c r="I2" s="17" t="n">
        <f aca="false">IFERROR(AVERAGE(Change_mensuel!H27:H32),"")</f>
        <v>219.0556</v>
      </c>
      <c r="J2" s="17" t="n">
        <f aca="false">IFERROR(AVERAGE(Change_mensuel!J27:J32),"")</f>
        <v>13289.3192037393</v>
      </c>
      <c r="K2" s="17" t="n">
        <f aca="false">IFERROR(AVERAGE(Change_mensuel!L27:L32),"")</f>
        <v>35.278080997068</v>
      </c>
      <c r="L2" s="17" t="n">
        <f aca="false">IFERROR(AVERAGE(Change_mensuel!N27:N32),"")</f>
        <v>4.04866458870224</v>
      </c>
      <c r="M2" s="17" t="n">
        <f aca="false">IFERROR(AVERAGE(Change_mensuel!O27:O32),"")</f>
        <v>1</v>
      </c>
      <c r="N2" s="17" t="n">
        <f aca="false">IFERROR(AVERAGE(Change_mensuel!P27:P32),"")</f>
        <v>586.251509593168</v>
      </c>
      <c r="O2" s="34" t="n">
        <f aca="false">COUNT(Change_mensuel!D27:D32)</f>
        <v>6</v>
      </c>
    </row>
    <row r="3" customFormat="false" ht="15" hidden="false" customHeight="false" outlineLevel="0" collapsed="false">
      <c r="A3" s="10" t="s">
        <v>269</v>
      </c>
      <c r="B3" s="10" t="s">
        <v>1749</v>
      </c>
      <c r="C3" s="10" t="s">
        <v>1754</v>
      </c>
      <c r="D3" s="17" t="n">
        <f aca="false">IFERROR(AVERAGE(Change_mensuel!C35:C40),"")</f>
        <v>612.129614326912</v>
      </c>
      <c r="E3" s="17" t="n">
        <f aca="false">IFERROR(AVERAGE(Change_mensuel!D35:D40),"")</f>
        <v>4.1874</v>
      </c>
      <c r="F3" s="17" t="n">
        <f aca="false">IFERROR(AVERAGE(Change_mensuel!E35:E40),"")</f>
        <v>3564.74645</v>
      </c>
      <c r="G3" s="17" t="n">
        <f aca="false">IFERROR(AVERAGE(Change_mensuel!F35:F40),"")</f>
        <v>22144.55</v>
      </c>
      <c r="H3" s="17" t="n">
        <f aca="false">IFERROR(AVERAGE(Change_mensuel!G35:G40),"")</f>
        <v>2195.78666666667</v>
      </c>
      <c r="I3" s="17" t="n">
        <f aca="false">IFERROR(AVERAGE(Change_mensuel!H35:H40),"")</f>
        <v>305.421183333333</v>
      </c>
      <c r="J3" s="17" t="n">
        <f aca="false">IFERROR(AVERAGE(Change_mensuel!J35:J40),"")</f>
        <v>13299.639082925</v>
      </c>
      <c r="K3" s="17" t="n">
        <f aca="false">IFERROR(AVERAGE(Change_mensuel!L35:L40),"")</f>
        <v>35.2556073422735</v>
      </c>
      <c r="L3" s="17" t="n">
        <f aca="false">IFERROR(AVERAGE(Change_mensuel!N35:N40),"")</f>
        <v>4.38511087599994</v>
      </c>
      <c r="M3" s="17" t="n">
        <f aca="false">IFERROR(AVERAGE(Change_mensuel!O35:O40),"")</f>
        <v>1</v>
      </c>
      <c r="N3" s="17" t="n">
        <f aca="false">IFERROR(AVERAGE(Change_mensuel!P35:P40),"")</f>
        <v>612.129614326912</v>
      </c>
      <c r="O3" s="34" t="n">
        <f aca="false">COUNT(Change_mensuel!D35:D40)</f>
        <v>6</v>
      </c>
    </row>
    <row r="4" customFormat="false" ht="15" hidden="false" customHeight="false" outlineLevel="0" collapsed="false">
      <c r="A4" s="10" t="s">
        <v>511</v>
      </c>
      <c r="B4" s="10" t="s">
        <v>1749</v>
      </c>
      <c r="C4" s="10" t="s">
        <v>1760</v>
      </c>
      <c r="D4" s="17" t="n">
        <f aca="false">IFERROR(AVERAGE(Change_mensuel!C35:C46),"")</f>
        <v>594.821927413357</v>
      </c>
      <c r="E4" s="17" t="n">
        <f aca="false">IFERROR(AVERAGE(Change_mensuel!D35:D46),"")</f>
        <v>4.25404166666667</v>
      </c>
      <c r="F4" s="17" t="n">
        <f aca="false">IFERROR(AVERAGE(Change_mensuel!E35:E46),"")</f>
        <v>3585.775775</v>
      </c>
      <c r="G4" s="17" t="n">
        <f aca="false">IFERROR(AVERAGE(Change_mensuel!F35:F46),"")</f>
        <v>22275.5866666667</v>
      </c>
      <c r="H4" s="17" t="n">
        <f aca="false">IFERROR(AVERAGE(Change_mensuel!G35:G46),"")</f>
        <v>2213.34666666667</v>
      </c>
      <c r="I4" s="17" t="n">
        <f aca="false">IFERROR(AVERAGE(Change_mensuel!H35:H46),"")</f>
        <v>305.604091666667</v>
      </c>
      <c r="J4" s="17" t="n">
        <f aca="false">IFERROR(AVERAGE(Change_mensuel!J35:J46),"")</f>
        <v>13310.249874655</v>
      </c>
      <c r="K4" s="17" t="n">
        <f aca="false">IFERROR(AVERAGE(Change_mensuel!L35:L46),"")</f>
        <v>34.5510344615918</v>
      </c>
      <c r="L4" s="17" t="n">
        <f aca="false">IFERROR(AVERAGE(Change_mensuel!N35:N46),"")</f>
        <v>4.34127382150677</v>
      </c>
      <c r="M4" s="17" t="n">
        <f aca="false">IFERROR(AVERAGE(Change_mensuel!O35:O46),"")</f>
        <v>1</v>
      </c>
      <c r="N4" s="17" t="n">
        <f aca="false">IFERROR(AVERAGE(Change_mensuel!P35:P46),"")</f>
        <v>594.821927413357</v>
      </c>
      <c r="O4" s="34" t="n">
        <f aca="false">COUNT(Change_mensuel!D35:D46)</f>
        <v>12</v>
      </c>
    </row>
    <row r="5" customFormat="false" ht="15" hidden="false" customHeight="false" outlineLevel="0" collapsed="false">
      <c r="A5" s="10" t="s">
        <v>594</v>
      </c>
      <c r="B5" s="10" t="s">
        <v>1753</v>
      </c>
      <c r="C5" s="10" t="s">
        <v>1758</v>
      </c>
      <c r="D5" s="17" t="n">
        <f aca="false">IFERROR(AVERAGE(Change_mensuel!C39:C44),"")</f>
        <v>598.204322464564</v>
      </c>
      <c r="E5" s="17" t="n">
        <f aca="false">IFERROR(AVERAGE(Change_mensuel!D39:D44),"")</f>
        <v>4.33171666666667</v>
      </c>
      <c r="F5" s="17" t="n">
        <f aca="false">IFERROR(AVERAGE(Change_mensuel!E39:E44),"")</f>
        <v>3603.21608333333</v>
      </c>
      <c r="G5" s="17" t="n">
        <f aca="false">IFERROR(AVERAGE(Change_mensuel!F39:F44),"")</f>
        <v>22337.99</v>
      </c>
      <c r="H5" s="17" t="n">
        <f aca="false">IFERROR(AVERAGE(Change_mensuel!G39:G44),"")</f>
        <v>2227.88833333333</v>
      </c>
      <c r="I5" s="17" t="n">
        <f aca="false">IFERROR(AVERAGE(Change_mensuel!H39:H44),"")</f>
        <v>305.81375</v>
      </c>
      <c r="J5" s="17" t="n">
        <f aca="false">IFERROR(AVERAGE(Change_mensuel!J39:J44),"")</f>
        <v>13324.9428174244</v>
      </c>
      <c r="K5" s="17" t="n">
        <f aca="false">IFERROR(AVERAGE(Change_mensuel!L39:L44),"")</f>
        <v>34.4251776114672</v>
      </c>
      <c r="L5" s="17" t="n">
        <f aca="false">IFERROR(AVERAGE(Change_mensuel!N39:N44),"")</f>
        <v>4.36139822506034</v>
      </c>
      <c r="M5" s="17" t="n">
        <f aca="false">IFERROR(AVERAGE(Change_mensuel!O39:O44),"")</f>
        <v>1</v>
      </c>
      <c r="N5" s="17" t="n">
        <f aca="false">IFERROR(AVERAGE(Change_mensuel!P39:P44),"")</f>
        <v>598.204322464564</v>
      </c>
      <c r="O5" s="34" t="n">
        <f aca="false">COUNT(Change_mensuel!D39:D44)</f>
        <v>6</v>
      </c>
    </row>
    <row r="6" customFormat="false" ht="15" hidden="false" customHeight="false" outlineLevel="0" collapsed="false">
      <c r="A6" s="10" t="s">
        <v>279</v>
      </c>
      <c r="B6" s="10" t="s">
        <v>1755</v>
      </c>
      <c r="C6" s="10" t="s">
        <v>1760</v>
      </c>
      <c r="D6" s="17" t="n">
        <f aca="false">IFERROR(AVERAGE(Change_mensuel!C41:C46),"")</f>
        <v>577.514240499801</v>
      </c>
      <c r="E6" s="17" t="n">
        <f aca="false">IFERROR(AVERAGE(Change_mensuel!D41:D46),"")</f>
        <v>4.32068333333333</v>
      </c>
      <c r="F6" s="17" t="n">
        <f aca="false">IFERROR(AVERAGE(Change_mensuel!E41:E46),"")</f>
        <v>3606.8051</v>
      </c>
      <c r="G6" s="17" t="n">
        <f aca="false">IFERROR(AVERAGE(Change_mensuel!F41:F46),"")</f>
        <v>22406.6233333333</v>
      </c>
      <c r="H6" s="17" t="n">
        <f aca="false">IFERROR(AVERAGE(Change_mensuel!G41:G46),"")</f>
        <v>2230.90666666667</v>
      </c>
      <c r="I6" s="17" t="n">
        <f aca="false">IFERROR(AVERAGE(Change_mensuel!H41:H46),"")</f>
        <v>305.787</v>
      </c>
      <c r="J6" s="17" t="n">
        <f aca="false">IFERROR(AVERAGE(Change_mensuel!J41:J46),"")</f>
        <v>13320.8606663849</v>
      </c>
      <c r="K6" s="17" t="n">
        <f aca="false">IFERROR(AVERAGE(Change_mensuel!L41:L46),"")</f>
        <v>33.8464615809101</v>
      </c>
      <c r="L6" s="17" t="n">
        <f aca="false">IFERROR(AVERAGE(Change_mensuel!N41:N46),"")</f>
        <v>4.2974367670136</v>
      </c>
      <c r="M6" s="17" t="n">
        <f aca="false">IFERROR(AVERAGE(Change_mensuel!O41:O46),"")</f>
        <v>1</v>
      </c>
      <c r="N6" s="17" t="n">
        <f aca="false">IFERROR(AVERAGE(Change_mensuel!P41:P46),"")</f>
        <v>577.514240499801</v>
      </c>
      <c r="O6" s="34" t="n">
        <f aca="false">COUNT(Change_mensuel!D41:D46)</f>
        <v>6</v>
      </c>
    </row>
    <row r="7" customFormat="false" ht="15" hidden="false" customHeight="false" outlineLevel="0" collapsed="false">
      <c r="A7" s="10" t="s">
        <v>721</v>
      </c>
      <c r="B7" s="10" t="s">
        <v>1759</v>
      </c>
      <c r="C7" s="10" t="s">
        <v>1770</v>
      </c>
      <c r="D7" s="17" t="n">
        <f aca="false">IFERROR(AVERAGE(Change_mensuel!C45:C56),"")</f>
        <v>549.205613385998</v>
      </c>
      <c r="E7" s="17" t="n">
        <f aca="false">IFERROR(AVERAGE(Change_mensuel!D45:D56),"")</f>
        <v>4.43030833333333</v>
      </c>
      <c r="F7" s="17" t="n">
        <f aca="false">IFERROR(AVERAGE(Change_mensuel!E45:E56),"")</f>
        <v>3672.388225</v>
      </c>
      <c r="G7" s="17" t="n">
        <f aca="false">IFERROR(AVERAGE(Change_mensuel!F45:F56),"")</f>
        <v>22487.7458333333</v>
      </c>
      <c r="H7" s="17" t="n">
        <f aca="false">IFERROR(AVERAGE(Change_mensuel!G45:G56),"")</f>
        <v>2245.9025</v>
      </c>
      <c r="I7" s="17" t="n">
        <f aca="false">IFERROR(AVERAGE(Change_mensuel!H45:H56),"")</f>
        <v>305.827766666667</v>
      </c>
      <c r="J7" s="17" t="n">
        <f aca="false">IFERROR(AVERAGE(Change_mensuel!J45:J56),"")</f>
        <v>13691.9235200023</v>
      </c>
      <c r="K7" s="17" t="n">
        <f aca="false">IFERROR(AVERAGE(Change_mensuel!L45:L56),"")</f>
        <v>32.4104458380477</v>
      </c>
      <c r="L7" s="17" t="n">
        <f aca="false">IFERROR(AVERAGE(Change_mensuel!N45:N56),"")</f>
        <v>4.05392199240641</v>
      </c>
      <c r="M7" s="17" t="n">
        <f aca="false">IFERROR(AVERAGE(Change_mensuel!O45:O56),"")</f>
        <v>1</v>
      </c>
      <c r="N7" s="17" t="n">
        <f aca="false">IFERROR(AVERAGE(Change_mensuel!P45:P56),"")</f>
        <v>549.205613385998</v>
      </c>
      <c r="O7" s="34" t="n">
        <f aca="false">COUNT(Change_mensuel!D45:D56)</f>
        <v>12</v>
      </c>
    </row>
    <row r="8" customFormat="false" ht="15" hidden="false" customHeight="false" outlineLevel="0" collapsed="false">
      <c r="A8" s="10" t="s">
        <v>285</v>
      </c>
      <c r="B8" s="10" t="s">
        <v>1761</v>
      </c>
      <c r="C8" s="10" t="s">
        <v>1766</v>
      </c>
      <c r="D8" s="17" t="n">
        <f aca="false">IFERROR(AVERAGE(Change_mensuel!C47:C52),"")</f>
        <v>545.278268301567</v>
      </c>
      <c r="E8" s="17" t="n">
        <f aca="false">IFERROR(AVERAGE(Change_mensuel!D47:D52),"")</f>
        <v>4.40726666666667</v>
      </c>
      <c r="F8" s="17" t="n">
        <f aca="false">IFERROR(AVERAGE(Change_mensuel!E47:E52),"")</f>
        <v>3639.6259</v>
      </c>
      <c r="G8" s="17" t="n">
        <f aca="false">IFERROR(AVERAGE(Change_mensuel!F47:F52),"")</f>
        <v>22442.8883333333</v>
      </c>
      <c r="H8" s="17" t="n">
        <f aca="false">IFERROR(AVERAGE(Change_mensuel!G47:G52),"")</f>
        <v>2237.975</v>
      </c>
      <c r="I8" s="17" t="n">
        <f aca="false">IFERROR(AVERAGE(Change_mensuel!H47:H52),"")</f>
        <v>305.876233333333</v>
      </c>
      <c r="J8" s="17" t="n">
        <f aca="false">IFERROR(AVERAGE(Change_mensuel!J47:J52),"")</f>
        <v>13557.8951159875</v>
      </c>
      <c r="K8" s="17" t="n">
        <f aca="false">IFERROR(AVERAGE(Change_mensuel!L47:L52),"")</f>
        <v>32.2413803429359</v>
      </c>
      <c r="L8" s="17" t="n">
        <f aca="false">IFERROR(AVERAGE(Change_mensuel!N47:N52),"")</f>
        <v>4.04037768140043</v>
      </c>
      <c r="M8" s="17" t="n">
        <f aca="false">IFERROR(AVERAGE(Change_mensuel!O47:O52),"")</f>
        <v>1</v>
      </c>
      <c r="N8" s="17" t="n">
        <f aca="false">IFERROR(AVERAGE(Change_mensuel!P47:P52),"")</f>
        <v>545.278268301567</v>
      </c>
      <c r="O8" s="34" t="n">
        <f aca="false">COUNT(Change_mensuel!D47:D52)</f>
        <v>6</v>
      </c>
    </row>
    <row r="9" customFormat="false" ht="15" hidden="false" customHeight="false" outlineLevel="0" collapsed="false">
      <c r="A9" s="10" t="s">
        <v>517</v>
      </c>
      <c r="B9" s="10" t="s">
        <v>1761</v>
      </c>
      <c r="C9" s="10" t="s">
        <v>1772</v>
      </c>
      <c r="D9" s="17" t="n">
        <f aca="false">IFERROR(AVERAGE(Change_mensuel!C47:C58),"")</f>
        <v>551.245915046026</v>
      </c>
      <c r="E9" s="17" t="n">
        <f aca="false">IFERROR(AVERAGE(Change_mensuel!D47:D58),"")</f>
        <v>4.485025</v>
      </c>
      <c r="F9" s="17" t="n">
        <f aca="false">IFERROR(AVERAGE(Change_mensuel!E47:E58),"")</f>
        <v>3699.41440833333</v>
      </c>
      <c r="G9" s="17" t="n">
        <f aca="false">IFERROR(AVERAGE(Change_mensuel!F47:F58),"")</f>
        <v>22528.6933333333</v>
      </c>
      <c r="H9" s="17" t="n">
        <f aca="false">IFERROR(AVERAGE(Change_mensuel!G47:G58),"")</f>
        <v>2252.64416666667</v>
      </c>
      <c r="I9" s="17" t="n">
        <f aca="false">IFERROR(AVERAGE(Change_mensuel!H47:H58),"")</f>
        <v>305.892383333333</v>
      </c>
      <c r="J9" s="17" t="n">
        <f aca="false">IFERROR(AVERAGE(Change_mensuel!J47:J58),"")</f>
        <v>13924.4704388967</v>
      </c>
      <c r="K9" s="17" t="n">
        <f aca="false">IFERROR(AVERAGE(Change_mensuel!L47:L58),"")</f>
        <v>32.3459540870739</v>
      </c>
      <c r="L9" s="17" t="n">
        <f aca="false">IFERROR(AVERAGE(Change_mensuel!N47:N58),"")</f>
        <v>4.03200198404706</v>
      </c>
      <c r="M9" s="17" t="n">
        <f aca="false">IFERROR(AVERAGE(Change_mensuel!O47:O58),"")</f>
        <v>1</v>
      </c>
      <c r="N9" s="17" t="n">
        <f aca="false">IFERROR(AVERAGE(Change_mensuel!P47:P58),"")</f>
        <v>551.245915046026</v>
      </c>
      <c r="O9" s="34" t="n">
        <f aca="false">COUNT(Change_mensuel!D47:D58)</f>
        <v>12</v>
      </c>
    </row>
    <row r="10" customFormat="false" ht="15" hidden="false" customHeight="false" outlineLevel="0" collapsed="false">
      <c r="A10" s="10" t="s">
        <v>599</v>
      </c>
      <c r="B10" s="10" t="s">
        <v>1765</v>
      </c>
      <c r="C10" s="10" t="s">
        <v>1770</v>
      </c>
      <c r="D10" s="17" t="n">
        <f aca="false">IFERROR(AVERAGE(Change_mensuel!C51:C56),"")</f>
        <v>545.939467388374</v>
      </c>
      <c r="E10" s="17" t="n">
        <f aca="false">IFERROR(AVERAGE(Change_mensuel!D51:D56),"")</f>
        <v>4.46036666666667</v>
      </c>
      <c r="F10" s="17" t="n">
        <f aca="false">IFERROR(AVERAGE(Change_mensuel!E51:E56),"")</f>
        <v>3720.44768333333</v>
      </c>
      <c r="G10" s="17" t="n">
        <f aca="false">IFERROR(AVERAGE(Change_mensuel!F51:F56),"")</f>
        <v>22533.5566666667</v>
      </c>
      <c r="H10" s="17" t="n">
        <f aca="false">IFERROR(AVERAGE(Change_mensuel!G51:G56),"")</f>
        <v>2257.18166666667</v>
      </c>
      <c r="I10" s="17" t="n">
        <f aca="false">IFERROR(AVERAGE(Change_mensuel!H51:H56),"")</f>
        <v>305.79325</v>
      </c>
      <c r="J10" s="17" t="n">
        <f aca="false">IFERROR(AVERAGE(Change_mensuel!J51:J56),"")</f>
        <v>13944.5937626984</v>
      </c>
      <c r="K10" s="17" t="n">
        <f aca="false">IFERROR(AVERAGE(Change_mensuel!L51:L56),"")</f>
        <v>31.9728148310415</v>
      </c>
      <c r="L10" s="17" t="n">
        <f aca="false">IFERROR(AVERAGE(Change_mensuel!N51:N56),"")</f>
        <v>3.954159416244</v>
      </c>
      <c r="M10" s="17" t="n">
        <f aca="false">IFERROR(AVERAGE(Change_mensuel!O51:O56),"")</f>
        <v>1</v>
      </c>
      <c r="N10" s="17" t="n">
        <f aca="false">IFERROR(AVERAGE(Change_mensuel!P51:P56),"")</f>
        <v>545.939467388374</v>
      </c>
      <c r="O10" s="34" t="n">
        <f aca="false">COUNT(Change_mensuel!D51:D56)</f>
        <v>6</v>
      </c>
    </row>
    <row r="11" customFormat="false" ht="15" hidden="false" customHeight="false" outlineLevel="0" collapsed="false">
      <c r="A11" s="10" t="s">
        <v>290</v>
      </c>
      <c r="B11" s="10" t="s">
        <v>1767</v>
      </c>
      <c r="C11" s="10" t="s">
        <v>1772</v>
      </c>
      <c r="D11" s="17" t="n">
        <f aca="false">IFERROR(AVERAGE(Change_mensuel!C53:C58),"")</f>
        <v>557.213561790484</v>
      </c>
      <c r="E11" s="17" t="n">
        <f aca="false">IFERROR(AVERAGE(Change_mensuel!D53:D58),"")</f>
        <v>4.56278333333333</v>
      </c>
      <c r="F11" s="17" t="n">
        <f aca="false">IFERROR(AVERAGE(Change_mensuel!E53:E58),"")</f>
        <v>3759.20291666667</v>
      </c>
      <c r="G11" s="17" t="n">
        <f aca="false">IFERROR(AVERAGE(Change_mensuel!F53:F58),"")</f>
        <v>22614.4983333333</v>
      </c>
      <c r="H11" s="17" t="n">
        <f aca="false">IFERROR(AVERAGE(Change_mensuel!G53:G58),"")</f>
        <v>2267.31333333333</v>
      </c>
      <c r="I11" s="17" t="n">
        <f aca="false">IFERROR(AVERAGE(Change_mensuel!H53:H58),"")</f>
        <v>305.908533333333</v>
      </c>
      <c r="J11" s="17" t="n">
        <f aca="false">IFERROR(AVERAGE(Change_mensuel!J53:J58),"")</f>
        <v>14291.0457618059</v>
      </c>
      <c r="K11" s="17" t="n">
        <f aca="false">IFERROR(AVERAGE(Change_mensuel!L53:L58),"")</f>
        <v>32.450527831212</v>
      </c>
      <c r="L11" s="17" t="n">
        <f aca="false">IFERROR(AVERAGE(Change_mensuel!N53:N58),"")</f>
        <v>4.0236262866937</v>
      </c>
      <c r="M11" s="17" t="n">
        <f aca="false">IFERROR(AVERAGE(Change_mensuel!O53:O58),"")</f>
        <v>1</v>
      </c>
      <c r="N11" s="17" t="n">
        <f aca="false">IFERROR(AVERAGE(Change_mensuel!P53:P58),"")</f>
        <v>557.213561790484</v>
      </c>
      <c r="O11" s="34" t="n">
        <f aca="false">COUNT(Change_mensuel!D53:D58)</f>
        <v>6</v>
      </c>
    </row>
    <row r="12" customFormat="false" ht="15" hidden="false" customHeight="false" outlineLevel="0" collapsed="false">
      <c r="A12" s="10" t="s">
        <v>728</v>
      </c>
      <c r="B12" s="10" t="s">
        <v>1771</v>
      </c>
      <c r="C12" s="10" t="s">
        <v>1782</v>
      </c>
      <c r="D12" s="17" t="n">
        <f aca="false">IFERROR(AVERAGE(Change_mensuel!C57:C68),"")</f>
        <v>576.967470984461</v>
      </c>
      <c r="E12" s="17" t="n">
        <f aca="false">IFERROR(AVERAGE(Change_mensuel!D57:D68),"")</f>
        <v>4.96853333333333</v>
      </c>
      <c r="F12" s="17" t="n">
        <f aca="false">IFERROR(AVERAGE(Change_mensuel!E57:E68),"")</f>
        <v>3730.97405833333</v>
      </c>
      <c r="G12" s="17" t="n">
        <f aca="false">IFERROR(AVERAGE(Change_mensuel!F57:F68),"")</f>
        <v>22874.8833333333</v>
      </c>
      <c r="H12" s="17" t="n">
        <f aca="false">IFERROR(AVERAGE(Change_mensuel!G57:G68),"")</f>
        <v>2283.365</v>
      </c>
      <c r="I12" s="17" t="n">
        <f aca="false">IFERROR(AVERAGE(Change_mensuel!H57:H68),"")</f>
        <v>306.733475</v>
      </c>
      <c r="J12" s="17" t="n">
        <f aca="false">IFERROR(AVERAGE(Change_mensuel!J57:J68),"")</f>
        <v>14414.1860844296</v>
      </c>
      <c r="K12" s="17" t="n">
        <f aca="false">IFERROR(AVERAGE(Change_mensuel!L57:L68),"")</f>
        <v>32.0430400394729</v>
      </c>
      <c r="L12" s="17" t="n">
        <f aca="false">IFERROR(AVERAGE(Change_mensuel!N57:N68),"")</f>
        <v>4.13202370486053</v>
      </c>
      <c r="M12" s="17" t="n">
        <f aca="false">IFERROR(AVERAGE(Change_mensuel!O57:O68),"")</f>
        <v>1</v>
      </c>
      <c r="N12" s="17" t="n">
        <f aca="false">IFERROR(AVERAGE(Change_mensuel!P57:P68),"")</f>
        <v>576.967470984461</v>
      </c>
      <c r="O12" s="34" t="n">
        <f aca="false">COUNT(Change_mensuel!D57:D68)</f>
        <v>12</v>
      </c>
    </row>
    <row r="13" customFormat="false" ht="15" hidden="false" customHeight="false" outlineLevel="0" collapsed="false">
      <c r="A13" s="10" t="s">
        <v>294</v>
      </c>
      <c r="B13" s="10" t="s">
        <v>1773</v>
      </c>
      <c r="C13" s="10" t="s">
        <v>1778</v>
      </c>
      <c r="D13" s="17" t="n">
        <f aca="false">IFERROR(AVERAGE(Change_mensuel!C59:C64),"")</f>
        <v>576.213999056325</v>
      </c>
      <c r="E13" s="17" t="n">
        <f aca="false">IFERROR(AVERAGE(Change_mensuel!D59:D64),"")</f>
        <v>4.91396666666667</v>
      </c>
      <c r="F13" s="17" t="n">
        <f aca="false">IFERROR(AVERAGE(Change_mensuel!E59:E64),"")</f>
        <v>3718.8994</v>
      </c>
      <c r="G13" s="17" t="n">
        <f aca="false">IFERROR(AVERAGE(Change_mensuel!F59:F64),"")</f>
        <v>22823.28</v>
      </c>
      <c r="H13" s="17" t="n">
        <f aca="false">IFERROR(AVERAGE(Change_mensuel!G59:G64),"")</f>
        <v>2282.43833333333</v>
      </c>
      <c r="I13" s="17" t="n">
        <f aca="false">IFERROR(AVERAGE(Change_mensuel!H59:H64),"")</f>
        <v>306.77925</v>
      </c>
      <c r="J13" s="17" t="n">
        <f aca="false">IFERROR(AVERAGE(Change_mensuel!J59:J64),"")</f>
        <v>14456.2722375617</v>
      </c>
      <c r="K13" s="17" t="n">
        <f aca="false">IFERROR(AVERAGE(Change_mensuel!L59:L64),"")</f>
        <v>32.2185157699881</v>
      </c>
      <c r="L13" s="17" t="n">
        <f aca="false">IFERROR(AVERAGE(Change_mensuel!N59:N64),"")</f>
        <v>4.13033895751888</v>
      </c>
      <c r="M13" s="17" t="n">
        <f aca="false">IFERROR(AVERAGE(Change_mensuel!O59:O64),"")</f>
        <v>1</v>
      </c>
      <c r="N13" s="17" t="n">
        <f aca="false">IFERROR(AVERAGE(Change_mensuel!P59:P64),"")</f>
        <v>576.213999056325</v>
      </c>
      <c r="O13" s="34" t="n">
        <f aca="false">COUNT(Change_mensuel!D59:D64)</f>
        <v>6</v>
      </c>
    </row>
    <row r="14" customFormat="false" ht="15" hidden="false" customHeight="false" outlineLevel="0" collapsed="false">
      <c r="A14" s="10" t="s">
        <v>521</v>
      </c>
      <c r="B14" s="10" t="s">
        <v>1773</v>
      </c>
      <c r="C14" s="10" t="s">
        <v>1784</v>
      </c>
      <c r="D14" s="17" t="n">
        <f aca="false">IFERROR(AVERAGE(Change_mensuel!C59:C70),"")</f>
        <v>581.555799883307</v>
      </c>
      <c r="E14" s="17" t="n">
        <f aca="false">IFERROR(AVERAGE(Change_mensuel!D59:D70),"")</f>
        <v>5.06263333333333</v>
      </c>
      <c r="F14" s="17" t="n">
        <f aca="false">IFERROR(AVERAGE(Change_mensuel!E59:E70),"")</f>
        <v>3717.558925</v>
      </c>
      <c r="G14" s="17" t="n">
        <f aca="false">IFERROR(AVERAGE(Change_mensuel!F59:F70),"")</f>
        <v>22948.005</v>
      </c>
      <c r="H14" s="17" t="n">
        <f aca="false">IFERROR(AVERAGE(Change_mensuel!G59:G70),"")</f>
        <v>2285.75416666667</v>
      </c>
      <c r="I14" s="17" t="n">
        <f aca="false">IFERROR(AVERAGE(Change_mensuel!H59:H70),"")</f>
        <v>306.8603</v>
      </c>
      <c r="J14" s="17" t="n">
        <f aca="false">IFERROR(AVERAGE(Change_mensuel!J59:J70),"")</f>
        <v>14322.0174501622</v>
      </c>
      <c r="K14" s="17" t="n">
        <f aca="false">IFERROR(AVERAGE(Change_mensuel!L59:L70),"")</f>
        <v>31.6838911119122</v>
      </c>
      <c r="L14" s="17" t="n">
        <f aca="false">IFERROR(AVERAGE(Change_mensuel!N59:N70),"")</f>
        <v>4.14370653839201</v>
      </c>
      <c r="M14" s="17" t="n">
        <f aca="false">IFERROR(AVERAGE(Change_mensuel!O59:O70),"")</f>
        <v>1</v>
      </c>
      <c r="N14" s="17" t="n">
        <f aca="false">IFERROR(AVERAGE(Change_mensuel!P59:P70),"")</f>
        <v>581.555799883307</v>
      </c>
      <c r="O14" s="34" t="n">
        <f aca="false">COUNT(Change_mensuel!D59:D70)</f>
        <v>12</v>
      </c>
    </row>
    <row r="15" customFormat="false" ht="15" hidden="false" customHeight="false" outlineLevel="0" collapsed="false">
      <c r="A15" s="10" t="s">
        <v>604</v>
      </c>
      <c r="B15" s="10" t="s">
        <v>1777</v>
      </c>
      <c r="C15" s="10" t="s">
        <v>1782</v>
      </c>
      <c r="D15" s="17" t="n">
        <f aca="false">IFERROR(AVERAGE(Change_mensuel!C63:C68),"")</f>
        <v>582.326000094165</v>
      </c>
      <c r="E15" s="17" t="n">
        <f aca="false">IFERROR(AVERAGE(Change_mensuel!D63:D68),"")</f>
        <v>5.14781666666667</v>
      </c>
      <c r="F15" s="17" t="n">
        <f aca="false">IFERROR(AVERAGE(Change_mensuel!E63:E68),"")</f>
        <v>3717.86098333333</v>
      </c>
      <c r="G15" s="17" t="n">
        <f aca="false">IFERROR(AVERAGE(Change_mensuel!F63:F68),"")</f>
        <v>23005.8816666667</v>
      </c>
      <c r="H15" s="17" t="n">
        <f aca="false">IFERROR(AVERAGE(Change_mensuel!G63:G68),"")</f>
        <v>2288.41</v>
      </c>
      <c r="I15" s="17" t="n">
        <f aca="false">IFERROR(AVERAGE(Change_mensuel!H63:H68),"")</f>
        <v>306.914766666667</v>
      </c>
      <c r="J15" s="17" t="n">
        <f aca="false">IFERROR(AVERAGE(Change_mensuel!J63:J68),"")</f>
        <v>14173.7726978828</v>
      </c>
      <c r="K15" s="17" t="n">
        <f aca="false">IFERROR(AVERAGE(Change_mensuel!L63:L68),"")</f>
        <v>31.4347997561689</v>
      </c>
      <c r="L15" s="17" t="n">
        <f aca="false">IFERROR(AVERAGE(Change_mensuel!N63:N68),"")</f>
        <v>4.12051495143719</v>
      </c>
      <c r="M15" s="17" t="n">
        <f aca="false">IFERROR(AVERAGE(Change_mensuel!O63:O68),"")</f>
        <v>1</v>
      </c>
      <c r="N15" s="17" t="n">
        <f aca="false">IFERROR(AVERAGE(Change_mensuel!P63:P68),"")</f>
        <v>582.326000094165</v>
      </c>
      <c r="O15" s="34" t="n">
        <f aca="false">COUNT(Change_mensuel!D63:D68)</f>
        <v>6</v>
      </c>
    </row>
    <row r="16" customFormat="false" ht="15" hidden="false" customHeight="false" outlineLevel="0" collapsed="false">
      <c r="A16" s="10" t="s">
        <v>299</v>
      </c>
      <c r="B16" s="10" t="s">
        <v>1779</v>
      </c>
      <c r="C16" s="10" t="s">
        <v>1784</v>
      </c>
      <c r="D16" s="17" t="n">
        <f aca="false">IFERROR(AVERAGE(Change_mensuel!C65:C70),"")</f>
        <v>586.897600710289</v>
      </c>
      <c r="E16" s="17" t="n">
        <f aca="false">IFERROR(AVERAGE(Change_mensuel!D65:D70),"")</f>
        <v>5.2113</v>
      </c>
      <c r="F16" s="17" t="n">
        <f aca="false">IFERROR(AVERAGE(Change_mensuel!E65:E70),"")</f>
        <v>3716.21845</v>
      </c>
      <c r="G16" s="17" t="n">
        <f aca="false">IFERROR(AVERAGE(Change_mensuel!F65:F70),"")</f>
        <v>23072.73</v>
      </c>
      <c r="H16" s="17" t="n">
        <f aca="false">IFERROR(AVERAGE(Change_mensuel!G65:G70),"")</f>
        <v>2289.07</v>
      </c>
      <c r="I16" s="17" t="n">
        <f aca="false">IFERROR(AVERAGE(Change_mensuel!H65:H70),"")</f>
        <v>306.94135</v>
      </c>
      <c r="J16" s="17" t="n">
        <f aca="false">IFERROR(AVERAGE(Change_mensuel!J65:J70),"")</f>
        <v>14187.7626627627</v>
      </c>
      <c r="K16" s="17" t="n">
        <f aca="false">IFERROR(AVERAGE(Change_mensuel!L65:L70),"")</f>
        <v>31.1492664538362</v>
      </c>
      <c r="L16" s="17" t="n">
        <f aca="false">IFERROR(AVERAGE(Change_mensuel!N65:N70),"")</f>
        <v>4.15707411926515</v>
      </c>
      <c r="M16" s="17" t="n">
        <f aca="false">IFERROR(AVERAGE(Change_mensuel!O65:O70),"")</f>
        <v>1</v>
      </c>
      <c r="N16" s="17" t="n">
        <f aca="false">IFERROR(AVERAGE(Change_mensuel!P65:P70),"")</f>
        <v>586.897600710289</v>
      </c>
      <c r="O16" s="34" t="n">
        <f aca="false">COUNT(Change_mensuel!D65:D70)</f>
        <v>6</v>
      </c>
    </row>
    <row r="17" customFormat="false" ht="15" hidden="false" customHeight="false" outlineLevel="0" collapsed="false">
      <c r="A17" s="10" t="s">
        <v>733</v>
      </c>
      <c r="B17" s="10" t="s">
        <v>1783</v>
      </c>
      <c r="C17" s="10" t="s">
        <v>1794</v>
      </c>
      <c r="D17" s="17" t="n">
        <f aca="false">IFERROR(AVERAGE(Change_mensuel!C69:C80),"")</f>
        <v>592.415481616019</v>
      </c>
      <c r="E17" s="17" t="n">
        <f aca="false">IFERROR(AVERAGE(Change_mensuel!D69:D80),"")</f>
        <v>5.45595833333333</v>
      </c>
      <c r="F17" s="17" t="n">
        <f aca="false">IFERROR(AVERAGE(Change_mensuel!E69:E80),"")</f>
        <v>3715.6853</v>
      </c>
      <c r="G17" s="17" t="n">
        <f aca="false">IFERROR(AVERAGE(Change_mensuel!F69:F80),"")</f>
        <v>23189.9425</v>
      </c>
      <c r="H17" s="17" t="n">
        <f aca="false">IFERROR(AVERAGE(Change_mensuel!G69:G80),"")</f>
        <v>2290.57330833333</v>
      </c>
      <c r="I17" s="17" t="n">
        <f aca="false">IFERROR(AVERAGE(Change_mensuel!H69:H80),"")</f>
        <v>327.953916666667</v>
      </c>
      <c r="J17" s="17" t="n">
        <f aca="false">IFERROR(AVERAGE(Change_mensuel!J69:J80),"")</f>
        <v>14390.1231606616</v>
      </c>
      <c r="K17" s="17" t="n">
        <f aca="false">IFERROR(AVERAGE(Change_mensuel!L69:L80),"")</f>
        <v>31.1070183768968</v>
      </c>
      <c r="L17" s="17" t="n">
        <f aca="false">IFERROR(AVERAGE(Change_mensuel!N69:N80),"")</f>
        <v>4.22007848664008</v>
      </c>
      <c r="M17" s="17" t="n">
        <f aca="false">IFERROR(AVERAGE(Change_mensuel!O69:O80),"")</f>
        <v>1</v>
      </c>
      <c r="N17" s="17" t="n">
        <f aca="false">IFERROR(AVERAGE(Change_mensuel!P69:P80),"")</f>
        <v>592.415481616019</v>
      </c>
      <c r="O17" s="34" t="n">
        <f aca="false">COUNT(Change_mensuel!D69:D80)</f>
        <v>12</v>
      </c>
    </row>
    <row r="18" customFormat="false" ht="15" hidden="false" customHeight="false" outlineLevel="0" collapsed="false">
      <c r="A18" s="10" t="s">
        <v>305</v>
      </c>
      <c r="B18" s="10" t="s">
        <v>1785</v>
      </c>
      <c r="C18" s="10" t="s">
        <v>1790</v>
      </c>
      <c r="D18" s="17" t="n">
        <f aca="false">IFERROR(AVERAGE(Change_mensuel!C71:C76),"")</f>
        <v>593.776626757643</v>
      </c>
      <c r="E18" s="17" t="n">
        <f aca="false">IFERROR(AVERAGE(Change_mensuel!D71:D76),"")</f>
        <v>5.4089</v>
      </c>
      <c r="F18" s="17" t="n">
        <f aca="false">IFERROR(AVERAGE(Change_mensuel!E71:E76),"")</f>
        <v>3700.0509</v>
      </c>
      <c r="G18" s="17" t="n">
        <f aca="false">IFERROR(AVERAGE(Change_mensuel!F71:F76),"")</f>
        <v>23177.705</v>
      </c>
      <c r="H18" s="17" t="n">
        <f aca="false">IFERROR(AVERAGE(Change_mensuel!G71:G76),"")</f>
        <v>2289.10525</v>
      </c>
      <c r="I18" s="17" t="n">
        <f aca="false">IFERROR(AVERAGE(Change_mensuel!H71:H76),"")</f>
        <v>310.234166666667</v>
      </c>
      <c r="J18" s="17" t="n">
        <f aca="false">IFERROR(AVERAGE(Change_mensuel!J71:J76),"")</f>
        <v>14156.3126342695</v>
      </c>
      <c r="K18" s="17" t="n">
        <f aca="false">IFERROR(AVERAGE(Change_mensuel!L71:L76),"")</f>
        <v>30.7803959772799</v>
      </c>
      <c r="L18" s="17" t="n">
        <f aca="false">IFERROR(AVERAGE(Change_mensuel!N71:N76),"")</f>
        <v>4.17186460200139</v>
      </c>
      <c r="M18" s="17" t="n">
        <f aca="false">IFERROR(AVERAGE(Change_mensuel!O71:O76),"")</f>
        <v>1</v>
      </c>
      <c r="N18" s="17" t="n">
        <f aca="false">IFERROR(AVERAGE(Change_mensuel!P71:P76),"")</f>
        <v>593.776626757643</v>
      </c>
      <c r="O18" s="34" t="n">
        <f aca="false">COUNT(Change_mensuel!D71:D76)</f>
        <v>6</v>
      </c>
    </row>
    <row r="19" customFormat="false" ht="15" hidden="false" customHeight="false" outlineLevel="0" collapsed="false">
      <c r="A19" s="10" t="s">
        <v>526</v>
      </c>
      <c r="B19" s="10" t="s">
        <v>1785</v>
      </c>
      <c r="C19" s="10" t="s">
        <v>1796</v>
      </c>
      <c r="D19" s="17" t="n">
        <f aca="false">IFERROR(AVERAGE(Change_mensuel!C71:C82),"")</f>
        <v>586.178514539973</v>
      </c>
      <c r="E19" s="17" t="n">
        <f aca="false">IFERROR(AVERAGE(Change_mensuel!D71:D82),"")</f>
        <v>5.52189166666667</v>
      </c>
      <c r="F19" s="17" t="n">
        <f aca="false">IFERROR(AVERAGE(Change_mensuel!E71:E82),"")</f>
        <v>3715.96735</v>
      </c>
      <c r="G19" s="17" t="n">
        <f aca="false">IFERROR(AVERAGE(Change_mensuel!F71:F82),"")</f>
        <v>23203.2125</v>
      </c>
      <c r="H19" s="17" t="n">
        <f aca="false">IFERROR(AVERAGE(Change_mensuel!G71:G82),"")</f>
        <v>2291.9774</v>
      </c>
      <c r="I19" s="17" t="n">
        <f aca="false">IFERROR(AVERAGE(Change_mensuel!H71:H82),"")</f>
        <v>340.299625</v>
      </c>
      <c r="J19" s="17" t="n">
        <f aca="false">IFERROR(AVERAGE(Change_mensuel!J71:J82),"")</f>
        <v>14491.2952499688</v>
      </c>
      <c r="K19" s="17" t="n">
        <f aca="false">IFERROR(AVERAGE(Change_mensuel!L71:L82),"")</f>
        <v>31.2116152686855</v>
      </c>
      <c r="L19" s="17" t="n">
        <f aca="false">IFERROR(AVERAGE(Change_mensuel!N71:N82),"")</f>
        <v>4.21687210912987</v>
      </c>
      <c r="M19" s="17" t="n">
        <f aca="false">IFERROR(AVERAGE(Change_mensuel!O71:O82),"")</f>
        <v>1</v>
      </c>
      <c r="N19" s="17" t="n">
        <f aca="false">IFERROR(AVERAGE(Change_mensuel!P71:P82),"")</f>
        <v>586.178514539973</v>
      </c>
      <c r="O19" s="34" t="n">
        <f aca="false">COUNT(Change_mensuel!D71:D82)</f>
        <v>12</v>
      </c>
    </row>
    <row r="20" customFormat="false" ht="15" hidden="false" customHeight="false" outlineLevel="0" collapsed="false">
      <c r="A20" s="10" t="s">
        <v>609</v>
      </c>
      <c r="B20" s="10" t="s">
        <v>1789</v>
      </c>
      <c r="C20" s="10" t="s">
        <v>1794</v>
      </c>
      <c r="D20" s="17" t="n">
        <f aca="false">IFERROR(AVERAGE(Change_mensuel!C75:C80),"")</f>
        <v>592.513321654475</v>
      </c>
      <c r="E20" s="17" t="n">
        <f aca="false">IFERROR(AVERAGE(Change_mensuel!D75:D80),"")</f>
        <v>5.51955</v>
      </c>
      <c r="F20" s="17" t="n">
        <f aca="false">IFERROR(AVERAGE(Change_mensuel!E75:E80),"")</f>
        <v>3744.74031666667</v>
      </c>
      <c r="G20" s="17" t="n">
        <f aca="false">IFERROR(AVERAGE(Change_mensuel!F75:F80),"")</f>
        <v>23233.0166666667</v>
      </c>
      <c r="H20" s="17" t="n">
        <f aca="false">IFERROR(AVERAGE(Change_mensuel!G75:G80),"")</f>
        <v>2292.11328333333</v>
      </c>
      <c r="I20" s="17" t="n">
        <f aca="false">IFERROR(AVERAGE(Change_mensuel!H75:H80),"")</f>
        <v>348.96175</v>
      </c>
      <c r="J20" s="17" t="n">
        <f aca="false">IFERROR(AVERAGE(Change_mensuel!J75:J80),"")</f>
        <v>14738.0082043111</v>
      </c>
      <c r="K20" s="17" t="n">
        <f aca="false">IFERROR(AVERAGE(Change_mensuel!L75:L80),"")</f>
        <v>31.7820023582596</v>
      </c>
      <c r="L20" s="17" t="n">
        <f aca="false">IFERROR(AVERAGE(Change_mensuel!N75:N80),"")</f>
        <v>4.28273027906667</v>
      </c>
      <c r="M20" s="17" t="n">
        <f aca="false">IFERROR(AVERAGE(Change_mensuel!O75:O80),"")</f>
        <v>1</v>
      </c>
      <c r="N20" s="17" t="n">
        <f aca="false">IFERROR(AVERAGE(Change_mensuel!P75:P80),"")</f>
        <v>592.513321654475</v>
      </c>
      <c r="O20" s="34" t="n">
        <f aca="false">COUNT(Change_mensuel!D75:D80)</f>
        <v>6</v>
      </c>
    </row>
    <row r="21" customFormat="false" ht="15" hidden="false" customHeight="false" outlineLevel="0" collapsed="false">
      <c r="A21" s="10" t="s">
        <v>310</v>
      </c>
      <c r="B21" s="10" t="s">
        <v>1791</v>
      </c>
      <c r="C21" s="10" t="s">
        <v>1796</v>
      </c>
      <c r="D21" s="17" t="n">
        <f aca="false">IFERROR(AVERAGE(Change_mensuel!C77:C82),"")</f>
        <v>578.580402322302</v>
      </c>
      <c r="E21" s="17" t="n">
        <f aca="false">IFERROR(AVERAGE(Change_mensuel!D77:D82),"")</f>
        <v>5.63488333333333</v>
      </c>
      <c r="F21" s="17" t="n">
        <f aca="false">IFERROR(AVERAGE(Change_mensuel!E77:E82),"")</f>
        <v>3731.8838</v>
      </c>
      <c r="G21" s="17" t="n">
        <f aca="false">IFERROR(AVERAGE(Change_mensuel!F77:F82),"")</f>
        <v>23228.72</v>
      </c>
      <c r="H21" s="17" t="n">
        <f aca="false">IFERROR(AVERAGE(Change_mensuel!G77:G82),"")</f>
        <v>2294.84955</v>
      </c>
      <c r="I21" s="17" t="n">
        <f aca="false">IFERROR(AVERAGE(Change_mensuel!H77:H82),"")</f>
        <v>370.365083333333</v>
      </c>
      <c r="J21" s="17" t="n">
        <f aca="false">IFERROR(AVERAGE(Change_mensuel!J77:J82),"")</f>
        <v>14826.2778656682</v>
      </c>
      <c r="K21" s="17" t="n">
        <f aca="false">IFERROR(AVERAGE(Change_mensuel!L77:L82),"")</f>
        <v>31.6428345600912</v>
      </c>
      <c r="L21" s="17" t="n">
        <f aca="false">IFERROR(AVERAGE(Change_mensuel!N77:N82),"")</f>
        <v>4.26187961625835</v>
      </c>
      <c r="M21" s="17" t="n">
        <f aca="false">IFERROR(AVERAGE(Change_mensuel!O77:O82),"")</f>
        <v>1</v>
      </c>
      <c r="N21" s="17" t="n">
        <f aca="false">IFERROR(AVERAGE(Change_mensuel!P77:P82),"")</f>
        <v>578.580402322302</v>
      </c>
      <c r="O21" s="34" t="n">
        <f aca="false">COUNT(Change_mensuel!D77:D82)</f>
        <v>6</v>
      </c>
    </row>
    <row r="22" customFormat="false" ht="15" hidden="false" customHeight="false" outlineLevel="0" collapsed="false">
      <c r="A22" s="10" t="s">
        <v>738</v>
      </c>
      <c r="B22" s="10" t="s">
        <v>1795</v>
      </c>
      <c r="C22" s="10" t="s">
        <v>1806</v>
      </c>
      <c r="D22" s="17" t="n">
        <f aca="false">IFERROR(AVERAGE(Change_mensuel!C81:C92),"")</f>
        <v>548.371954759237</v>
      </c>
      <c r="E22" s="17" t="n">
        <f aca="false">IFERROR(AVERAGE(Change_mensuel!D81:D92),"")</f>
        <v>5.72924166666667</v>
      </c>
      <c r="F22" s="17" t="n">
        <f aca="false">IFERROR(AVERAGE(Change_mensuel!E81:E92),"")</f>
        <v>3646.68731666667</v>
      </c>
      <c r="G22" s="17" t="n">
        <f aca="false">IFERROR(AVERAGE(Change_mensuel!F81:F92),"")</f>
        <v>23175.9050916667</v>
      </c>
      <c r="H22" s="17" t="n">
        <f aca="false">IFERROR(AVERAGE(Change_mensuel!G81:G92),"")</f>
        <v>2298.24196666667</v>
      </c>
      <c r="I22" s="17" t="n">
        <f aca="false">IFERROR(AVERAGE(Change_mensuel!H81:H92),"")</f>
        <v>388.270833333333</v>
      </c>
      <c r="J22" s="17" t="n">
        <f aca="false">IFERROR(AVERAGE(Change_mensuel!J81:J92),"")</f>
        <v>14406.7640646612</v>
      </c>
      <c r="K22" s="17" t="n">
        <f aca="false">IFERROR(AVERAGE(Change_mensuel!L81:L92),"")</f>
        <v>30.9890798311922</v>
      </c>
      <c r="L22" s="17" t="n">
        <f aca="false">IFERROR(AVERAGE(Change_mensuel!N81:N92),"")</f>
        <v>4.11958318020928</v>
      </c>
      <c r="M22" s="17" t="n">
        <f aca="false">IFERROR(AVERAGE(Change_mensuel!O81:O92),"")</f>
        <v>1</v>
      </c>
      <c r="N22" s="17" t="n">
        <f aca="false">IFERROR(AVERAGE(Change_mensuel!P81:P92),"")</f>
        <v>548.371954759237</v>
      </c>
      <c r="O22" s="34" t="n">
        <f aca="false">COUNT(Change_mensuel!D81:D92)</f>
        <v>12</v>
      </c>
    </row>
    <row r="23" customFormat="false" ht="15" hidden="false" customHeight="false" outlineLevel="0" collapsed="false">
      <c r="A23" s="10" t="s">
        <v>316</v>
      </c>
      <c r="B23" s="10" t="s">
        <v>1797</v>
      </c>
      <c r="C23" s="10" t="s">
        <v>1802</v>
      </c>
      <c r="D23" s="17" t="n">
        <f aca="false">IFERROR(AVERAGE(Change_mensuel!C83:C88),"")</f>
        <v>547.103635955358</v>
      </c>
      <c r="E23" s="17" t="n">
        <f aca="false">IFERROR(AVERAGE(Change_mensuel!D83:D88),"")</f>
        <v>5.73026666666667</v>
      </c>
      <c r="F23" s="17" t="n">
        <f aca="false">IFERROR(AVERAGE(Change_mensuel!E83:E88),"")</f>
        <v>3686.48108333333</v>
      </c>
      <c r="G23" s="17" t="n">
        <f aca="false">IFERROR(AVERAGE(Change_mensuel!F83:F88),"")</f>
        <v>23165.6251833333</v>
      </c>
      <c r="H23" s="17" t="n">
        <f aca="false">IFERROR(AVERAGE(Change_mensuel!G83:G88),"")</f>
        <v>2298.11258333333</v>
      </c>
      <c r="I23" s="17" t="n">
        <f aca="false">IFERROR(AVERAGE(Change_mensuel!H83:H88),"")</f>
        <v>381</v>
      </c>
      <c r="J23" s="17" t="n">
        <f aca="false">IFERROR(AVERAGE(Change_mensuel!J83:J88),"")</f>
        <v>14269.1766134499</v>
      </c>
      <c r="K23" s="17" t="n">
        <f aca="false">IFERROR(AVERAGE(Change_mensuel!L83:L88),"")</f>
        <v>30.4308818700215</v>
      </c>
      <c r="L23" s="17" t="n">
        <f aca="false">IFERROR(AVERAGE(Change_mensuel!N83:N88),"")</f>
        <v>4.08572463018176</v>
      </c>
      <c r="M23" s="17" t="n">
        <f aca="false">IFERROR(AVERAGE(Change_mensuel!O83:O88),"")</f>
        <v>1</v>
      </c>
      <c r="N23" s="17" t="n">
        <f aca="false">IFERROR(AVERAGE(Change_mensuel!P83:P88),"")</f>
        <v>547.103635955358</v>
      </c>
      <c r="O23" s="34" t="n">
        <f aca="false">COUNT(Change_mensuel!D83:D88)</f>
        <v>6</v>
      </c>
    </row>
    <row r="24" customFormat="false" ht="15" hidden="false" customHeight="false" outlineLevel="0" collapsed="false">
      <c r="A24" s="10" t="s">
        <v>532</v>
      </c>
      <c r="B24" s="10" t="s">
        <v>1797</v>
      </c>
      <c r="C24" s="10" t="s">
        <v>1808</v>
      </c>
      <c r="D24" s="17" t="n">
        <f aca="false">IFERROR(AVERAGE(Change_mensuel!C83:C94),"")</f>
        <v>548.679898467528</v>
      </c>
      <c r="E24" s="17" t="n">
        <f aca="false">IFERROR(AVERAGE(Change_mensuel!D83:D94),"")</f>
        <v>5.75570833333333</v>
      </c>
      <c r="F24" s="17" t="n">
        <f aca="false">IFERROR(AVERAGE(Change_mensuel!E83:E94),"")</f>
        <v>3621.27509166667</v>
      </c>
      <c r="G24" s="17" t="n">
        <f aca="false">IFERROR(AVERAGE(Change_mensuel!F83:F94),"")</f>
        <v>23164.9950916667</v>
      </c>
      <c r="H24" s="17" t="n">
        <f aca="false">IFERROR(AVERAGE(Change_mensuel!G83:G94),"")</f>
        <v>2298.508825</v>
      </c>
      <c r="I24" s="17" t="n">
        <f aca="false">IFERROR(AVERAGE(Change_mensuel!H83:H94),"")</f>
        <v>393.270833333333</v>
      </c>
      <c r="J24" s="17" t="n">
        <f aca="false">IFERROR(AVERAGE(Change_mensuel!J83:J94),"")</f>
        <v>14330.9685362653</v>
      </c>
      <c r="K24" s="17" t="n">
        <f aca="false">IFERROR(AVERAGE(Change_mensuel!L83:L94),"")</f>
        <v>31.2872131488538</v>
      </c>
      <c r="L24" s="17" t="n">
        <f aca="false">IFERROR(AVERAGE(Change_mensuel!N83:N94),"")</f>
        <v>4.12383239067746</v>
      </c>
      <c r="M24" s="17" t="n">
        <f aca="false">IFERROR(AVERAGE(Change_mensuel!O83:O94),"")</f>
        <v>1</v>
      </c>
      <c r="N24" s="17" t="n">
        <f aca="false">IFERROR(AVERAGE(Change_mensuel!P83:P94),"")</f>
        <v>548.679898467528</v>
      </c>
      <c r="O24" s="34" t="n">
        <f aca="false">COUNT(Change_mensuel!D83:D94)</f>
        <v>12</v>
      </c>
    </row>
    <row r="25" customFormat="false" ht="15" hidden="false" customHeight="false" outlineLevel="0" collapsed="false">
      <c r="A25" s="10" t="s">
        <v>614</v>
      </c>
      <c r="B25" s="10" t="s">
        <v>1801</v>
      </c>
      <c r="C25" s="10" t="s">
        <v>1806</v>
      </c>
      <c r="D25" s="17" t="n">
        <f aca="false">IFERROR(AVERAGE(Change_mensuel!C87:C92),"")</f>
        <v>546.747802295345</v>
      </c>
      <c r="E25" s="17" t="n">
        <f aca="false">IFERROR(AVERAGE(Change_mensuel!D87:D92),"")</f>
        <v>5.74771666666667</v>
      </c>
      <c r="F25" s="17" t="n">
        <f aca="false">IFERROR(AVERAGE(Change_mensuel!E87:E92),"")</f>
        <v>3599.82195</v>
      </c>
      <c r="G25" s="17" t="n">
        <f aca="false">IFERROR(AVERAGE(Change_mensuel!F87:F92),"")</f>
        <v>23172.6401833333</v>
      </c>
      <c r="H25" s="17" t="n">
        <f aca="false">IFERROR(AVERAGE(Change_mensuel!G87:G92),"")</f>
        <v>2298.663</v>
      </c>
      <c r="I25" s="17" t="n">
        <f aca="false">IFERROR(AVERAGE(Change_mensuel!H87:H92),"")</f>
        <v>395.541666666667</v>
      </c>
      <c r="J25" s="17" t="n">
        <f aca="false">IFERROR(AVERAGE(Change_mensuel!J87:J92),"")</f>
        <v>14362.43257665</v>
      </c>
      <c r="K25" s="17" t="n">
        <f aca="false">IFERROR(AVERAGE(Change_mensuel!L87:L92),"")</f>
        <v>31.25008794406</v>
      </c>
      <c r="L25" s="17" t="n">
        <f aca="false">IFERROR(AVERAGE(Change_mensuel!N87:N92),"")</f>
        <v>4.12354961636472</v>
      </c>
      <c r="M25" s="17" t="n">
        <f aca="false">IFERROR(AVERAGE(Change_mensuel!O87:O92),"")</f>
        <v>1</v>
      </c>
      <c r="N25" s="17" t="n">
        <f aca="false">IFERROR(AVERAGE(Change_mensuel!P87:P92),"")</f>
        <v>546.747802295345</v>
      </c>
      <c r="O25" s="34" t="n">
        <f aca="false">COUNT(Change_mensuel!D87:D92)</f>
        <v>6</v>
      </c>
    </row>
    <row r="26" customFormat="false" ht="15" hidden="false" customHeight="false" outlineLevel="0" collapsed="false">
      <c r="A26" s="10" t="s">
        <v>321</v>
      </c>
      <c r="B26" s="10" t="s">
        <v>1803</v>
      </c>
      <c r="C26" s="10" t="s">
        <v>1808</v>
      </c>
      <c r="D26" s="17" t="n">
        <f aca="false">IFERROR(AVERAGE(Change_mensuel!C89:C94),"")</f>
        <v>550.256160979698</v>
      </c>
      <c r="E26" s="17" t="n">
        <f aca="false">IFERROR(AVERAGE(Change_mensuel!D89:D94),"")</f>
        <v>5.78115</v>
      </c>
      <c r="F26" s="17" t="n">
        <f aca="false">IFERROR(AVERAGE(Change_mensuel!E89:E94),"")</f>
        <v>3556.0691</v>
      </c>
      <c r="G26" s="17" t="n">
        <f aca="false">IFERROR(AVERAGE(Change_mensuel!F89:F94),"")</f>
        <v>23164.365</v>
      </c>
      <c r="H26" s="17" t="n">
        <f aca="false">IFERROR(AVERAGE(Change_mensuel!G89:G94),"")</f>
        <v>2298.90506666667</v>
      </c>
      <c r="I26" s="17" t="n">
        <f aca="false">IFERROR(AVERAGE(Change_mensuel!H89:H94),"")</f>
        <v>405.541666666667</v>
      </c>
      <c r="J26" s="17" t="n">
        <f aca="false">IFERROR(AVERAGE(Change_mensuel!J89:J94),"")</f>
        <v>14392.7604590807</v>
      </c>
      <c r="K26" s="17" t="n">
        <f aca="false">IFERROR(AVERAGE(Change_mensuel!L89:L94),"")</f>
        <v>32.1435444276861</v>
      </c>
      <c r="L26" s="17" t="n">
        <f aca="false">IFERROR(AVERAGE(Change_mensuel!N89:N94),"")</f>
        <v>4.16194015117316</v>
      </c>
      <c r="M26" s="17" t="n">
        <f aca="false">IFERROR(AVERAGE(Change_mensuel!O89:O94),"")</f>
        <v>1</v>
      </c>
      <c r="N26" s="17" t="n">
        <f aca="false">IFERROR(AVERAGE(Change_mensuel!P89:P94),"")</f>
        <v>550.256160979698</v>
      </c>
      <c r="O26" s="34" t="n">
        <f aca="false">COUNT(Change_mensuel!D89:D94)</f>
        <v>6</v>
      </c>
    </row>
    <row r="27" customFormat="false" ht="15" hidden="false" customHeight="false" outlineLevel="0" collapsed="false">
      <c r="A27" s="10" t="s">
        <v>743</v>
      </c>
      <c r="B27" s="10" t="s">
        <v>1807</v>
      </c>
      <c r="C27" s="10" t="s">
        <v>1818</v>
      </c>
      <c r="D27" s="17" t="n">
        <f aca="false">IFERROR(AVERAGE(Change_mensuel!C93:C104),"")</f>
        <v>589.998197165481</v>
      </c>
      <c r="E27" s="17" t="n">
        <f aca="false">IFERROR(AVERAGE(Change_mensuel!D93:D104),"")</f>
        <v>6.46744166666667</v>
      </c>
      <c r="F27" s="17" t="n">
        <f aca="false">IFERROR(AVERAGE(Change_mensuel!E93:E104),"")</f>
        <v>3591.73370833333</v>
      </c>
      <c r="G27" s="17" t="n">
        <f aca="false">IFERROR(AVERAGE(Change_mensuel!F93:F104),"")</f>
        <v>23135.5058333333</v>
      </c>
      <c r="H27" s="17" t="n">
        <f aca="false">IFERROR(AVERAGE(Change_mensuel!G93:G104),"")</f>
        <v>2298.55963333333</v>
      </c>
      <c r="I27" s="17" t="n">
        <f aca="false">IFERROR(AVERAGE(Change_mensuel!H93:H104),"")</f>
        <v>414.379758333333</v>
      </c>
      <c r="J27" s="17" t="n">
        <f aca="false">IFERROR(AVERAGE(Change_mensuel!J93:J104),"")</f>
        <v>14424.9587575682</v>
      </c>
      <c r="K27" s="17" t="n">
        <f aca="false">IFERROR(AVERAGE(Change_mensuel!L93:L104),"")</f>
        <v>33.7428744426816</v>
      </c>
      <c r="L27" s="17" t="n">
        <f aca="false">IFERROR(AVERAGE(Change_mensuel!N93:N104),"")</f>
        <v>4.25076751020445</v>
      </c>
      <c r="M27" s="17" t="n">
        <f aca="false">IFERROR(AVERAGE(Change_mensuel!O93:O104),"")</f>
        <v>1</v>
      </c>
      <c r="N27" s="17" t="n">
        <f aca="false">IFERROR(AVERAGE(Change_mensuel!P93:P104),"")</f>
        <v>589.998197165481</v>
      </c>
      <c r="O27" s="34" t="n">
        <f aca="false">COUNT(Change_mensuel!D93:D104)</f>
        <v>12</v>
      </c>
    </row>
    <row r="28" customFormat="false" ht="15" hidden="false" customHeight="false" outlineLevel="0" collapsed="false">
      <c r="A28" s="10" t="s">
        <v>327</v>
      </c>
      <c r="B28" s="10" t="s">
        <v>1809</v>
      </c>
      <c r="C28" s="10" t="s">
        <v>1814</v>
      </c>
      <c r="D28" s="17" t="n">
        <f aca="false">IFERROR(AVERAGE(Change_mensuel!C95:C100),"")</f>
        <v>578.966057050983</v>
      </c>
      <c r="E28" s="17" t="n">
        <f aca="false">IFERROR(AVERAGE(Change_mensuel!D95:D100),"")</f>
        <v>6.18396666666667</v>
      </c>
      <c r="F28" s="17" t="n">
        <f aca="false">IFERROR(AVERAGE(Change_mensuel!E95:E100),"")</f>
        <v>3553.27325</v>
      </c>
      <c r="G28" s="17" t="n">
        <f aca="false">IFERROR(AVERAGE(Change_mensuel!F95:F100),"")</f>
        <v>23138.26</v>
      </c>
      <c r="H28" s="17" t="n">
        <f aca="false">IFERROR(AVERAGE(Change_mensuel!G95:G100),"")</f>
        <v>2296.46971666667</v>
      </c>
      <c r="I28" s="17" t="n">
        <f aca="false">IFERROR(AVERAGE(Change_mensuel!H95:H100),"")</f>
        <v>414.367666666667</v>
      </c>
      <c r="J28" s="17" t="n">
        <f aca="false">IFERROR(AVERAGE(Change_mensuel!J95:J100),"")</f>
        <v>14300.8470039795</v>
      </c>
      <c r="K28" s="17" t="n">
        <f aca="false">IFERROR(AVERAGE(Change_mensuel!L95:L100),"")</f>
        <v>33.2059346521353</v>
      </c>
      <c r="L28" s="17" t="n">
        <f aca="false">IFERROR(AVERAGE(Change_mensuel!N95:N100),"")</f>
        <v>4.188353744298</v>
      </c>
      <c r="M28" s="17" t="n">
        <f aca="false">IFERROR(AVERAGE(Change_mensuel!O95:O100),"")</f>
        <v>1</v>
      </c>
      <c r="N28" s="17" t="n">
        <f aca="false">IFERROR(AVERAGE(Change_mensuel!P95:P100),"")</f>
        <v>578.966057050983</v>
      </c>
      <c r="O28" s="34" t="n">
        <f aca="false">COUNT(Change_mensuel!D95:D100)</f>
        <v>6</v>
      </c>
    </row>
    <row r="29" customFormat="false" ht="15" hidden="false" customHeight="false" outlineLevel="0" collapsed="false">
      <c r="A29" s="10" t="s">
        <v>538</v>
      </c>
      <c r="B29" s="10" t="s">
        <v>1809</v>
      </c>
      <c r="C29" s="10" t="s">
        <v>1820</v>
      </c>
      <c r="D29" s="17" t="n">
        <f aca="false">IFERROR(AVERAGE(Change_mensuel!C95:C106),"")</f>
        <v>606.285361521272</v>
      </c>
      <c r="E29" s="17" t="n">
        <f aca="false">IFERROR(AVERAGE(Change_mensuel!D95:D106),"")</f>
        <v>6.89414166666667</v>
      </c>
      <c r="F29" s="17" t="n">
        <f aca="false">IFERROR(AVERAGE(Change_mensuel!E95:E106),"")</f>
        <v>3640.90931666667</v>
      </c>
      <c r="G29" s="17" t="n">
        <f aca="false">IFERROR(AVERAGE(Change_mensuel!F95:F106),"")</f>
        <v>23152.2133333333</v>
      </c>
      <c r="H29" s="17" t="n">
        <f aca="false">IFERROR(AVERAGE(Change_mensuel!G95:G106),"")</f>
        <v>2299.6169</v>
      </c>
      <c r="I29" s="17" t="n">
        <f aca="false">IFERROR(AVERAGE(Change_mensuel!H95:H106),"")</f>
        <v>417.682375</v>
      </c>
      <c r="J29" s="17" t="n">
        <f aca="false">IFERROR(AVERAGE(Change_mensuel!J95:J106),"")</f>
        <v>14524.0203194906</v>
      </c>
      <c r="K29" s="17" t="n">
        <f aca="false">IFERROR(AVERAGE(Change_mensuel!L95:L106),"")</f>
        <v>34.3024300643929</v>
      </c>
      <c r="L29" s="17" t="n">
        <f aca="false">IFERROR(AVERAGE(Change_mensuel!N95:N106),"")</f>
        <v>4.3027694048223</v>
      </c>
      <c r="M29" s="17" t="n">
        <f aca="false">IFERROR(AVERAGE(Change_mensuel!O95:O106),"")</f>
        <v>1</v>
      </c>
      <c r="N29" s="17" t="n">
        <f aca="false">IFERROR(AVERAGE(Change_mensuel!P95:P106),"")</f>
        <v>606.285361521272</v>
      </c>
      <c r="O29" s="34" t="n">
        <f aca="false">COUNT(Change_mensuel!D95:D106)</f>
        <v>12</v>
      </c>
    </row>
    <row r="30" customFormat="false" ht="15" hidden="false" customHeight="false" outlineLevel="0" collapsed="false">
      <c r="A30" s="10" t="s">
        <v>619</v>
      </c>
      <c r="B30" s="10" t="s">
        <v>1813</v>
      </c>
      <c r="C30" s="10" t="s">
        <v>1818</v>
      </c>
      <c r="D30" s="17" t="n">
        <f aca="false">IFERROR(AVERAGE(Change_mensuel!C99:C104),"")</f>
        <v>610.884152191362</v>
      </c>
      <c r="E30" s="17" t="n">
        <f aca="false">IFERROR(AVERAGE(Change_mensuel!D99:D104),"")</f>
        <v>7.029</v>
      </c>
      <c r="F30" s="17" t="n">
        <f aca="false">IFERROR(AVERAGE(Change_mensuel!E99:E104),"")</f>
        <v>3636.30765</v>
      </c>
      <c r="G30" s="17" t="n">
        <f aca="false">IFERROR(AVERAGE(Change_mensuel!F99:F104),"")</f>
        <v>23129.9133333333</v>
      </c>
      <c r="H30" s="17" t="n">
        <f aca="false">IFERROR(AVERAGE(Change_mensuel!G99:G104),"")</f>
        <v>2300.3368</v>
      </c>
      <c r="I30" s="17" t="n">
        <f aca="false">IFERROR(AVERAGE(Change_mensuel!H99:H104),"")</f>
        <v>416.170466666667</v>
      </c>
      <c r="J30" s="17" t="n">
        <f aca="false">IFERROR(AVERAGE(Change_mensuel!J99:J104),"")</f>
        <v>14557.5482980195</v>
      </c>
      <c r="K30" s="17" t="n">
        <f aca="false">IFERROR(AVERAGE(Change_mensuel!L99:L104),"")</f>
        <v>34.2359279908405</v>
      </c>
      <c r="L30" s="17" t="n">
        <f aca="false">IFERROR(AVERAGE(Change_mensuel!N99:N104),"")</f>
        <v>4.31333400157914</v>
      </c>
      <c r="M30" s="17" t="n">
        <f aca="false">IFERROR(AVERAGE(Change_mensuel!O99:O104),"")</f>
        <v>1</v>
      </c>
      <c r="N30" s="17" t="n">
        <f aca="false">IFERROR(AVERAGE(Change_mensuel!P99:P104),"")</f>
        <v>610.884152191362</v>
      </c>
      <c r="O30" s="34" t="n">
        <f aca="false">COUNT(Change_mensuel!D99:D104)</f>
        <v>6</v>
      </c>
    </row>
    <row r="31" customFormat="false" ht="15" hidden="false" customHeight="false" outlineLevel="0" collapsed="false">
      <c r="A31" s="10" t="s">
        <v>332</v>
      </c>
      <c r="B31" s="10" t="s">
        <v>1815</v>
      </c>
      <c r="C31" s="10" t="s">
        <v>1820</v>
      </c>
      <c r="D31" s="17" t="n">
        <f aca="false">IFERROR(AVERAGE(Change_mensuel!C101:C106),"")</f>
        <v>633.60466599156</v>
      </c>
      <c r="E31" s="17" t="n">
        <f aca="false">IFERROR(AVERAGE(Change_mensuel!D101:D106),"")</f>
        <v>7.60431666666667</v>
      </c>
      <c r="F31" s="17" t="n">
        <f aca="false">IFERROR(AVERAGE(Change_mensuel!E101:E106),"")</f>
        <v>3728.54538333333</v>
      </c>
      <c r="G31" s="17" t="n">
        <f aca="false">IFERROR(AVERAGE(Change_mensuel!F101:F106),"")</f>
        <v>23166.1666666667</v>
      </c>
      <c r="H31" s="17" t="n">
        <f aca="false">IFERROR(AVERAGE(Change_mensuel!G101:G106),"")</f>
        <v>2302.76408333333</v>
      </c>
      <c r="I31" s="17" t="n">
        <f aca="false">IFERROR(AVERAGE(Change_mensuel!H101:H106),"")</f>
        <v>420.997083333333</v>
      </c>
      <c r="J31" s="17" t="n">
        <f aca="false">IFERROR(AVERAGE(Change_mensuel!J101:J106),"")</f>
        <v>14747.1936350018</v>
      </c>
      <c r="K31" s="17" t="n">
        <f aca="false">IFERROR(AVERAGE(Change_mensuel!L101:L106),"")</f>
        <v>35.3989254766506</v>
      </c>
      <c r="L31" s="17" t="n">
        <f aca="false">IFERROR(AVERAGE(Change_mensuel!N101:N106),"")</f>
        <v>4.4171850653466</v>
      </c>
      <c r="M31" s="17" t="n">
        <f aca="false">IFERROR(AVERAGE(Change_mensuel!O101:O106),"")</f>
        <v>1</v>
      </c>
      <c r="N31" s="17" t="n">
        <f aca="false">IFERROR(AVERAGE(Change_mensuel!P101:P106),"")</f>
        <v>633.60466599156</v>
      </c>
      <c r="O31" s="34" t="n">
        <f aca="false">COUNT(Change_mensuel!D101:D106)</f>
        <v>6</v>
      </c>
    </row>
    <row r="32" customFormat="false" ht="15" hidden="false" customHeight="false" outlineLevel="0" collapsed="false">
      <c r="A32" s="10" t="s">
        <v>746</v>
      </c>
      <c r="B32" s="10" t="s">
        <v>1819</v>
      </c>
      <c r="C32" s="10" t="s">
        <v>1830</v>
      </c>
      <c r="D32" s="17" t="n">
        <f aca="false">IFERROR(AVERAGE(Change_mensuel!C105:C116),"")</f>
        <v>622.838818466442</v>
      </c>
      <c r="E32" s="17" t="n">
        <f aca="false">IFERROR(AVERAGE(Change_mensuel!D105:D116),"")</f>
        <v>10.560025</v>
      </c>
      <c r="F32" s="17" t="n">
        <f aca="false">IFERROR(AVERAGE(Change_mensuel!E105:E116),"")</f>
        <v>3741.61349166667</v>
      </c>
      <c r="G32" s="17" t="n">
        <f aca="false">IFERROR(AVERAGE(Change_mensuel!F105:F116),"")</f>
        <v>23586.3025</v>
      </c>
      <c r="H32" s="17" t="n">
        <f aca="false">IFERROR(AVERAGE(Change_mensuel!G105:G116),"")</f>
        <v>2313.7073</v>
      </c>
      <c r="I32" s="17" t="n">
        <f aca="false">IFERROR(AVERAGE(Change_mensuel!H105:H116),"")</f>
        <v>490.463175</v>
      </c>
      <c r="J32" s="17" t="n">
        <f aca="false">IFERROR(AVERAGE(Change_mensuel!J105:J116),"")</f>
        <v>15157.8537903812</v>
      </c>
      <c r="K32" s="17" t="n">
        <f aca="false">IFERROR(AVERAGE(Change_mensuel!L105:L116),"")</f>
        <v>35.1409398243056</v>
      </c>
      <c r="L32" s="17" t="n">
        <f aca="false">IFERROR(AVERAGE(Change_mensuel!N105:N116),"")</f>
        <v>4.50442692286726</v>
      </c>
      <c r="M32" s="17" t="n">
        <f aca="false">IFERROR(AVERAGE(Change_mensuel!O105:O116),"")</f>
        <v>1</v>
      </c>
      <c r="N32" s="17" t="n">
        <f aca="false">IFERROR(AVERAGE(Change_mensuel!P105:P116),"")</f>
        <v>622.838818466442</v>
      </c>
      <c r="O32" s="34" t="n">
        <f aca="false">COUNT(Change_mensuel!D105:D116)</f>
        <v>12</v>
      </c>
    </row>
    <row r="33" customFormat="false" ht="15" hidden="false" customHeight="false" outlineLevel="0" collapsed="false">
      <c r="A33" s="10" t="s">
        <v>338</v>
      </c>
      <c r="B33" s="10" t="s">
        <v>1821</v>
      </c>
      <c r="C33" s="10" t="s">
        <v>1826</v>
      </c>
      <c r="D33" s="17" t="n">
        <f aca="false">IFERROR(AVERAGE(Change_mensuel!C107:C112),"")</f>
        <v>627.349602745408</v>
      </c>
      <c r="E33" s="17" t="n">
        <f aca="false">IFERROR(AVERAGE(Change_mensuel!D107:D112),"")</f>
        <v>11.0102666666667</v>
      </c>
      <c r="F33" s="17" t="n">
        <f aca="false">IFERROR(AVERAGE(Change_mensuel!E107:E112),"")</f>
        <v>3732.86583333333</v>
      </c>
      <c r="G33" s="17" t="n">
        <f aca="false">IFERROR(AVERAGE(Change_mensuel!F107:F112),"")</f>
        <v>23623.9933333333</v>
      </c>
      <c r="H33" s="17" t="n">
        <f aca="false">IFERROR(AVERAGE(Change_mensuel!G107:G112),"")</f>
        <v>2309.10366666667</v>
      </c>
      <c r="I33" s="17" t="n">
        <f aca="false">IFERROR(AVERAGE(Change_mensuel!H107:H112),"")</f>
        <v>453.32285</v>
      </c>
      <c r="J33" s="17" t="n">
        <f aca="false">IFERROR(AVERAGE(Change_mensuel!J107:J112),"")</f>
        <v>15396.1551053212</v>
      </c>
      <c r="K33" s="17" t="n">
        <f aca="false">IFERROR(AVERAGE(Change_mensuel!L107:L112),"")</f>
        <v>35.1469992802718</v>
      </c>
      <c r="L33" s="17" t="n">
        <f aca="false">IFERROR(AVERAGE(Change_mensuel!N107:N112),"")</f>
        <v>4.47899643311467</v>
      </c>
      <c r="M33" s="17" t="n">
        <f aca="false">IFERROR(AVERAGE(Change_mensuel!O107:O112),"")</f>
        <v>1</v>
      </c>
      <c r="N33" s="17" t="n">
        <f aca="false">IFERROR(AVERAGE(Change_mensuel!P107:P112),"")</f>
        <v>627.349602745408</v>
      </c>
      <c r="O33" s="34" t="n">
        <f aca="false">COUNT(Change_mensuel!D107:D112)</f>
        <v>6</v>
      </c>
    </row>
    <row r="34" customFormat="false" ht="15" hidden="false" customHeight="false" outlineLevel="0" collapsed="false">
      <c r="A34" s="10" t="s">
        <v>541</v>
      </c>
      <c r="B34" s="10" t="s">
        <v>1821</v>
      </c>
      <c r="C34" s="10" t="s">
        <v>1832</v>
      </c>
      <c r="D34" s="17" t="n">
        <f aca="false">IFERROR(AVERAGE(Change_mensuel!C107:C118),"")</f>
        <v>614.947904798011</v>
      </c>
      <c r="E34" s="17" t="n">
        <f aca="false">IFERROR(AVERAGE(Change_mensuel!D107:D118),"")</f>
        <v>10.9986916666667</v>
      </c>
      <c r="F34" s="17" t="n">
        <f aca="false">IFERROR(AVERAGE(Change_mensuel!E107:E118),"")</f>
        <v>3722.39426666667</v>
      </c>
      <c r="G34" s="17" t="n">
        <f aca="false">IFERROR(AVERAGE(Change_mensuel!F107:F118),"")</f>
        <v>23705.8241666667</v>
      </c>
      <c r="H34" s="17" t="n">
        <f aca="false">IFERROR(AVERAGE(Change_mensuel!G107:G118),"")</f>
        <v>2337.09441666667</v>
      </c>
      <c r="I34" s="17" t="n">
        <f aca="false">IFERROR(AVERAGE(Change_mensuel!H107:H118),"")</f>
        <v>545.672116666667</v>
      </c>
      <c r="J34" s="17" t="n">
        <f aca="false">IFERROR(AVERAGE(Change_mensuel!J107:J118),"")</f>
        <v>15224.6196677784</v>
      </c>
      <c r="K34" s="17" t="n">
        <f aca="false">IFERROR(AVERAGE(Change_mensuel!L107:L118),"")</f>
        <v>34.9734596825622</v>
      </c>
      <c r="L34" s="17" t="n">
        <f aca="false">IFERROR(AVERAGE(Change_mensuel!N107:N118),"")</f>
        <v>4.52796262960115</v>
      </c>
      <c r="M34" s="17" t="n">
        <f aca="false">IFERROR(AVERAGE(Change_mensuel!O107:O118),"")</f>
        <v>1</v>
      </c>
      <c r="N34" s="17" t="n">
        <f aca="false">IFERROR(AVERAGE(Change_mensuel!P107:P118),"")</f>
        <v>614.947904798011</v>
      </c>
      <c r="O34" s="34" t="n">
        <f aca="false">COUNT(Change_mensuel!D107:D118)</f>
        <v>12</v>
      </c>
    </row>
    <row r="35" customFormat="false" ht="15" hidden="false" customHeight="false" outlineLevel="0" collapsed="false">
      <c r="A35" s="10" t="s">
        <v>622</v>
      </c>
      <c r="B35" s="10" t="s">
        <v>1825</v>
      </c>
      <c r="C35" s="10" t="s">
        <v>1830</v>
      </c>
      <c r="D35" s="17" t="n">
        <f aca="false">IFERROR(AVERAGE(Change_mensuel!C111:C116),"")</f>
        <v>604.14805364535</v>
      </c>
      <c r="E35" s="17" t="n">
        <f aca="false">IFERROR(AVERAGE(Change_mensuel!D111:D116),"")</f>
        <v>10.95505</v>
      </c>
      <c r="F35" s="17" t="n">
        <f aca="false">IFERROR(AVERAGE(Change_mensuel!E111:E116),"")</f>
        <v>3712.43703333333</v>
      </c>
      <c r="G35" s="17" t="n">
        <f aca="false">IFERROR(AVERAGE(Change_mensuel!F111:F116),"")</f>
        <v>23676.3033333333</v>
      </c>
      <c r="H35" s="17" t="n">
        <f aca="false">IFERROR(AVERAGE(Change_mensuel!G111:G116),"")</f>
        <v>2319.81383333333</v>
      </c>
      <c r="I35" s="17" t="n">
        <f aca="false">IFERROR(AVERAGE(Change_mensuel!H111:H116),"")</f>
        <v>537.633016666667</v>
      </c>
      <c r="J35" s="17" t="n">
        <f aca="false">IFERROR(AVERAGE(Change_mensuel!J111:J116),"")</f>
        <v>15021.2161364754</v>
      </c>
      <c r="K35" s="17" t="n">
        <f aca="false">IFERROR(AVERAGE(Change_mensuel!L111:L116),"")</f>
        <v>34.4110497224722</v>
      </c>
      <c r="L35" s="17" t="n">
        <f aca="false">IFERROR(AVERAGE(Change_mensuel!N111:N116),"")</f>
        <v>4.50040518121296</v>
      </c>
      <c r="M35" s="17" t="n">
        <f aca="false">IFERROR(AVERAGE(Change_mensuel!O111:O116),"")</f>
        <v>1</v>
      </c>
      <c r="N35" s="17" t="n">
        <f aca="false">IFERROR(AVERAGE(Change_mensuel!P111:P116),"")</f>
        <v>604.14805364535</v>
      </c>
      <c r="O35" s="34" t="n">
        <f aca="false">COUNT(Change_mensuel!D111:D116)</f>
        <v>6</v>
      </c>
    </row>
    <row r="36" customFormat="false" ht="15" hidden="false" customHeight="false" outlineLevel="0" collapsed="false">
      <c r="A36" s="10" t="s">
        <v>343</v>
      </c>
      <c r="B36" s="10" t="s">
        <v>1827</v>
      </c>
      <c r="C36" s="10" t="s">
        <v>1832</v>
      </c>
      <c r="D36" s="17" t="n">
        <f aca="false">IFERROR(AVERAGE(Change_mensuel!C113:C118),"")</f>
        <v>602.546206850614</v>
      </c>
      <c r="E36" s="17" t="n">
        <f aca="false">IFERROR(AVERAGE(Change_mensuel!D113:D118),"")</f>
        <v>10.9871166666667</v>
      </c>
      <c r="F36" s="17" t="n">
        <f aca="false">IFERROR(AVERAGE(Change_mensuel!E113:E118),"")</f>
        <v>3711.9227</v>
      </c>
      <c r="G36" s="17" t="n">
        <f aca="false">IFERROR(AVERAGE(Change_mensuel!F113:F118),"")</f>
        <v>23787.655</v>
      </c>
      <c r="H36" s="17" t="n">
        <f aca="false">IFERROR(AVERAGE(Change_mensuel!G113:G118),"")</f>
        <v>2365.08516666667</v>
      </c>
      <c r="I36" s="17" t="n">
        <f aca="false">IFERROR(AVERAGE(Change_mensuel!H113:H118),"")</f>
        <v>638.021383333333</v>
      </c>
      <c r="J36" s="17" t="n">
        <f aca="false">IFERROR(AVERAGE(Change_mensuel!J113:J118),"")</f>
        <v>15053.0842302357</v>
      </c>
      <c r="K36" s="17" t="n">
        <f aca="false">IFERROR(AVERAGE(Change_mensuel!L113:L118),"")</f>
        <v>34.7999200848527</v>
      </c>
      <c r="L36" s="17" t="n">
        <f aca="false">IFERROR(AVERAGE(Change_mensuel!N113:N118),"")</f>
        <v>4.57692882608762</v>
      </c>
      <c r="M36" s="17" t="n">
        <f aca="false">IFERROR(AVERAGE(Change_mensuel!O113:O118),"")</f>
        <v>1</v>
      </c>
      <c r="N36" s="17" t="n">
        <f aca="false">IFERROR(AVERAGE(Change_mensuel!P113:P118),"")</f>
        <v>602.546206850614</v>
      </c>
      <c r="O36" s="34" t="n">
        <f aca="false">COUNT(Change_mensuel!D113:D118)</f>
        <v>6</v>
      </c>
    </row>
    <row r="37" customFormat="false" ht="15" hidden="false" customHeight="false" outlineLevel="0" collapsed="false">
      <c r="A37" s="10" t="s">
        <v>751</v>
      </c>
      <c r="B37" s="10" t="s">
        <v>1831</v>
      </c>
      <c r="C37" s="10" t="s">
        <v>1842</v>
      </c>
      <c r="D37" s="17" t="n">
        <f aca="false">IFERROR(AVERAGE(Change_mensuel!C117:C128),"")</f>
        <v>607.505186986435</v>
      </c>
      <c r="E37" s="17" t="n">
        <f aca="false">IFERROR(AVERAGE(Change_mensuel!D117:D128),"")</f>
        <v>12.4478916666667</v>
      </c>
      <c r="F37" s="17" t="n">
        <f aca="false">IFERROR(AVERAGE(Change_mensuel!E117:E128),"")</f>
        <v>3782.24894166667</v>
      </c>
      <c r="G37" s="17" t="n">
        <f aca="false">IFERROR(AVERAGE(Change_mensuel!F117:F128),"")</f>
        <v>24050.0283333333</v>
      </c>
      <c r="H37" s="17" t="n">
        <f aca="false">IFERROR(AVERAGE(Change_mensuel!G117:G128),"")</f>
        <v>2529.93958333333</v>
      </c>
      <c r="I37" s="17" t="n">
        <f aca="false">IFERROR(AVERAGE(Change_mensuel!H117:H128),"")</f>
        <v>1144.32364166667</v>
      </c>
      <c r="J37" s="17" t="n">
        <f aca="false">IFERROR(AVERAGE(Change_mensuel!J117:J128),"")</f>
        <v>15769.8028065279</v>
      </c>
      <c r="K37" s="17" t="n">
        <f aca="false">IFERROR(AVERAGE(Change_mensuel!L117:L128),"")</f>
        <v>35.9356446406689</v>
      </c>
      <c r="L37" s="17" t="n">
        <f aca="false">IFERROR(AVERAGE(Change_mensuel!N117:N128),"")</f>
        <v>4.70247619377147</v>
      </c>
      <c r="M37" s="17" t="n">
        <f aca="false">IFERROR(AVERAGE(Change_mensuel!O117:O128),"")</f>
        <v>1</v>
      </c>
      <c r="N37" s="17" t="n">
        <f aca="false">IFERROR(AVERAGE(Change_mensuel!P117:P128),"")</f>
        <v>607.505186986435</v>
      </c>
      <c r="O37" s="34" t="n">
        <f aca="false">COUNT(Change_mensuel!D117:D128)</f>
        <v>12</v>
      </c>
    </row>
    <row r="38" customFormat="false" ht="15" hidden="false" customHeight="false" outlineLevel="0" collapsed="false">
      <c r="A38" s="10" t="s">
        <v>349</v>
      </c>
      <c r="B38" s="10" t="s">
        <v>1833</v>
      </c>
      <c r="C38" s="10" t="s">
        <v>1838</v>
      </c>
      <c r="D38" s="17" t="n">
        <f aca="false">IFERROR(AVERAGE(Change_mensuel!C119:C124),"")</f>
        <v>607.010801170996</v>
      </c>
      <c r="E38" s="17" t="n">
        <f aca="false">IFERROR(AVERAGE(Change_mensuel!D119:D124),"")</f>
        <v>11.89455</v>
      </c>
      <c r="F38" s="17" t="n">
        <f aca="false">IFERROR(AVERAGE(Change_mensuel!E119:E124),"")</f>
        <v>3815.45148333333</v>
      </c>
      <c r="G38" s="17" t="n">
        <f aca="false">IFERROR(AVERAGE(Change_mensuel!F119:F124),"")</f>
        <v>23969.935</v>
      </c>
      <c r="H38" s="17" t="n">
        <f aca="false">IFERROR(AVERAGE(Change_mensuel!G119:G124),"")</f>
        <v>2509.39066666667</v>
      </c>
      <c r="I38" s="17" t="n">
        <f aca="false">IFERROR(AVERAGE(Change_mensuel!H119:H124),"")</f>
        <v>1082.02145</v>
      </c>
      <c r="J38" s="17" t="n">
        <f aca="false">IFERROR(AVERAGE(Change_mensuel!J119:J124),"")</f>
        <v>15641.1089411407</v>
      </c>
      <c r="K38" s="17" t="n">
        <f aca="false">IFERROR(AVERAGE(Change_mensuel!L119:L124),"")</f>
        <v>35.6646151219271</v>
      </c>
      <c r="L38" s="17" t="n">
        <f aca="false">IFERROR(AVERAGE(Change_mensuel!N119:N124),"")</f>
        <v>4.71111519044425</v>
      </c>
      <c r="M38" s="17" t="n">
        <f aca="false">IFERROR(AVERAGE(Change_mensuel!O119:O124),"")</f>
        <v>1</v>
      </c>
      <c r="N38" s="17" t="n">
        <f aca="false">IFERROR(AVERAGE(Change_mensuel!P119:P124),"")</f>
        <v>607.010801170996</v>
      </c>
      <c r="O38" s="34" t="n">
        <f aca="false">COUNT(Change_mensuel!D119:D124)</f>
        <v>6</v>
      </c>
    </row>
    <row r="39" customFormat="false" ht="15" hidden="false" customHeight="false" outlineLevel="0" collapsed="false">
      <c r="A39" s="10" t="s">
        <v>546</v>
      </c>
      <c r="B39" s="10" t="s">
        <v>1833</v>
      </c>
      <c r="C39" s="10" t="s">
        <v>1844</v>
      </c>
      <c r="D39" s="17" t="n">
        <f aca="false">IFERROR(AVERAGE(Change_mensuel!C119:C130),"")</f>
        <v>605.090100488553</v>
      </c>
      <c r="E39" s="17" t="n">
        <f aca="false">IFERROR(AVERAGE(Change_mensuel!D119:D130),"")</f>
        <v>13.163825</v>
      </c>
      <c r="F39" s="17" t="n">
        <f aca="false">IFERROR(AVERAGE(Change_mensuel!E119:E130),"")</f>
        <v>3782.90024166667</v>
      </c>
      <c r="G39" s="17" t="n">
        <f aca="false">IFERROR(AVERAGE(Change_mensuel!F119:F130),"")</f>
        <v>24090.8383333333</v>
      </c>
      <c r="H39" s="17" t="n">
        <f aca="false">IFERROR(AVERAGE(Change_mensuel!G119:G130),"")</f>
        <v>2570.00483333333</v>
      </c>
      <c r="I39" s="17" t="n">
        <f aca="false">IFERROR(AVERAGE(Change_mensuel!H119:H130),"")</f>
        <v>1284.44643333333</v>
      </c>
      <c r="J39" s="17" t="n">
        <f aca="false">IFERROR(AVERAGE(Change_mensuel!J119:J130),"")</f>
        <v>15807.4678318717</v>
      </c>
      <c r="K39" s="17" t="n">
        <f aca="false">IFERROR(AVERAGE(Change_mensuel!L119:L130),"")</f>
        <v>35.7031463222042</v>
      </c>
      <c r="L39" s="17" t="n">
        <f aca="false">IFERROR(AVERAGE(Change_mensuel!N119:N130),"")</f>
        <v>4.65112606699265</v>
      </c>
      <c r="M39" s="17" t="n">
        <f aca="false">IFERROR(AVERAGE(Change_mensuel!O119:O130),"")</f>
        <v>1</v>
      </c>
      <c r="N39" s="17" t="n">
        <f aca="false">IFERROR(AVERAGE(Change_mensuel!P119:P130),"")</f>
        <v>605.090100488553</v>
      </c>
      <c r="O39" s="34" t="n">
        <f aca="false">COUNT(Change_mensuel!D119:D130)</f>
        <v>12</v>
      </c>
    </row>
    <row r="40" customFormat="false" ht="15" hidden="false" customHeight="false" outlineLevel="0" collapsed="false">
      <c r="A40" s="10" t="s">
        <v>627</v>
      </c>
      <c r="B40" s="10" t="s">
        <v>1837</v>
      </c>
      <c r="C40" s="10" t="s">
        <v>1842</v>
      </c>
      <c r="D40" s="17" t="n">
        <f aca="false">IFERROR(AVERAGE(Change_mensuel!C123:C128),"")</f>
        <v>607.286308935791</v>
      </c>
      <c r="E40" s="17" t="n">
        <f aca="false">IFERROR(AVERAGE(Change_mensuel!D123:D128),"")</f>
        <v>13.4724833333333</v>
      </c>
      <c r="F40" s="17" t="n">
        <f aca="false">IFERROR(AVERAGE(Change_mensuel!E123:E128),"")</f>
        <v>3806.0835</v>
      </c>
      <c r="G40" s="17" t="n">
        <f aca="false">IFERROR(AVERAGE(Change_mensuel!F123:F128),"")</f>
        <v>24138.6716666667</v>
      </c>
      <c r="H40" s="17" t="n">
        <f aca="false">IFERROR(AVERAGE(Change_mensuel!G123:G128),"")</f>
        <v>2580.445</v>
      </c>
      <c r="I40" s="17" t="n">
        <f aca="false">IFERROR(AVERAGE(Change_mensuel!H123:H128),"")</f>
        <v>1455.37701666667</v>
      </c>
      <c r="J40" s="17" t="n">
        <f aca="false">IFERROR(AVERAGE(Change_mensuel!J123:J128),"")</f>
        <v>16018.9568444221</v>
      </c>
      <c r="K40" s="17" t="n">
        <f aca="false">IFERROR(AVERAGE(Change_mensuel!L123:L128),"")</f>
        <v>36.3635878605681</v>
      </c>
      <c r="L40" s="17" t="n">
        <f aca="false">IFERROR(AVERAGE(Change_mensuel!N123:N128),"")</f>
        <v>4.72569891865505</v>
      </c>
      <c r="M40" s="17" t="n">
        <f aca="false">IFERROR(AVERAGE(Change_mensuel!O123:O128),"")</f>
        <v>1</v>
      </c>
      <c r="N40" s="17" t="n">
        <f aca="false">IFERROR(AVERAGE(Change_mensuel!P123:P128),"")</f>
        <v>607.286308935791</v>
      </c>
      <c r="O40" s="34" t="n">
        <f aca="false">COUNT(Change_mensuel!D123:D128)</f>
        <v>6</v>
      </c>
    </row>
    <row r="41" customFormat="false" ht="15" hidden="false" customHeight="false" outlineLevel="0" collapsed="false">
      <c r="A41" s="10" t="s">
        <v>354</v>
      </c>
      <c r="B41" s="10" t="s">
        <v>1839</v>
      </c>
      <c r="C41" s="10" t="s">
        <v>1844</v>
      </c>
      <c r="D41" s="17" t="n">
        <f aca="false">IFERROR(AVERAGE(Change_mensuel!C125:C130),"")</f>
        <v>603.169399806111</v>
      </c>
      <c r="E41" s="17" t="n">
        <f aca="false">IFERROR(AVERAGE(Change_mensuel!D125:D130),"")</f>
        <v>14.4331</v>
      </c>
      <c r="F41" s="17" t="n">
        <f aca="false">IFERROR(AVERAGE(Change_mensuel!E125:E130),"")</f>
        <v>3750.349</v>
      </c>
      <c r="G41" s="17" t="n">
        <f aca="false">IFERROR(AVERAGE(Change_mensuel!F125:F130),"")</f>
        <v>24211.7416666667</v>
      </c>
      <c r="H41" s="17" t="n">
        <f aca="false">IFERROR(AVERAGE(Change_mensuel!G125:G130),"")</f>
        <v>2630.619</v>
      </c>
      <c r="I41" s="17" t="n">
        <f aca="false">IFERROR(AVERAGE(Change_mensuel!H125:H130),"")</f>
        <v>1486.87141666667</v>
      </c>
      <c r="J41" s="17" t="n">
        <f aca="false">IFERROR(AVERAGE(Change_mensuel!J125:J130),"")</f>
        <v>15973.8267226028</v>
      </c>
      <c r="K41" s="17" t="n">
        <f aca="false">IFERROR(AVERAGE(Change_mensuel!L125:L130),"")</f>
        <v>35.7416775224813</v>
      </c>
      <c r="L41" s="17" t="n">
        <f aca="false">IFERROR(AVERAGE(Change_mensuel!N125:N130),"")</f>
        <v>4.59113694354106</v>
      </c>
      <c r="M41" s="17" t="n">
        <f aca="false">IFERROR(AVERAGE(Change_mensuel!O125:O130),"")</f>
        <v>1</v>
      </c>
      <c r="N41" s="17" t="n">
        <f aca="false">IFERROR(AVERAGE(Change_mensuel!P125:P130),"")</f>
        <v>603.169399806111</v>
      </c>
      <c r="O41" s="34" t="n">
        <f aca="false">COUNT(Change_mensuel!D125:D130)</f>
        <v>6</v>
      </c>
    </row>
    <row r="42" customFormat="false" ht="15" hidden="false" customHeight="false" outlineLevel="0" collapsed="false">
      <c r="A42" s="10" t="s">
        <v>756</v>
      </c>
      <c r="B42" s="10" t="s">
        <v>1843</v>
      </c>
      <c r="C42" s="10" t="s">
        <v>1854</v>
      </c>
      <c r="D42" s="17" t="n">
        <f aca="false">IFERROR(AVERAGE(Change_mensuel!C129:C140),"")</f>
        <v>599.944927889257</v>
      </c>
      <c r="E42" s="17" t="n">
        <f aca="false">IFERROR(AVERAGE(Change_mensuel!D129:D140),"")</f>
        <v>14.2834416666667</v>
      </c>
      <c r="F42" s="17" t="n">
        <f aca="false">IFERROR(AVERAGE(Change_mensuel!E129:E140),"")</f>
        <v>3666.296225</v>
      </c>
      <c r="G42" s="17" t="n">
        <f aca="false">IFERROR(AVERAGE(Change_mensuel!F129:F140),"")</f>
        <v>24571.3841666667</v>
      </c>
      <c r="H42" s="17" t="n">
        <f aca="false">IFERROR(AVERAGE(Change_mensuel!G129:G140),"")</f>
        <v>2608.769</v>
      </c>
      <c r="I42" s="17" t="n">
        <f aca="false">IFERROR(AVERAGE(Change_mensuel!H129:H140),"")</f>
        <v>1575.40208333333</v>
      </c>
      <c r="J42" s="17" t="n">
        <f aca="false">IFERROR(AVERAGE(Change_mensuel!J129:J140),"")</f>
        <v>16121.1418849211</v>
      </c>
      <c r="K42" s="17" t="n">
        <f aca="false">IFERROR(AVERAGE(Change_mensuel!L129:L140),"")</f>
        <v>33.6374053580769</v>
      </c>
      <c r="L42" s="17" t="n">
        <f aca="false">IFERROR(AVERAGE(Change_mensuel!N129:N140),"")</f>
        <v>4.36412118886086</v>
      </c>
      <c r="M42" s="17" t="n">
        <f aca="false">IFERROR(AVERAGE(Change_mensuel!O129:O140),"")</f>
        <v>1</v>
      </c>
      <c r="N42" s="17" t="n">
        <f aca="false">IFERROR(AVERAGE(Change_mensuel!P129:P140),"")</f>
        <v>599.944927889257</v>
      </c>
      <c r="O42" s="34" t="n">
        <f aca="false">COUNT(Change_mensuel!D129:D140)</f>
        <v>12</v>
      </c>
    </row>
    <row r="43" customFormat="false" ht="15" hidden="false" customHeight="false" outlineLevel="0" collapsed="false">
      <c r="A43" s="10" t="s">
        <v>865</v>
      </c>
      <c r="B43" s="10" t="s">
        <v>1845</v>
      </c>
      <c r="C43" s="10" t="s">
        <v>1847</v>
      </c>
      <c r="D43" s="17" t="n">
        <f aca="false">IFERROR(AVERAGE(Change_mensuel!C131:C133),"")</f>
        <v>614.871983732814</v>
      </c>
      <c r="E43" s="17" t="n">
        <f aca="false">IFERROR(AVERAGE(Change_mensuel!D131:D133),"")</f>
        <v>15.5842666666667</v>
      </c>
      <c r="F43" s="17" t="n">
        <f aca="false">IFERROR(AVERAGE(Change_mensuel!E131:E133),"")</f>
        <v>3670.21843333333</v>
      </c>
      <c r="G43" s="17" t="n">
        <f aca="false">IFERROR(AVERAGE(Change_mensuel!F131:F133),"")</f>
        <v>24251.3766666667</v>
      </c>
      <c r="H43" s="17" t="n">
        <f aca="false">IFERROR(AVERAGE(Change_mensuel!G131:G133),"")</f>
        <v>2603.80533333333</v>
      </c>
      <c r="I43" s="17" t="n">
        <f aca="false">IFERROR(AVERAGE(Change_mensuel!H131:H133),"")</f>
        <v>1621.87486666667</v>
      </c>
      <c r="J43" s="17" t="n">
        <f aca="false">IFERROR(AVERAGE(Change_mensuel!J131:J133),"")</f>
        <v>15814.1188180431</v>
      </c>
      <c r="K43" s="17" t="n">
        <f aca="false">IFERROR(AVERAGE(Change_mensuel!L131:L133),"")</f>
        <v>33.9921833311108</v>
      </c>
      <c r="L43" s="17" t="n">
        <f aca="false">IFERROR(AVERAGE(Change_mensuel!N131:N133),"")</f>
        <v>4.39781399808355</v>
      </c>
      <c r="M43" s="17" t="n">
        <f aca="false">IFERROR(AVERAGE(Change_mensuel!O131:O133),"")</f>
        <v>1</v>
      </c>
      <c r="N43" s="17" t="n">
        <f aca="false">IFERROR(AVERAGE(Change_mensuel!P131:P133),"")</f>
        <v>614.871983732814</v>
      </c>
      <c r="O43" s="34" t="n">
        <f aca="false">COUNT(Change_mensuel!D131:D133)</f>
        <v>3</v>
      </c>
    </row>
    <row r="44" customFormat="false" ht="15" hidden="false" customHeight="false" outlineLevel="0" collapsed="false">
      <c r="A44" s="10" t="s">
        <v>360</v>
      </c>
      <c r="B44" s="10" t="s">
        <v>1845</v>
      </c>
      <c r="C44" s="10" t="s">
        <v>1850</v>
      </c>
      <c r="D44" s="17" t="n">
        <f aca="false">IFERROR(AVERAGE(Change_mensuel!C131:C136),"")</f>
        <v>619.186345336557</v>
      </c>
      <c r="E44" s="17" t="n">
        <f aca="false">IFERROR(AVERAGE(Change_mensuel!D131:D136),"")</f>
        <v>15.4570666666667</v>
      </c>
      <c r="F44" s="17" t="n">
        <f aca="false">IFERROR(AVERAGE(Change_mensuel!E131:E136),"")</f>
        <v>3674.19678333333</v>
      </c>
      <c r="G44" s="17" t="n">
        <f aca="false">IFERROR(AVERAGE(Change_mensuel!F131:F136),"")</f>
        <v>24404.15</v>
      </c>
      <c r="H44" s="17" t="n">
        <f aca="false">IFERROR(AVERAGE(Change_mensuel!G131:G136),"")</f>
        <v>2573.09366666667</v>
      </c>
      <c r="I44" s="17" t="n">
        <f aca="false">IFERROR(AVERAGE(Change_mensuel!H131:H136),"")</f>
        <v>1571.47696666667</v>
      </c>
      <c r="J44" s="17" t="n">
        <f aca="false">IFERROR(AVERAGE(Change_mensuel!J131:J136),"")</f>
        <v>16086.2758351034</v>
      </c>
      <c r="K44" s="17" t="n">
        <f aca="false">IFERROR(AVERAGE(Change_mensuel!L131:L136),"")</f>
        <v>33.966575583012</v>
      </c>
      <c r="L44" s="17" t="n">
        <f aca="false">IFERROR(AVERAGE(Change_mensuel!N131:N136),"")</f>
        <v>4.42271966213972</v>
      </c>
      <c r="M44" s="17" t="n">
        <f aca="false">IFERROR(AVERAGE(Change_mensuel!O131:O136),"")</f>
        <v>1</v>
      </c>
      <c r="N44" s="17" t="n">
        <f aca="false">IFERROR(AVERAGE(Change_mensuel!P131:P136),"")</f>
        <v>619.186345336557</v>
      </c>
      <c r="O44" s="34" t="n">
        <f aca="false">COUNT(Change_mensuel!D131:D136)</f>
        <v>6</v>
      </c>
    </row>
    <row r="45" customFormat="false" ht="15" hidden="false" customHeight="false" outlineLevel="0" collapsed="false">
      <c r="A45" s="10" t="s">
        <v>551</v>
      </c>
      <c r="B45" s="10" t="s">
        <v>1845</v>
      </c>
      <c r="C45" s="10" t="s">
        <v>1856</v>
      </c>
      <c r="D45" s="17" t="n">
        <f aca="false">IFERROR(AVERAGE(Change_mensuel!C131:C142),"")</f>
        <v>594.675012656066</v>
      </c>
      <c r="E45" s="17" t="n">
        <f aca="false">IFERROR(AVERAGE(Change_mensuel!D131:D142),"")</f>
        <v>13.639325</v>
      </c>
      <c r="F45" s="17" t="n">
        <f aca="false">IFERROR(AVERAGE(Change_mensuel!E131:E142),"")</f>
        <v>3636.02611666667</v>
      </c>
      <c r="G45" s="17" t="n">
        <f aca="false">IFERROR(AVERAGE(Change_mensuel!F131:F142),"")</f>
        <v>24695.65</v>
      </c>
      <c r="H45" s="17" t="n">
        <f aca="false">IFERROR(AVERAGE(Change_mensuel!G131:G142),"")</f>
        <v>2586.61485714286</v>
      </c>
      <c r="I45" s="17" t="n">
        <f aca="false">IFERROR(AVERAGE(Change_mensuel!H131:H142),"")</f>
        <v>1560.98216666667</v>
      </c>
      <c r="J45" s="17" t="n">
        <f aca="false">IFERROR(AVERAGE(Change_mensuel!J131:J142),"")</f>
        <v>16268.1671372633</v>
      </c>
      <c r="K45" s="17" t="n">
        <f aca="false">IFERROR(AVERAGE(Change_mensuel!L131:L142),"")</f>
        <v>33.3367390250095</v>
      </c>
      <c r="L45" s="17" t="n">
        <f aca="false">IFERROR(AVERAGE(Change_mensuel!N131:N142),"")</f>
        <v>4.34434348558934</v>
      </c>
      <c r="M45" s="17" t="n">
        <f aca="false">IFERROR(AVERAGE(Change_mensuel!O131:O142),"")</f>
        <v>1</v>
      </c>
      <c r="N45" s="17" t="n">
        <f aca="false">IFERROR(AVERAGE(Change_mensuel!P131:P142),"")</f>
        <v>594.675012656066</v>
      </c>
      <c r="O45" s="34" t="n">
        <f aca="false">COUNT(Change_mensuel!D131:D142)</f>
        <v>12</v>
      </c>
    </row>
    <row r="46" customFormat="false" ht="15" hidden="false" customHeight="false" outlineLevel="0" collapsed="false">
      <c r="A46" s="10" t="s">
        <v>794</v>
      </c>
      <c r="B46" s="10" t="s">
        <v>1847</v>
      </c>
      <c r="C46" s="10" t="s">
        <v>1847</v>
      </c>
      <c r="D46" s="17" t="n">
        <f aca="false">IFERROR(AVERAGE(Change_mensuel!C133:C133),"")</f>
        <v>625.987832518192</v>
      </c>
      <c r="E46" s="17" t="n">
        <f aca="false">IFERROR(AVERAGE(Change_mensuel!D133:D133),"")</f>
        <v>14.7805</v>
      </c>
      <c r="F46" s="17" t="n">
        <f aca="false">IFERROR(AVERAGE(Change_mensuel!E133:E133),"")</f>
        <v>3664.0817</v>
      </c>
      <c r="G46" s="17" t="n">
        <f aca="false">IFERROR(AVERAGE(Change_mensuel!F133:F133),"")</f>
        <v>24285.19</v>
      </c>
      <c r="H46" s="17" t="n">
        <f aca="false">IFERROR(AVERAGE(Change_mensuel!G133:G133),"")</f>
        <v>2449.264</v>
      </c>
      <c r="I46" s="17" t="n">
        <f aca="false">IFERROR(AVERAGE(Change_mensuel!H133:H133),"")</f>
        <v>1553.7293</v>
      </c>
      <c r="J46" s="17" t="n">
        <f aca="false">IFERROR(AVERAGE(Change_mensuel!J133:J133),"")</f>
        <v>16042.8992007635</v>
      </c>
      <c r="K46" s="17" t="n">
        <f aca="false">IFERROR(AVERAGE(Change_mensuel!L133:L133),"")</f>
        <v>34.1582726947394</v>
      </c>
      <c r="L46" s="17" t="n">
        <f aca="false">IFERROR(AVERAGE(Change_mensuel!N133:N133),"")</f>
        <v>4.45931050936419</v>
      </c>
      <c r="M46" s="17" t="n">
        <f aca="false">IFERROR(AVERAGE(Change_mensuel!O133:O133),"")</f>
        <v>1</v>
      </c>
      <c r="N46" s="17" t="n">
        <f aca="false">IFERROR(AVERAGE(Change_mensuel!P133:P133),"")</f>
        <v>625.987832518192</v>
      </c>
      <c r="O46" s="34" t="n">
        <f aca="false">COUNT(Change_mensuel!D133:D133)</f>
        <v>1</v>
      </c>
    </row>
    <row r="47" customFormat="false" ht="15" hidden="false" customHeight="false" outlineLevel="0" collapsed="false">
      <c r="A47" s="10" t="s">
        <v>883</v>
      </c>
      <c r="B47" s="10" t="s">
        <v>1848</v>
      </c>
      <c r="C47" s="10" t="s">
        <v>1859</v>
      </c>
      <c r="D47" s="17" t="n">
        <f aca="false">IFERROR(AVERAGE(Change_mensuel!C134:C145),"")</f>
        <v>581.928485535284</v>
      </c>
      <c r="E47" s="17" t="n">
        <f aca="false">IFERROR(AVERAGE(Change_mensuel!D134:D145),"")</f>
        <v>12.5270666666667</v>
      </c>
      <c r="F47" s="17" t="n">
        <f aca="false">IFERROR(AVERAGE(Change_mensuel!E134:E145),"")</f>
        <v>3602.99023333333</v>
      </c>
      <c r="G47" s="17" t="n">
        <f aca="false">IFERROR(AVERAGE(Change_mensuel!F134:F145),"")</f>
        <v>24898.5244444444</v>
      </c>
      <c r="H47" s="17" t="n">
        <f aca="false">IFERROR(AVERAGE(Change_mensuel!G134:G145),"")</f>
        <v>2545.81093333333</v>
      </c>
      <c r="I47" s="17" t="n">
        <f aca="false">IFERROR(AVERAGE(Change_mensuel!H134:H145),"")</f>
        <v>1524.50886363636</v>
      </c>
      <c r="J47" s="17" t="n">
        <f aca="false">IFERROR(AVERAGE(Change_mensuel!J134:J145),"")</f>
        <v>16481.099971016</v>
      </c>
      <c r="K47" s="17" t="n">
        <f aca="false">IFERROR(AVERAGE(Change_mensuel!L134:L145),"")</f>
        <v>32.885887555717</v>
      </c>
      <c r="L47" s="17" t="n">
        <f aca="false">IFERROR(AVERAGE(Change_mensuel!N134:N145),"")</f>
        <v>4.28340389613855</v>
      </c>
      <c r="M47" s="17" t="n">
        <f aca="false">IFERROR(AVERAGE(Change_mensuel!O134:O145),"")</f>
        <v>1</v>
      </c>
      <c r="N47" s="17" t="n">
        <f aca="false">IFERROR(AVERAGE(Change_mensuel!P134:P145),"")</f>
        <v>581.928485535284</v>
      </c>
      <c r="O47" s="34" t="n">
        <f aca="false">COUNT(Change_mensuel!D134:D145)</f>
        <v>12</v>
      </c>
    </row>
    <row r="48" customFormat="false" ht="15" hidden="false" customHeight="false" outlineLevel="0" collapsed="false">
      <c r="A48" s="10" t="s">
        <v>630</v>
      </c>
      <c r="B48" s="10" t="s">
        <v>1849</v>
      </c>
      <c r="C48" s="10" t="s">
        <v>1854</v>
      </c>
      <c r="D48" s="17" t="n">
        <f aca="false">IFERROR(AVERAGE(Change_mensuel!C135:C140),"")</f>
        <v>589.146442135629</v>
      </c>
      <c r="E48" s="17" t="n">
        <f aca="false">IFERROR(AVERAGE(Change_mensuel!D135:D140),"")</f>
        <v>13.1692166666667</v>
      </c>
      <c r="F48" s="17" t="n">
        <f aca="false">IFERROR(AVERAGE(Change_mensuel!E135:E140),"")</f>
        <v>3643.49666666667</v>
      </c>
      <c r="G48" s="17" t="n">
        <f aca="false">IFERROR(AVERAGE(Change_mensuel!F135:F140),"")</f>
        <v>24892.8316666667</v>
      </c>
      <c r="H48" s="17" t="n">
        <f aca="false">IFERROR(AVERAGE(Change_mensuel!G135:G140),"")</f>
        <v>2615.04066666667</v>
      </c>
      <c r="I48" s="17" t="n">
        <f aca="false">IFERROR(AVERAGE(Change_mensuel!H135:H140),"")</f>
        <v>1549.607</v>
      </c>
      <c r="J48" s="17" t="n">
        <f aca="false">IFERROR(AVERAGE(Change_mensuel!J135:J140),"")</f>
        <v>16445.9203514494</v>
      </c>
      <c r="K48" s="17" t="n">
        <f aca="false">IFERROR(AVERAGE(Change_mensuel!L135:L140),"")</f>
        <v>33.2278571014399</v>
      </c>
      <c r="L48" s="17" t="n">
        <f aca="false">IFERROR(AVERAGE(Change_mensuel!N135:N140),"")</f>
        <v>4.33907636820506</v>
      </c>
      <c r="M48" s="17" t="n">
        <f aca="false">IFERROR(AVERAGE(Change_mensuel!O135:O140),"")</f>
        <v>1</v>
      </c>
      <c r="N48" s="17" t="n">
        <f aca="false">IFERROR(AVERAGE(Change_mensuel!P135:P140),"")</f>
        <v>589.146442135629</v>
      </c>
      <c r="O48" s="34" t="n">
        <f aca="false">COUNT(Change_mensuel!D135:D140)</f>
        <v>6</v>
      </c>
    </row>
    <row r="49" customFormat="false" ht="15" hidden="false" customHeight="false" outlineLevel="0" collapsed="false">
      <c r="A49" s="10" t="s">
        <v>801</v>
      </c>
      <c r="B49" s="10" t="s">
        <v>1850</v>
      </c>
      <c r="C49" s="10" t="s">
        <v>1850</v>
      </c>
      <c r="D49" s="17" t="n">
        <f aca="false">IFERROR(AVERAGE(Change_mensuel!C136:C136),"")</f>
        <v>606.984854920185</v>
      </c>
      <c r="E49" s="17" t="n">
        <f aca="false">IFERROR(AVERAGE(Change_mensuel!D136:D136),"")</f>
        <v>15.5316</v>
      </c>
      <c r="F49" s="17" t="n">
        <f aca="false">IFERROR(AVERAGE(Change_mensuel!E136:E136),"")</f>
        <v>3667.8646</v>
      </c>
      <c r="G49" s="17" t="n">
        <f aca="false">IFERROR(AVERAGE(Change_mensuel!F136:F136),"")</f>
        <v>24787.92</v>
      </c>
      <c r="H49" s="17" t="n">
        <f aca="false">IFERROR(AVERAGE(Change_mensuel!G136:G136),"")</f>
        <v>2621.265</v>
      </c>
      <c r="I49" s="17" t="n">
        <f aca="false">IFERROR(AVERAGE(Change_mensuel!H136:H136),"")</f>
        <v>1526.3694</v>
      </c>
      <c r="J49" s="17" t="n">
        <f aca="false">IFERROR(AVERAGE(Change_mensuel!J136:J136),"")</f>
        <v>16471.8270238859</v>
      </c>
      <c r="K49" s="17" t="n">
        <f aca="false">IFERROR(AVERAGE(Change_mensuel!L136:L136),"")</f>
        <v>33.7954493509185</v>
      </c>
      <c r="L49" s="17" t="n">
        <f aca="false">IFERROR(AVERAGE(Change_mensuel!N136:N136),"")</f>
        <v>4.43488874145099</v>
      </c>
      <c r="M49" s="17" t="n">
        <f aca="false">IFERROR(AVERAGE(Change_mensuel!O136:O136),"")</f>
        <v>1</v>
      </c>
      <c r="N49" s="17" t="n">
        <f aca="false">IFERROR(AVERAGE(Change_mensuel!P136:P136),"")</f>
        <v>606.984854920185</v>
      </c>
      <c r="O49" s="34" t="n">
        <f aca="false">COUNT(Change_mensuel!D136:D136)</f>
        <v>1</v>
      </c>
    </row>
    <row r="50" customFormat="false" ht="15" hidden="false" customHeight="false" outlineLevel="0" collapsed="false">
      <c r="A50" s="10" t="s">
        <v>664</v>
      </c>
      <c r="B50" s="10" t="s">
        <v>1850</v>
      </c>
      <c r="C50" s="10" t="s">
        <v>1854</v>
      </c>
      <c r="D50" s="17" t="n">
        <f aca="false">IFERROR(AVERAGE(Change_mensuel!C136:C140),"")</f>
        <v>580.981588906092</v>
      </c>
      <c r="E50" s="17" t="n">
        <f aca="false">IFERROR(AVERAGE(Change_mensuel!D136:D140),"")</f>
        <v>12.70586</v>
      </c>
      <c r="F50" s="17" t="n">
        <f aca="false">IFERROR(AVERAGE(Change_mensuel!E136:E140),"")</f>
        <v>3636.65564</v>
      </c>
      <c r="G50" s="17" t="n">
        <f aca="false">IFERROR(AVERAGE(Change_mensuel!F136:F140),"")</f>
        <v>24962.048</v>
      </c>
      <c r="H50" s="17" t="n">
        <f aca="false">IFERROR(AVERAGE(Change_mensuel!G136:G140),"")</f>
        <v>2644.5035</v>
      </c>
      <c r="I50" s="17" t="n">
        <f aca="false">IFERROR(AVERAGE(Change_mensuel!H136:H140),"")</f>
        <v>1559.34408</v>
      </c>
      <c r="J50" s="17" t="n">
        <f aca="false">IFERROR(AVERAGE(Change_mensuel!J136:J140),"")</f>
        <v>16465.8762824836</v>
      </c>
      <c r="K50" s="17" t="n">
        <f aca="false">IFERROR(AVERAGE(Change_mensuel!L136:L140),"")</f>
        <v>33.1145137558216</v>
      </c>
      <c r="L50" s="17" t="n">
        <f aca="false">IFERROR(AVERAGE(Change_mensuel!N136:N140),"")</f>
        <v>4.31832501519541</v>
      </c>
      <c r="M50" s="17" t="n">
        <f aca="false">IFERROR(AVERAGE(Change_mensuel!O136:O140),"")</f>
        <v>1</v>
      </c>
      <c r="N50" s="17" t="n">
        <f aca="false">IFERROR(AVERAGE(Change_mensuel!P136:P140),"")</f>
        <v>580.981588906092</v>
      </c>
      <c r="O50" s="34" t="n">
        <f aca="false">COUNT(Change_mensuel!D136:D140)</f>
        <v>5</v>
      </c>
    </row>
    <row r="51" customFormat="false" ht="15" hidden="false" customHeight="false" outlineLevel="0" collapsed="false">
      <c r="A51" s="10" t="s">
        <v>831</v>
      </c>
      <c r="B51" s="10" t="s">
        <v>1851</v>
      </c>
      <c r="C51" s="10" t="s">
        <v>1851</v>
      </c>
      <c r="D51" s="17" t="n">
        <f aca="false">IFERROR(AVERAGE(Change_mensuel!C137:C137),"")</f>
        <v>584.947320079009</v>
      </c>
      <c r="E51" s="17" t="n">
        <f aca="false">IFERROR(AVERAGE(Change_mensuel!D137:D137),"")</f>
        <v>15.2216</v>
      </c>
      <c r="F51" s="17" t="n">
        <f aca="false">IFERROR(AVERAGE(Change_mensuel!E137:E137),"")</f>
        <v>3669.6121</v>
      </c>
      <c r="G51" s="17" t="n">
        <f aca="false">IFERROR(AVERAGE(Change_mensuel!F137:F137),"")</f>
        <v>24905.72</v>
      </c>
      <c r="H51" s="17" t="n">
        <f aca="false">IFERROR(AVERAGE(Change_mensuel!G137:G137),"")</f>
        <v>2667.742</v>
      </c>
      <c r="I51" s="17" t="n">
        <f aca="false">IFERROR(AVERAGE(Change_mensuel!H137:H137),"")</f>
        <v>1595.0509</v>
      </c>
      <c r="J51" s="17" t="n">
        <f aca="false">IFERROR(AVERAGE(Change_mensuel!J137:J137),"")</f>
        <v>16828.8060852777</v>
      </c>
      <c r="K51" s="17" t="n">
        <f aca="false">IFERROR(AVERAGE(Change_mensuel!L137:L137),"")</f>
        <v>33.7818520681829</v>
      </c>
      <c r="L51" s="17" t="n">
        <f aca="false">IFERROR(AVERAGE(Change_mensuel!N137:N137),"")</f>
        <v>4.41503662848506</v>
      </c>
      <c r="M51" s="17" t="n">
        <f aca="false">IFERROR(AVERAGE(Change_mensuel!O137:O137),"")</f>
        <v>1</v>
      </c>
      <c r="N51" s="17" t="n">
        <f aca="false">IFERROR(AVERAGE(Change_mensuel!P137:P137),"")</f>
        <v>584.947320079009</v>
      </c>
      <c r="O51" s="34" t="n">
        <f aca="false">COUNT(Change_mensuel!D137:D137)</f>
        <v>1</v>
      </c>
    </row>
    <row r="52" customFormat="false" ht="15" hidden="false" customHeight="false" outlineLevel="0" collapsed="false">
      <c r="A52" s="10" t="s">
        <v>365</v>
      </c>
      <c r="B52" s="10" t="s">
        <v>1851</v>
      </c>
      <c r="C52" s="10" t="s">
        <v>1856</v>
      </c>
      <c r="D52" s="17" t="n">
        <f aca="false">IFERROR(AVERAGE(Change_mensuel!C137:C142),"")</f>
        <v>570.163679975575</v>
      </c>
      <c r="E52" s="17" t="n">
        <f aca="false">IFERROR(AVERAGE(Change_mensuel!D137:D142),"")</f>
        <v>11.8215833333333</v>
      </c>
      <c r="F52" s="17" t="n">
        <f aca="false">IFERROR(AVERAGE(Change_mensuel!E137:E142),"")</f>
        <v>3597.85545</v>
      </c>
      <c r="G52" s="17" t="n">
        <f aca="false">IFERROR(AVERAGE(Change_mensuel!F137:F142),"")</f>
        <v>25045.45</v>
      </c>
      <c r="H52" s="17" t="n">
        <f aca="false">IFERROR(AVERAGE(Change_mensuel!G137:G142),"")</f>
        <v>2667.742</v>
      </c>
      <c r="I52" s="17" t="n">
        <f aca="false">IFERROR(AVERAGE(Change_mensuel!H137:H142),"")</f>
        <v>1550.48736666667</v>
      </c>
      <c r="J52" s="17" t="n">
        <f aca="false">IFERROR(AVERAGE(Change_mensuel!J137:J142),"")</f>
        <v>16450.0584394232</v>
      </c>
      <c r="K52" s="17" t="n">
        <f aca="false">IFERROR(AVERAGE(Change_mensuel!L137:L142),"")</f>
        <v>32.7069024670071</v>
      </c>
      <c r="L52" s="17" t="n">
        <f aca="false">IFERROR(AVERAGE(Change_mensuel!N137:N142),"")</f>
        <v>4.26596730903896</v>
      </c>
      <c r="M52" s="17" t="n">
        <f aca="false">IFERROR(AVERAGE(Change_mensuel!O137:O142),"")</f>
        <v>1</v>
      </c>
      <c r="N52" s="17" t="n">
        <f aca="false">IFERROR(AVERAGE(Change_mensuel!P137:P142),"")</f>
        <v>570.163679975575</v>
      </c>
      <c r="O52" s="34" t="n">
        <f aca="false">COUNT(Change_mensuel!D137:D142)</f>
        <v>6</v>
      </c>
    </row>
    <row r="53" customFormat="false" ht="15" hidden="false" customHeight="false" outlineLevel="0" collapsed="false">
      <c r="A53" s="10" t="s">
        <v>1055</v>
      </c>
      <c r="B53" s="10" t="s">
        <v>1855</v>
      </c>
      <c r="C53" s="10" t="s">
        <v>1860</v>
      </c>
      <c r="D53" s="17" t="n">
        <f aca="false">IFERROR(AVERAGE(Change_mensuel!C141:C146),"")</f>
        <v>562.256198125453</v>
      </c>
      <c r="E53" s="17" t="n">
        <f aca="false">IFERROR(AVERAGE(Change_mensuel!D141:D146),"")</f>
        <v>11.1882666666667</v>
      </c>
      <c r="F53" s="17" t="n">
        <f aca="false">IFERROR(AVERAGE(Change_mensuel!E141:E146),"")</f>
        <v>3537.18876</v>
      </c>
      <c r="G53" s="17" t="n">
        <f aca="false">IFERROR(AVERAGE(Change_mensuel!F141:F146),"")</f>
        <v>25196.815</v>
      </c>
      <c r="H53" s="17" t="n">
        <f aca="false">IFERROR(AVERAGE(Change_mensuel!G141:G146),"")</f>
        <v>2434.16666666667</v>
      </c>
      <c r="I53" s="17" t="n">
        <f aca="false">IFERROR(AVERAGE(Change_mensuel!H141:H146),"")</f>
        <v>1484.002325</v>
      </c>
      <c r="J53" s="17" t="n">
        <f aca="false">IFERROR(AVERAGE(Change_mensuel!J141:J146),"")</f>
        <v>16611.9461028224</v>
      </c>
      <c r="K53" s="17" t="n">
        <f aca="false">IFERROR(AVERAGE(Change_mensuel!L141:L146),"")</f>
        <v>32.0542823528344</v>
      </c>
      <c r="L53" s="17" t="n">
        <f aca="false">IFERROR(AVERAGE(Change_mensuel!N141:N146),"")</f>
        <v>4.15459367786296</v>
      </c>
      <c r="M53" s="17" t="n">
        <f aca="false">IFERROR(AVERAGE(Change_mensuel!O141:O146),"")</f>
        <v>1</v>
      </c>
      <c r="N53" s="17" t="n">
        <f aca="false">IFERROR(AVERAGE(Change_mensuel!P141:P146),"")</f>
        <v>562.256198125453</v>
      </c>
      <c r="O53" s="34" t="n">
        <f aca="false">COUNT(Change_mensuel!D141:D146)</f>
        <v>6</v>
      </c>
    </row>
    <row r="54" customFormat="false" ht="15" hidden="false" customHeight="false" outlineLevel="0" collapsed="false">
      <c r="A54" s="10" t="s">
        <v>760</v>
      </c>
      <c r="B54" s="10" t="s">
        <v>1855</v>
      </c>
      <c r="C54" s="10" t="s">
        <v>1867</v>
      </c>
      <c r="D54" s="17" t="n">
        <f aca="false">IFERROR(AVERAGE(Change_mensuel!C141:C152),"")</f>
        <v>563.510574475321</v>
      </c>
      <c r="E54" s="17" t="n">
        <f aca="false">IFERROR(AVERAGE(Change_mensuel!D141:D152),"")</f>
        <v>11.1988166666667</v>
      </c>
      <c r="F54" s="17" t="n">
        <f aca="false">IFERROR(AVERAGE(Change_mensuel!E141:E152),"")</f>
        <v>3560.7398</v>
      </c>
      <c r="G54" s="17" t="n">
        <f aca="false">IFERROR(AVERAGE(Change_mensuel!F141:F152),"")</f>
        <v>25196.815</v>
      </c>
      <c r="H54" s="17" t="n">
        <f aca="false">IFERROR(AVERAGE(Change_mensuel!G141:G152),"")</f>
        <v>2434.16666666667</v>
      </c>
      <c r="I54" s="17" t="n">
        <f aca="false">IFERROR(AVERAGE(Change_mensuel!H141:H152),"")</f>
        <v>1484.002325</v>
      </c>
      <c r="J54" s="17" t="n">
        <f aca="false">IFERROR(AVERAGE(Change_mensuel!J141:J152),"")</f>
        <v>17006.8396323205</v>
      </c>
      <c r="K54" s="17" t="n">
        <f aca="false">IFERROR(AVERAGE(Change_mensuel!L141:L152),"")</f>
        <v>32.2527099677747</v>
      </c>
      <c r="L54" s="17" t="n">
        <f aca="false">IFERROR(AVERAGE(Change_mensuel!N141:N152),"")</f>
        <v>4.07218667239231</v>
      </c>
      <c r="M54" s="17" t="n">
        <f aca="false">IFERROR(AVERAGE(Change_mensuel!O141:O152),"")</f>
        <v>1</v>
      </c>
      <c r="N54" s="17" t="n">
        <f aca="false">IFERROR(AVERAGE(Change_mensuel!P141:P152),"")</f>
        <v>563.510574475321</v>
      </c>
      <c r="O54" s="34" t="n">
        <f aca="false">COUNT(Change_mensuel!D141:D152)</f>
        <v>12</v>
      </c>
    </row>
    <row r="55" customFormat="false" ht="15" hidden="false" customHeight="false" outlineLevel="0" collapsed="false">
      <c r="A55" s="10" t="s">
        <v>906</v>
      </c>
      <c r="B55" s="10" t="s">
        <v>1856</v>
      </c>
      <c r="C55" s="10" t="s">
        <v>1857</v>
      </c>
      <c r="D55" s="17" t="n">
        <f aca="false">IFERROR(AVERAGE(Change_mensuel!C142:C143),"")</f>
        <v>561.553739803588</v>
      </c>
      <c r="E55" s="17" t="n">
        <f aca="false">IFERROR(AVERAGE(Change_mensuel!D142:D143),"")</f>
        <v>11.8025</v>
      </c>
      <c r="F55" s="17" t="n">
        <f aca="false">IFERROR(AVERAGE(Change_mensuel!E142:E143),"")</f>
        <v>3485.823</v>
      </c>
      <c r="G55" s="17" t="n">
        <f aca="false">IFERROR(AVERAGE(Change_mensuel!F142:F143),"")</f>
        <v>25196.815</v>
      </c>
      <c r="H55" s="17" t="str">
        <f aca="false">IFERROR(AVERAGE(Change_mensuel!G142:G143),"")</f>
        <v/>
      </c>
      <c r="I55" s="17" t="n">
        <f aca="false">IFERROR(AVERAGE(Change_mensuel!H142:H143),"")</f>
        <v>1478.68785</v>
      </c>
      <c r="J55" s="17" t="n">
        <f aca="false">IFERROR(AVERAGE(Change_mensuel!J142:J143),"")</f>
        <v>16569.5192783706</v>
      </c>
      <c r="K55" s="17" t="n">
        <f aca="false">IFERROR(AVERAGE(Change_mensuel!L142:L143),"")</f>
        <v>32.2896889697233</v>
      </c>
      <c r="L55" s="17" t="n">
        <f aca="false">IFERROR(AVERAGE(Change_mensuel!N142:N143),"")</f>
        <v>4.21378276850207</v>
      </c>
      <c r="M55" s="17" t="n">
        <f aca="false">IFERROR(AVERAGE(Change_mensuel!O142:O143),"")</f>
        <v>1</v>
      </c>
      <c r="N55" s="17" t="n">
        <f aca="false">IFERROR(AVERAGE(Change_mensuel!P142:P143),"")</f>
        <v>561.553739803588</v>
      </c>
      <c r="O55" s="34" t="n">
        <f aca="false">COUNT(Change_mensuel!D142:D143)</f>
        <v>2</v>
      </c>
    </row>
    <row r="56" customFormat="false" ht="15" hidden="false" customHeight="false" outlineLevel="0" collapsed="false">
      <c r="A56" s="10" t="s">
        <v>370</v>
      </c>
      <c r="B56" s="10" t="s">
        <v>1857</v>
      </c>
      <c r="C56" s="10" t="s">
        <v>1863</v>
      </c>
      <c r="D56" s="17" t="n">
        <f aca="false">IFERROR(AVERAGE(Change_mensuel!C143:C148),"")</f>
        <v>562.127882453012</v>
      </c>
      <c r="E56" s="17" t="n">
        <f aca="false">IFERROR(AVERAGE(Change_mensuel!D143:D148),"")</f>
        <v>10.9981166666667</v>
      </c>
      <c r="F56" s="17" t="n">
        <f aca="false">IFERROR(AVERAGE(Change_mensuel!E143:E148),"")</f>
        <v>3538.0749</v>
      </c>
      <c r="G56" s="17" t="n">
        <f aca="false">IFERROR(AVERAGE(Change_mensuel!F143:F148),"")</f>
        <v>25188.7</v>
      </c>
      <c r="H56" s="17" t="n">
        <f aca="false">IFERROR(AVERAGE(Change_mensuel!G143:G148),"")</f>
        <v>2434.16666666667</v>
      </c>
      <c r="I56" s="17" t="n">
        <f aca="false">IFERROR(AVERAGE(Change_mensuel!H143:H148),"")</f>
        <v>1451.71805</v>
      </c>
      <c r="J56" s="17" t="n">
        <f aca="false">IFERROR(AVERAGE(Change_mensuel!J143:J148),"")</f>
        <v>16763.3367214468</v>
      </c>
      <c r="K56" s="17" t="n">
        <f aca="false">IFERROR(AVERAGE(Change_mensuel!L143:L148),"")</f>
        <v>31.8982303182375</v>
      </c>
      <c r="L56" s="17" t="n">
        <f aca="false">IFERROR(AVERAGE(Change_mensuel!N143:N148),"")</f>
        <v>4.05895238976893</v>
      </c>
      <c r="M56" s="17" t="n">
        <f aca="false">IFERROR(AVERAGE(Change_mensuel!O143:O148),"")</f>
        <v>1</v>
      </c>
      <c r="N56" s="17" t="n">
        <f aca="false">IFERROR(AVERAGE(Change_mensuel!P143:P148),"")</f>
        <v>562.127882453012</v>
      </c>
      <c r="O56" s="34" t="n">
        <f aca="false">COUNT(Change_mensuel!D143:D148)</f>
        <v>6</v>
      </c>
    </row>
    <row r="57" customFormat="false" ht="15" hidden="false" customHeight="false" outlineLevel="0" collapsed="false">
      <c r="A57" s="10" t="s">
        <v>1024</v>
      </c>
      <c r="B57" s="10" t="s">
        <v>1857</v>
      </c>
      <c r="C57" s="10" t="s">
        <v>1868</v>
      </c>
      <c r="D57" s="17" t="n">
        <f aca="false">IFERROR(AVERAGE(Change_mensuel!C143:C153),"")</f>
        <v>564.080421752516</v>
      </c>
      <c r="E57" s="17" t="n">
        <f aca="false">IFERROR(AVERAGE(Change_mensuel!D143:D153),"")</f>
        <v>11.1626272727273</v>
      </c>
      <c r="F57" s="17" t="n">
        <f aca="false">IFERROR(AVERAGE(Change_mensuel!E143:E153),"")</f>
        <v>3573.179925</v>
      </c>
      <c r="G57" s="17" t="n">
        <f aca="false">IFERROR(AVERAGE(Change_mensuel!F143:F153),"")</f>
        <v>25188.7</v>
      </c>
      <c r="H57" s="17" t="n">
        <f aca="false">IFERROR(AVERAGE(Change_mensuel!G143:G153),"")</f>
        <v>2434.16666666667</v>
      </c>
      <c r="I57" s="17" t="n">
        <f aca="false">IFERROR(AVERAGE(Change_mensuel!H143:H153),"")</f>
        <v>1451.71805</v>
      </c>
      <c r="J57" s="17" t="n">
        <f aca="false">IFERROR(AVERAGE(Change_mensuel!J143:J153),"")</f>
        <v>17185.812229333</v>
      </c>
      <c r="K57" s="17" t="n">
        <f aca="false">IFERROR(AVERAGE(Change_mensuel!L143:L153),"")</f>
        <v>32.3253697178046</v>
      </c>
      <c r="L57" s="17" t="n">
        <f aca="false">IFERROR(AVERAGE(Change_mensuel!N143:N153),"")</f>
        <v>4.04473549766525</v>
      </c>
      <c r="M57" s="17" t="n">
        <f aca="false">IFERROR(AVERAGE(Change_mensuel!O143:O153),"")</f>
        <v>1</v>
      </c>
      <c r="N57" s="17" t="n">
        <f aca="false">IFERROR(AVERAGE(Change_mensuel!P143:P153),"")</f>
        <v>564.080421752516</v>
      </c>
      <c r="O57" s="34" t="n">
        <f aca="false">COUNT(Change_mensuel!D143:D153)</f>
        <v>11</v>
      </c>
    </row>
    <row r="58" customFormat="false" ht="15" hidden="false" customHeight="false" outlineLevel="0" collapsed="false">
      <c r="A58" s="10" t="s">
        <v>555</v>
      </c>
      <c r="B58" s="10" t="s">
        <v>1857</v>
      </c>
      <c r="C58" s="10" t="s">
        <v>1870</v>
      </c>
      <c r="D58" s="17" t="n">
        <f aca="false">IFERROR(AVERAGE(Change_mensuel!C143:C154),"")</f>
        <v>564.175952846894</v>
      </c>
      <c r="E58" s="17" t="n">
        <f aca="false">IFERROR(AVERAGE(Change_mensuel!D143:D154),"")</f>
        <v>11.1899083333333</v>
      </c>
      <c r="F58" s="17" t="n">
        <f aca="false">IFERROR(AVERAGE(Change_mensuel!E143:E154),"")</f>
        <v>3573.179925</v>
      </c>
      <c r="G58" s="17" t="n">
        <f aca="false">IFERROR(AVERAGE(Change_mensuel!F143:F154),"")</f>
        <v>25579.35</v>
      </c>
      <c r="H58" s="17" t="n">
        <f aca="false">IFERROR(AVERAGE(Change_mensuel!G143:G154),"")</f>
        <v>2434.16666666667</v>
      </c>
      <c r="I58" s="17" t="n">
        <f aca="false">IFERROR(AVERAGE(Change_mensuel!H143:H154),"")</f>
        <v>1410.74870695894</v>
      </c>
      <c r="J58" s="17" t="n">
        <f aca="false">IFERROR(AVERAGE(Change_mensuel!J143:J154),"")</f>
        <v>17222.809020399</v>
      </c>
      <c r="K58" s="17" t="n">
        <f aca="false">IFERROR(AVERAGE(Change_mensuel!L143:L154),"")</f>
        <v>32.3848159096765</v>
      </c>
      <c r="L58" s="17" t="n">
        <f aca="false">IFERROR(AVERAGE(Change_mensuel!N143:N154),"")</f>
        <v>4.04567642358994</v>
      </c>
      <c r="M58" s="17" t="n">
        <f aca="false">IFERROR(AVERAGE(Change_mensuel!O143:O154),"")</f>
        <v>1</v>
      </c>
      <c r="N58" s="17" t="n">
        <f aca="false">IFERROR(AVERAGE(Change_mensuel!P143:P154),"")</f>
        <v>564.175952846894</v>
      </c>
      <c r="O58" s="34" t="n">
        <f aca="false">COUNT(Change_mensuel!D143:D154)</f>
        <v>12</v>
      </c>
    </row>
    <row r="59" customFormat="false" ht="15" hidden="false" customHeight="false" outlineLevel="0" collapsed="false">
      <c r="A59" s="10" t="s">
        <v>689</v>
      </c>
      <c r="B59" s="10" t="s">
        <v>1858</v>
      </c>
      <c r="C59" s="10" t="s">
        <v>1858</v>
      </c>
      <c r="D59" s="17" t="n">
        <f aca="false">IFERROR(AVERAGE(Change_mensuel!C144:C144),"")</f>
        <v>567.427034134358</v>
      </c>
      <c r="E59" s="17" t="n">
        <f aca="false">IFERROR(AVERAGE(Change_mensuel!D144:D144),"")</f>
        <v>11.085</v>
      </c>
      <c r="F59" s="17" t="n">
        <f aca="false">IFERROR(AVERAGE(Change_mensuel!E144:E144),"")</f>
        <v>3575.14</v>
      </c>
      <c r="G59" s="17" t="str">
        <f aca="false">IFERROR(AVERAGE(Change_mensuel!F144:F144),"")</f>
        <v/>
      </c>
      <c r="H59" s="17" t="n">
        <f aca="false">IFERROR(AVERAGE(Change_mensuel!G144:G144),"")</f>
        <v>2434.16666666667</v>
      </c>
      <c r="I59" s="17" t="n">
        <f aca="false">IFERROR(AVERAGE(Change_mensuel!H144:H144),"")</f>
        <v>1443.85</v>
      </c>
      <c r="J59" s="17" t="n">
        <f aca="false">IFERROR(AVERAGE(Change_mensuel!J144:J144),"")</f>
        <v>16698.5670663137</v>
      </c>
      <c r="K59" s="17" t="n">
        <f aca="false">IFERROR(AVERAGE(Change_mensuel!L144:L144),"")</f>
        <v>32.3831767616477</v>
      </c>
      <c r="L59" s="17" t="n">
        <f aca="false">IFERROR(AVERAGE(Change_mensuel!N144:N144),"")</f>
        <v>4.15399387553849</v>
      </c>
      <c r="M59" s="17" t="n">
        <f aca="false">IFERROR(AVERAGE(Change_mensuel!O144:O144),"")</f>
        <v>1</v>
      </c>
      <c r="N59" s="17" t="n">
        <f aca="false">IFERROR(AVERAGE(Change_mensuel!P144:P144),"")</f>
        <v>567.427034134358</v>
      </c>
      <c r="O59" s="34" t="n">
        <f aca="false">COUNT(Change_mensuel!D144:D144)</f>
        <v>1</v>
      </c>
    </row>
    <row r="60" customFormat="false" ht="15" hidden="false" customHeight="false" outlineLevel="0" collapsed="false">
      <c r="A60" s="10" t="s">
        <v>807</v>
      </c>
      <c r="B60" s="10" t="s">
        <v>1859</v>
      </c>
      <c r="C60" s="10" t="s">
        <v>1859</v>
      </c>
      <c r="D60" s="17" t="n">
        <f aca="false">IFERROR(AVERAGE(Change_mensuel!C145:C145),"")</f>
        <v>560.229948474256</v>
      </c>
      <c r="E60" s="17" t="n">
        <f aca="false">IFERROR(AVERAGE(Change_mensuel!D145:D145),"")</f>
        <v>10.86</v>
      </c>
      <c r="F60" s="17" t="n">
        <f aca="false">IFERROR(AVERAGE(Change_mensuel!E145:E145),"")</f>
        <v>3575.2289</v>
      </c>
      <c r="G60" s="17" t="str">
        <f aca="false">IFERROR(AVERAGE(Change_mensuel!F145:F145),"")</f>
        <v/>
      </c>
      <c r="H60" s="17" t="str">
        <f aca="false">IFERROR(AVERAGE(Change_mensuel!G145:G145),"")</f>
        <v/>
      </c>
      <c r="I60" s="17" t="str">
        <f aca="false">IFERROR(AVERAGE(Change_mensuel!H145:H145),"")</f>
        <v/>
      </c>
      <c r="J60" s="17" t="n">
        <f aca="false">IFERROR(AVERAGE(Change_mensuel!J145:J145),"")</f>
        <v>16695.3063147008</v>
      </c>
      <c r="K60" s="17" t="n">
        <f aca="false">IFERROR(AVERAGE(Change_mensuel!L145:L145),"")</f>
        <v>31.6083496815618</v>
      </c>
      <c r="L60" s="17" t="n">
        <f aca="false">IFERROR(AVERAGE(Change_mensuel!N145:N145),"")</f>
        <v>4.09267972304379</v>
      </c>
      <c r="M60" s="17" t="n">
        <f aca="false">IFERROR(AVERAGE(Change_mensuel!O145:O145),"")</f>
        <v>1</v>
      </c>
      <c r="N60" s="17" t="n">
        <f aca="false">IFERROR(AVERAGE(Change_mensuel!P145:P145),"")</f>
        <v>560.229948474256</v>
      </c>
      <c r="O60" s="34" t="n">
        <f aca="false">COUNT(Change_mensuel!D145:D145)</f>
        <v>1</v>
      </c>
    </row>
    <row r="61" customFormat="false" ht="15" hidden="false" customHeight="false" outlineLevel="0" collapsed="false">
      <c r="A61" s="10" t="s">
        <v>493</v>
      </c>
      <c r="B61" s="10" t="s">
        <v>1860</v>
      </c>
      <c r="C61" s="10" t="s">
        <v>1860</v>
      </c>
      <c r="D61" s="17" t="n">
        <f aca="false">IFERROR(AVERAGE(Change_mensuel!C146:C146),"")</f>
        <v>558.820572760482</v>
      </c>
      <c r="E61" s="17" t="n">
        <f aca="false">IFERROR(AVERAGE(Change_mensuel!D146:D146),"")</f>
        <v>10.7921</v>
      </c>
      <c r="F61" s="17" t="str">
        <f aca="false">IFERROR(AVERAGE(Change_mensuel!E146:E146),"")</f>
        <v/>
      </c>
      <c r="G61" s="17" t="str">
        <f aca="false">IFERROR(AVERAGE(Change_mensuel!F146:F146),"")</f>
        <v/>
      </c>
      <c r="H61" s="17" t="str">
        <f aca="false">IFERROR(AVERAGE(Change_mensuel!G146:G146),"")</f>
        <v/>
      </c>
      <c r="I61" s="17" t="str">
        <f aca="false">IFERROR(AVERAGE(Change_mensuel!H146:H146),"")</f>
        <v/>
      </c>
      <c r="J61" s="17" t="n">
        <f aca="false">IFERROR(AVERAGE(Change_mensuel!J146:J146),"")</f>
        <v>16831.329909765</v>
      </c>
      <c r="K61" s="17" t="n">
        <f aca="false">IFERROR(AVERAGE(Change_mensuel!L146:L146),"")</f>
        <v>31.2950663813314</v>
      </c>
      <c r="L61" s="17" t="n">
        <f aca="false">IFERROR(AVERAGE(Change_mensuel!N146:N146),"")</f>
        <v>4.02632762662887</v>
      </c>
      <c r="M61" s="17" t="n">
        <f aca="false">IFERROR(AVERAGE(Change_mensuel!O146:O146),"")</f>
        <v>1</v>
      </c>
      <c r="N61" s="17" t="n">
        <f aca="false">IFERROR(AVERAGE(Change_mensuel!P146:P146),"")</f>
        <v>558.820572760482</v>
      </c>
      <c r="O61" s="34" t="n">
        <f aca="false">COUNT(Change_mensuel!D146:D146)</f>
        <v>1</v>
      </c>
    </row>
    <row r="62" customFormat="false" ht="15" hidden="false" customHeight="false" outlineLevel="0" collapsed="false">
      <c r="A62" s="10" t="s">
        <v>711</v>
      </c>
      <c r="B62" s="10" t="s">
        <v>1860</v>
      </c>
      <c r="C62" s="10" t="s">
        <v>1864</v>
      </c>
      <c r="D62" s="17" t="n">
        <f aca="false">IFERROR(AVERAGE(Change_mensuel!C146:C149),"")</f>
        <v>560.362541618662</v>
      </c>
      <c r="E62" s="17" t="n">
        <f aca="false">IFERROR(AVERAGE(Change_mensuel!D146:D149),"")</f>
        <v>10.91235</v>
      </c>
      <c r="F62" s="17" t="str">
        <f aca="false">IFERROR(AVERAGE(Change_mensuel!E146:E149),"")</f>
        <v/>
      </c>
      <c r="G62" s="17" t="str">
        <f aca="false">IFERROR(AVERAGE(Change_mensuel!F146:F149),"")</f>
        <v/>
      </c>
      <c r="H62" s="17" t="str">
        <f aca="false">IFERROR(AVERAGE(Change_mensuel!G146:G149),"")</f>
        <v/>
      </c>
      <c r="I62" s="17" t="str">
        <f aca="false">IFERROR(AVERAGE(Change_mensuel!H146:H149),"")</f>
        <v/>
      </c>
      <c r="J62" s="17" t="n">
        <f aca="false">IFERROR(AVERAGE(Change_mensuel!J146:J149),"")</f>
        <v>16934.6959842594</v>
      </c>
      <c r="K62" s="17" t="n">
        <f aca="false">IFERROR(AVERAGE(Change_mensuel!L146:L149),"")</f>
        <v>31.774767375625</v>
      </c>
      <c r="L62" s="17" t="n">
        <f aca="false">IFERROR(AVERAGE(Change_mensuel!N146:N149),"")</f>
        <v>3.96559169965598</v>
      </c>
      <c r="M62" s="17" t="n">
        <f aca="false">IFERROR(AVERAGE(Change_mensuel!O146:O149),"")</f>
        <v>1</v>
      </c>
      <c r="N62" s="17" t="n">
        <f aca="false">IFERROR(AVERAGE(Change_mensuel!P146:P149),"")</f>
        <v>560.362541618662</v>
      </c>
      <c r="O62" s="34" t="n">
        <f aca="false">COUNT(Change_mensuel!D146:D149)</f>
        <v>4</v>
      </c>
    </row>
    <row r="63" customFormat="false" ht="15" hidden="false" customHeight="false" outlineLevel="0" collapsed="false">
      <c r="A63" s="10" t="s">
        <v>917</v>
      </c>
      <c r="B63" s="10" t="s">
        <v>1860</v>
      </c>
      <c r="C63" s="10" t="s">
        <v>1868</v>
      </c>
      <c r="D63" s="17" t="n">
        <f aca="false">IFERROR(AVERAGE(Change_mensuel!C146:C153),"")</f>
        <v>564.153376691077</v>
      </c>
      <c r="E63" s="17" t="n">
        <f aca="false">IFERROR(AVERAGE(Change_mensuel!D146:D153),"")</f>
        <v>11.1729</v>
      </c>
      <c r="F63" s="17" t="n">
        <f aca="false">IFERROR(AVERAGE(Change_mensuel!E146:E153),"")</f>
        <v>3678.495</v>
      </c>
      <c r="G63" s="17" t="str">
        <f aca="false">IFERROR(AVERAGE(Change_mensuel!F146:F153),"")</f>
        <v/>
      </c>
      <c r="H63" s="17" t="str">
        <f aca="false">IFERROR(AVERAGE(Change_mensuel!G146:G153),"")</f>
        <v/>
      </c>
      <c r="I63" s="17" t="str">
        <f aca="false">IFERROR(AVERAGE(Change_mensuel!H146:H153),"")</f>
        <v/>
      </c>
      <c r="J63" s="17" t="n">
        <f aca="false">IFERROR(AVERAGE(Change_mensuel!J146:J153),"")</f>
        <v>17380.7980079376</v>
      </c>
      <c r="K63" s="17" t="n">
        <f aca="false">IFERROR(AVERAGE(Change_mensuel!L146:L153),"")</f>
        <v>32.3765918167537</v>
      </c>
      <c r="L63" s="17" t="n">
        <f aca="false">IFERROR(AVERAGE(Change_mensuel!N146:N153),"")</f>
        <v>4.00374044418456</v>
      </c>
      <c r="M63" s="17" t="n">
        <f aca="false">IFERROR(AVERAGE(Change_mensuel!O146:O153),"")</f>
        <v>1</v>
      </c>
      <c r="N63" s="17" t="n">
        <f aca="false">IFERROR(AVERAGE(Change_mensuel!P146:P153),"")</f>
        <v>564.153376691077</v>
      </c>
      <c r="O63" s="34" t="n">
        <f aca="false">COUNT(Change_mensuel!D146:D153)</f>
        <v>8</v>
      </c>
    </row>
    <row r="64" customFormat="false" ht="15" hidden="false" customHeight="false" outlineLevel="0" collapsed="false">
      <c r="A64" s="10" t="s">
        <v>502</v>
      </c>
      <c r="B64" s="10" t="s">
        <v>1861</v>
      </c>
      <c r="C64" s="10" t="s">
        <v>1861</v>
      </c>
      <c r="D64" s="17" t="n">
        <f aca="false">IFERROR(AVERAGE(Change_mensuel!C147:C147),"")</f>
        <v>554.769768140089</v>
      </c>
      <c r="E64" s="17" t="n">
        <f aca="false">IFERROR(AVERAGE(Change_mensuel!D147:D147),"")</f>
        <v>10.9188</v>
      </c>
      <c r="F64" s="17" t="str">
        <f aca="false">IFERROR(AVERAGE(Change_mensuel!E147:E147),"")</f>
        <v/>
      </c>
      <c r="G64" s="17" t="str">
        <f aca="false">IFERROR(AVERAGE(Change_mensuel!F147:F147),"")</f>
        <v/>
      </c>
      <c r="H64" s="17" t="str">
        <f aca="false">IFERROR(AVERAGE(Change_mensuel!G147:G147),"")</f>
        <v/>
      </c>
      <c r="I64" s="17" t="str">
        <f aca="false">IFERROR(AVERAGE(Change_mensuel!H147:H147),"")</f>
        <v/>
      </c>
      <c r="J64" s="17" t="n">
        <f aca="false">IFERROR(AVERAGE(Change_mensuel!J147:J147),"")</f>
        <v>16827.195649508</v>
      </c>
      <c r="K64" s="17" t="n">
        <f aca="false">IFERROR(AVERAGE(Change_mensuel!L147:L147),"")</f>
        <v>31.2586741317411</v>
      </c>
      <c r="L64" s="17" t="n">
        <f aca="false">IFERROR(AVERAGE(Change_mensuel!N147:N147),"")</f>
        <v>3.9124827151671</v>
      </c>
      <c r="M64" s="17" t="n">
        <f aca="false">IFERROR(AVERAGE(Change_mensuel!O147:O147),"")</f>
        <v>1</v>
      </c>
      <c r="N64" s="17" t="n">
        <f aca="false">IFERROR(AVERAGE(Change_mensuel!P147:P147),"")</f>
        <v>554.769768140089</v>
      </c>
      <c r="O64" s="34" t="n">
        <f aca="false">COUNT(Change_mensuel!D147:D147)</f>
        <v>1</v>
      </c>
    </row>
    <row r="65" customFormat="false" ht="15" hidden="false" customHeight="false" outlineLevel="0" collapsed="false">
      <c r="A65" s="10" t="s">
        <v>672</v>
      </c>
      <c r="B65" s="10" t="s">
        <v>1861</v>
      </c>
      <c r="C65" s="10" t="s">
        <v>1865</v>
      </c>
      <c r="D65" s="17" t="n">
        <f aca="false">IFERROR(AVERAGE(Change_mensuel!C147:C150),"")</f>
        <v>561.140941929895</v>
      </c>
      <c r="E65" s="17" t="n">
        <f aca="false">IFERROR(AVERAGE(Change_mensuel!D147:D150),"")</f>
        <v>11.076775</v>
      </c>
      <c r="F65" s="17" t="str">
        <f aca="false">IFERROR(AVERAGE(Change_mensuel!E147:E150),"")</f>
        <v/>
      </c>
      <c r="G65" s="17" t="str">
        <f aca="false">IFERROR(AVERAGE(Change_mensuel!F147:F150),"")</f>
        <v/>
      </c>
      <c r="H65" s="17" t="str">
        <f aca="false">IFERROR(AVERAGE(Change_mensuel!G147:G150),"")</f>
        <v/>
      </c>
      <c r="I65" s="17" t="str">
        <f aca="false">IFERROR(AVERAGE(Change_mensuel!H147:H150),"")</f>
        <v/>
      </c>
      <c r="J65" s="17" t="n">
        <f aca="false">IFERROR(AVERAGE(Change_mensuel!J147:J150),"")</f>
        <v>17125.3998978677</v>
      </c>
      <c r="K65" s="17" t="n">
        <f aca="false">IFERROR(AVERAGE(Change_mensuel!L147:L150),"")</f>
        <v>32.0786992691384</v>
      </c>
      <c r="L65" s="17" t="n">
        <f aca="false">IFERROR(AVERAGE(Change_mensuel!N147:N150),"")</f>
        <v>3.94676379361556</v>
      </c>
      <c r="M65" s="17" t="n">
        <f aca="false">IFERROR(AVERAGE(Change_mensuel!O147:O150),"")</f>
        <v>1</v>
      </c>
      <c r="N65" s="17" t="n">
        <f aca="false">IFERROR(AVERAGE(Change_mensuel!P147:P150),"")</f>
        <v>561.140941929895</v>
      </c>
      <c r="O65" s="34" t="n">
        <f aca="false">COUNT(Change_mensuel!D147:D150)</f>
        <v>4</v>
      </c>
    </row>
    <row r="66" customFormat="false" ht="15" hidden="false" customHeight="false" outlineLevel="0" collapsed="false">
      <c r="A66" s="10" t="s">
        <v>634</v>
      </c>
      <c r="B66" s="10" t="s">
        <v>1861</v>
      </c>
      <c r="C66" s="10" t="s">
        <v>1867</v>
      </c>
      <c r="D66" s="17" t="n">
        <f aca="false">IFERROR(AVERAGE(Change_mensuel!C147:C152),"")</f>
        <v>564.764950825189</v>
      </c>
      <c r="E66" s="17" t="n">
        <f aca="false">IFERROR(AVERAGE(Change_mensuel!D147:D152),"")</f>
        <v>11.2093666666667</v>
      </c>
      <c r="F66" s="17" t="n">
        <f aca="false">IFERROR(AVERAGE(Change_mensuel!E147:E152),"")</f>
        <v>3678.495</v>
      </c>
      <c r="G66" s="17" t="str">
        <f aca="false">IFERROR(AVERAGE(Change_mensuel!F147:F152),"")</f>
        <v/>
      </c>
      <c r="H66" s="17" t="str">
        <f aca="false">IFERROR(AVERAGE(Change_mensuel!G147:G152),"")</f>
        <v/>
      </c>
      <c r="I66" s="17" t="str">
        <f aca="false">IFERROR(AVERAGE(Change_mensuel!H147:H152),"")</f>
        <v/>
      </c>
      <c r="J66" s="17" t="n">
        <f aca="false">IFERROR(AVERAGE(Change_mensuel!J147:J152),"")</f>
        <v>17401.7331618186</v>
      </c>
      <c r="K66" s="17" t="n">
        <f aca="false">IFERROR(AVERAGE(Change_mensuel!L147:L152),"")</f>
        <v>32.4511375827151</v>
      </c>
      <c r="L66" s="17" t="n">
        <f aca="false">IFERROR(AVERAGE(Change_mensuel!N147:N152),"")</f>
        <v>3.98977966692166</v>
      </c>
      <c r="M66" s="17" t="n">
        <f aca="false">IFERROR(AVERAGE(Change_mensuel!O147:O152),"")</f>
        <v>1</v>
      </c>
      <c r="N66" s="17" t="n">
        <f aca="false">IFERROR(AVERAGE(Change_mensuel!P147:P152),"")</f>
        <v>564.764950825189</v>
      </c>
      <c r="O66" s="34" t="n">
        <f aca="false">COUNT(Change_mensuel!D147:D152)</f>
        <v>6</v>
      </c>
    </row>
    <row r="67" customFormat="false" ht="15" hidden="false" customHeight="false" outlineLevel="0" collapsed="false">
      <c r="A67" s="10" t="s">
        <v>816</v>
      </c>
      <c r="B67" s="10" t="s">
        <v>1863</v>
      </c>
      <c r="C67" s="10" t="s">
        <v>1863</v>
      </c>
      <c r="D67" s="17" t="n">
        <f aca="false">IFERROR(AVERAGE(Change_mensuel!C148:C148),"")</f>
        <v>567.519328068439</v>
      </c>
      <c r="E67" s="17" t="n">
        <f aca="false">IFERROR(AVERAGE(Change_mensuel!D148:D148),"")</f>
        <v>10.8721</v>
      </c>
      <c r="F67" s="17" t="str">
        <f aca="false">IFERROR(AVERAGE(Change_mensuel!E148:E148),"")</f>
        <v/>
      </c>
      <c r="G67" s="17" t="str">
        <f aca="false">IFERROR(AVERAGE(Change_mensuel!F148:F148),"")</f>
        <v/>
      </c>
      <c r="H67" s="17" t="str">
        <f aca="false">IFERROR(AVERAGE(Change_mensuel!G148:G148),"")</f>
        <v/>
      </c>
      <c r="I67" s="17" t="str">
        <f aca="false">IFERROR(AVERAGE(Change_mensuel!H148:H148),"")</f>
        <v/>
      </c>
      <c r="J67" s="17" t="n">
        <f aca="false">IFERROR(AVERAGE(Change_mensuel!J148:J148),"")</f>
        <v>16923.9443102458</v>
      </c>
      <c r="K67" s="17" t="n">
        <f aca="false">IFERROR(AVERAGE(Change_mensuel!L148:L148),"")</f>
        <v>32.269309034531</v>
      </c>
      <c r="L67" s="17" t="n">
        <f aca="false">IFERROR(AVERAGE(Change_mensuel!N148:N148),"")</f>
        <v>3.95273707597644</v>
      </c>
      <c r="M67" s="17" t="n">
        <f aca="false">IFERROR(AVERAGE(Change_mensuel!O148:O148),"")</f>
        <v>1</v>
      </c>
      <c r="N67" s="17" t="n">
        <f aca="false">IFERROR(AVERAGE(Change_mensuel!P148:P148),"")</f>
        <v>567.519328068439</v>
      </c>
      <c r="O67" s="34" t="n">
        <f aca="false">COUNT(Change_mensuel!D148:D148)</f>
        <v>1</v>
      </c>
    </row>
    <row r="68" customFormat="false" ht="15" hidden="false" customHeight="false" outlineLevel="0" collapsed="false">
      <c r="A68" s="10" t="s">
        <v>456</v>
      </c>
      <c r="B68" s="10" t="s">
        <v>1863</v>
      </c>
      <c r="C68" s="10" t="s">
        <v>1864</v>
      </c>
      <c r="D68" s="17" t="n">
        <f aca="false">IFERROR(AVERAGE(Change_mensuel!C148:C149),"")</f>
        <v>563.929912787039</v>
      </c>
      <c r="E68" s="17" t="n">
        <f aca="false">IFERROR(AVERAGE(Change_mensuel!D148:D149),"")</f>
        <v>10.96925</v>
      </c>
      <c r="F68" s="17" t="str">
        <f aca="false">IFERROR(AVERAGE(Change_mensuel!E148:E149),"")</f>
        <v/>
      </c>
      <c r="G68" s="17" t="str">
        <f aca="false">IFERROR(AVERAGE(Change_mensuel!F148:F149),"")</f>
        <v/>
      </c>
      <c r="H68" s="17" t="str">
        <f aca="false">IFERROR(AVERAGE(Change_mensuel!G148:G149),"")</f>
        <v/>
      </c>
      <c r="I68" s="17" t="str">
        <f aca="false">IFERROR(AVERAGE(Change_mensuel!H148:H149),"")</f>
        <v/>
      </c>
      <c r="J68" s="17" t="n">
        <f aca="false">IFERROR(AVERAGE(Change_mensuel!J148:J149),"")</f>
        <v>17040.1291888822</v>
      </c>
      <c r="K68" s="17" t="n">
        <f aca="false">IFERROR(AVERAGE(Change_mensuel!L148:L149),"")</f>
        <v>32.2726644947137</v>
      </c>
      <c r="L68" s="17" t="n">
        <f aca="false">IFERROR(AVERAGE(Change_mensuel!N148:N149),"")</f>
        <v>3.96177822841397</v>
      </c>
      <c r="M68" s="17" t="n">
        <f aca="false">IFERROR(AVERAGE(Change_mensuel!O148:O149),"")</f>
        <v>1</v>
      </c>
      <c r="N68" s="17" t="n">
        <f aca="false">IFERROR(AVERAGE(Change_mensuel!P148:P149),"")</f>
        <v>563.929912787039</v>
      </c>
      <c r="O68" s="34" t="n">
        <f aca="false">COUNT(Change_mensuel!D148:D149)</f>
        <v>2</v>
      </c>
    </row>
    <row r="69" customFormat="false" ht="15" hidden="false" customHeight="false" outlineLevel="0" collapsed="false">
      <c r="A69" s="10" t="s">
        <v>926</v>
      </c>
      <c r="B69" s="10" t="s">
        <v>1863</v>
      </c>
      <c r="C69" s="10" t="s">
        <v>1866</v>
      </c>
      <c r="D69" s="17" t="n">
        <f aca="false">IFERROR(AVERAGE(Change_mensuel!C148:C151),"")</f>
        <v>564.824997550716</v>
      </c>
      <c r="E69" s="17" t="n">
        <f aca="false">IFERROR(AVERAGE(Change_mensuel!D148:D151),"")</f>
        <v>11.198775</v>
      </c>
      <c r="F69" s="17" t="str">
        <f aca="false">IFERROR(AVERAGE(Change_mensuel!E148:E151),"")</f>
        <v/>
      </c>
      <c r="G69" s="17" t="str">
        <f aca="false">IFERROR(AVERAGE(Change_mensuel!F148:F151),"")</f>
        <v/>
      </c>
      <c r="H69" s="17" t="str">
        <f aca="false">IFERROR(AVERAGE(Change_mensuel!G148:G151),"")</f>
        <v/>
      </c>
      <c r="I69" s="17" t="str">
        <f aca="false">IFERROR(AVERAGE(Change_mensuel!H148:H151),"")</f>
        <v/>
      </c>
      <c r="J69" s="17" t="n">
        <f aca="false">IFERROR(AVERAGE(Change_mensuel!J148:J151),"")</f>
        <v>17393.056967432</v>
      </c>
      <c r="K69" s="17" t="n">
        <f aca="false">IFERROR(AVERAGE(Change_mensuel!L148:L151),"")</f>
        <v>32.4846419534283</v>
      </c>
      <c r="L69" s="17" t="n">
        <f aca="false">IFERROR(AVERAGE(Change_mensuel!N148:N151),"")</f>
        <v>3.98587700959718</v>
      </c>
      <c r="M69" s="17" t="n">
        <f aca="false">IFERROR(AVERAGE(Change_mensuel!O148:O151),"")</f>
        <v>1</v>
      </c>
      <c r="N69" s="17" t="n">
        <f aca="false">IFERROR(AVERAGE(Change_mensuel!P148:P151),"")</f>
        <v>564.824997550716</v>
      </c>
      <c r="O69" s="34" t="n">
        <f aca="false">COUNT(Change_mensuel!D148:D151)</f>
        <v>4</v>
      </c>
    </row>
    <row r="70" customFormat="false" ht="15" hidden="false" customHeight="false" outlineLevel="0" collapsed="false">
      <c r="A70" s="10" t="s">
        <v>658</v>
      </c>
      <c r="B70" s="10" t="s">
        <v>1863</v>
      </c>
      <c r="C70" s="10" t="s">
        <v>1867</v>
      </c>
      <c r="D70" s="17" t="n">
        <f aca="false">IFERROR(AVERAGE(Change_mensuel!C148:C152),"")</f>
        <v>566.763987362209</v>
      </c>
      <c r="E70" s="17" t="n">
        <f aca="false">IFERROR(AVERAGE(Change_mensuel!D148:D152),"")</f>
        <v>11.26748</v>
      </c>
      <c r="F70" s="17" t="n">
        <f aca="false">IFERROR(AVERAGE(Change_mensuel!E148:E152),"")</f>
        <v>3678.495</v>
      </c>
      <c r="G70" s="17" t="str">
        <f aca="false">IFERROR(AVERAGE(Change_mensuel!F148:F152),"")</f>
        <v/>
      </c>
      <c r="H70" s="17" t="str">
        <f aca="false">IFERROR(AVERAGE(Change_mensuel!G148:G152),"")</f>
        <v/>
      </c>
      <c r="I70" s="17" t="str">
        <f aca="false">IFERROR(AVERAGE(Change_mensuel!H148:H152),"")</f>
        <v/>
      </c>
      <c r="J70" s="17" t="n">
        <f aca="false">IFERROR(AVERAGE(Change_mensuel!J148:J152),"")</f>
        <v>17516.6406642808</v>
      </c>
      <c r="K70" s="17" t="n">
        <f aca="false">IFERROR(AVERAGE(Change_mensuel!L148:L152),"")</f>
        <v>32.6896302729099</v>
      </c>
      <c r="L70" s="17" t="n">
        <f aca="false">IFERROR(AVERAGE(Change_mensuel!N148:N152),"")</f>
        <v>4.00523905727258</v>
      </c>
      <c r="M70" s="17" t="n">
        <f aca="false">IFERROR(AVERAGE(Change_mensuel!O148:O152),"")</f>
        <v>1</v>
      </c>
      <c r="N70" s="17" t="n">
        <f aca="false">IFERROR(AVERAGE(Change_mensuel!P148:P152),"")</f>
        <v>566.763987362209</v>
      </c>
      <c r="O70" s="34" t="n">
        <f aca="false">COUNT(Change_mensuel!D148:D152)</f>
        <v>5</v>
      </c>
    </row>
    <row r="71" customFormat="false" ht="15" hidden="false" customHeight="false" outlineLevel="0" collapsed="false">
      <c r="A71" s="10" t="s">
        <v>700</v>
      </c>
      <c r="B71" s="10" t="s">
        <v>1864</v>
      </c>
      <c r="C71" s="10" t="s">
        <v>1865</v>
      </c>
      <c r="D71" s="17" t="n">
        <f aca="false">IFERROR(AVERAGE(Change_mensuel!C149:C150),"")</f>
        <v>561.137335755526</v>
      </c>
      <c r="E71" s="17" t="n">
        <f aca="false">IFERROR(AVERAGE(Change_mensuel!D149:D150),"")</f>
        <v>11.2581</v>
      </c>
      <c r="F71" s="17" t="str">
        <f aca="false">IFERROR(AVERAGE(Change_mensuel!E149:E150),"")</f>
        <v/>
      </c>
      <c r="G71" s="17" t="str">
        <f aca="false">IFERROR(AVERAGE(Change_mensuel!F149:F150),"")</f>
        <v/>
      </c>
      <c r="H71" s="17" t="str">
        <f aca="false">IFERROR(AVERAGE(Change_mensuel!G149:G150),"")</f>
        <v/>
      </c>
      <c r="I71" s="17" t="str">
        <f aca="false">IFERROR(AVERAGE(Change_mensuel!H149:H150),"")</f>
        <v/>
      </c>
      <c r="J71" s="17" t="n">
        <f aca="false">IFERROR(AVERAGE(Change_mensuel!J149:J150),"")</f>
        <v>17375.2298158585</v>
      </c>
      <c r="K71" s="17" t="n">
        <f aca="false">IFERROR(AVERAGE(Change_mensuel!L149:L150),"")</f>
        <v>32.3934069551407</v>
      </c>
      <c r="L71" s="17" t="n">
        <f aca="false">IFERROR(AVERAGE(Change_mensuel!N149:N150),"")</f>
        <v>3.96091769165935</v>
      </c>
      <c r="M71" s="17" t="n">
        <f aca="false">IFERROR(AVERAGE(Change_mensuel!O149:O150),"")</f>
        <v>1</v>
      </c>
      <c r="N71" s="17" t="n">
        <f aca="false">IFERROR(AVERAGE(Change_mensuel!P149:P150),"")</f>
        <v>561.137335755526</v>
      </c>
      <c r="O71" s="34" t="n">
        <f aca="false">COUNT(Change_mensuel!D149:D150)</f>
        <v>2</v>
      </c>
    </row>
    <row r="72" customFormat="false" ht="15" hidden="false" customHeight="false" outlineLevel="0" collapsed="false">
      <c r="A72" s="10" t="s">
        <v>783</v>
      </c>
      <c r="B72" s="10" t="s">
        <v>1864</v>
      </c>
      <c r="C72" s="10" t="s">
        <v>1867</v>
      </c>
      <c r="D72" s="17" t="n">
        <f aca="false">IFERROR(AVERAGE(Change_mensuel!C149:C152),"")</f>
        <v>566.575152185652</v>
      </c>
      <c r="E72" s="17" t="n">
        <f aca="false">IFERROR(AVERAGE(Change_mensuel!D149:D152),"")</f>
        <v>11.366325</v>
      </c>
      <c r="F72" s="17" t="n">
        <f aca="false">IFERROR(AVERAGE(Change_mensuel!E149:E152),"")</f>
        <v>3678.495</v>
      </c>
      <c r="G72" s="17" t="str">
        <f aca="false">IFERROR(AVERAGE(Change_mensuel!F149:F152),"")</f>
        <v/>
      </c>
      <c r="H72" s="17" t="str">
        <f aca="false">IFERROR(AVERAGE(Change_mensuel!G149:G152),"")</f>
        <v/>
      </c>
      <c r="I72" s="17" t="str">
        <f aca="false">IFERROR(AVERAGE(Change_mensuel!H149:H152),"")</f>
        <v/>
      </c>
      <c r="J72" s="17" t="n">
        <f aca="false">IFERROR(AVERAGE(Change_mensuel!J149:J152),"")</f>
        <v>17664.8147527895</v>
      </c>
      <c r="K72" s="17" t="n">
        <f aca="false">IFERROR(AVERAGE(Change_mensuel!L149:L152),"")</f>
        <v>32.7947105825046</v>
      </c>
      <c r="L72" s="17" t="n">
        <f aca="false">IFERROR(AVERAGE(Change_mensuel!N149:N152),"")</f>
        <v>4.01836455259661</v>
      </c>
      <c r="M72" s="17" t="n">
        <f aca="false">IFERROR(AVERAGE(Change_mensuel!O149:O152),"")</f>
        <v>1</v>
      </c>
      <c r="N72" s="17" t="n">
        <f aca="false">IFERROR(AVERAGE(Change_mensuel!P149:P152),"")</f>
        <v>566.575152185652</v>
      </c>
      <c r="O72" s="34" t="n">
        <f aca="false">COUNT(Change_mensuel!D149:D152)</f>
        <v>4</v>
      </c>
    </row>
    <row r="73" customFormat="false" ht="15" hidden="false" customHeight="false" outlineLevel="0" collapsed="false">
      <c r="A73" s="10" t="s">
        <v>981</v>
      </c>
      <c r="B73" s="10" t="s">
        <v>1864</v>
      </c>
      <c r="C73" s="10" t="s">
        <v>1868</v>
      </c>
      <c r="D73" s="17" t="n">
        <f aca="false">IFERROR(AVERAGE(Change_mensuel!C149:C153),"")</f>
        <v>566.42346891192</v>
      </c>
      <c r="E73" s="17" t="n">
        <f aca="false">IFERROR(AVERAGE(Change_mensuel!D149:D153),"")</f>
        <v>11.36004</v>
      </c>
      <c r="F73" s="17" t="n">
        <f aca="false">IFERROR(AVERAGE(Change_mensuel!E149:E153),"")</f>
        <v>3678.495</v>
      </c>
      <c r="G73" s="17" t="str">
        <f aca="false">IFERROR(AVERAGE(Change_mensuel!F149:F153),"")</f>
        <v/>
      </c>
      <c r="H73" s="17" t="str">
        <f aca="false">IFERROR(AVERAGE(Change_mensuel!G149:G153),"")</f>
        <v/>
      </c>
      <c r="I73" s="17" t="str">
        <f aca="false">IFERROR(AVERAGE(Change_mensuel!H149:H153),"")</f>
        <v/>
      </c>
      <c r="J73" s="17" t="n">
        <f aca="false">IFERROR(AVERAGE(Change_mensuel!J149:J153),"")</f>
        <v>17692.7828387965</v>
      </c>
      <c r="K73" s="17" t="n">
        <f aca="false">IFERROR(AVERAGE(Change_mensuel!L149:L153),"")</f>
        <v>32.8379369972852</v>
      </c>
      <c r="L73" s="17" t="n">
        <f aca="false">IFERROR(AVERAGE(Change_mensuel!N149:N153),"")</f>
        <v>4.02767522714082</v>
      </c>
      <c r="M73" s="17" t="n">
        <f aca="false">IFERROR(AVERAGE(Change_mensuel!O149:O153),"")</f>
        <v>1</v>
      </c>
      <c r="N73" s="17" t="n">
        <f aca="false">IFERROR(AVERAGE(Change_mensuel!P149:P153),"")</f>
        <v>566.42346891192</v>
      </c>
      <c r="O73" s="34" t="n">
        <f aca="false">COUNT(Change_mensuel!D149:D153)</f>
        <v>5</v>
      </c>
    </row>
    <row r="74" customFormat="false" ht="15" hidden="false" customHeight="false" outlineLevel="0" collapsed="false">
      <c r="A74" s="10" t="s">
        <v>374</v>
      </c>
      <c r="B74" s="10" t="s">
        <v>1864</v>
      </c>
      <c r="C74" s="10" t="s">
        <v>1870</v>
      </c>
      <c r="D74" s="17" t="n">
        <f aca="false">IFERROR(AVERAGE(Change_mensuel!C149:C154),"")</f>
        <v>566.224023240776</v>
      </c>
      <c r="E74" s="17" t="n">
        <f aca="false">IFERROR(AVERAGE(Change_mensuel!D149:D154),"")</f>
        <v>11.3817</v>
      </c>
      <c r="F74" s="17" t="n">
        <f aca="false">IFERROR(AVERAGE(Change_mensuel!E149:E154),"")</f>
        <v>3678.495</v>
      </c>
      <c r="G74" s="17" t="n">
        <f aca="false">IFERROR(AVERAGE(Change_mensuel!F149:F154),"")</f>
        <v>25970</v>
      </c>
      <c r="H74" s="17" t="str">
        <f aca="false">IFERROR(AVERAGE(Change_mensuel!G149:G154),"")</f>
        <v/>
      </c>
      <c r="I74" s="17" t="n">
        <f aca="false">IFERROR(AVERAGE(Change_mensuel!H149:H154),"")</f>
        <v>1328.81002087683</v>
      </c>
      <c r="J74" s="17" t="n">
        <f aca="false">IFERROR(AVERAGE(Change_mensuel!J149:J154),"")</f>
        <v>17682.2813193511</v>
      </c>
      <c r="K74" s="17" t="n">
        <f aca="false">IFERROR(AVERAGE(Change_mensuel!L149:L154),"")</f>
        <v>32.8714015011155</v>
      </c>
      <c r="L74" s="17" t="n">
        <f aca="false">IFERROR(AVERAGE(Change_mensuel!N149:N154),"")</f>
        <v>4.03240045741095</v>
      </c>
      <c r="M74" s="17" t="n">
        <f aca="false">IFERROR(AVERAGE(Change_mensuel!O149:O154),"")</f>
        <v>1</v>
      </c>
      <c r="N74" s="17" t="n">
        <f aca="false">IFERROR(AVERAGE(Change_mensuel!P149:P154),"")</f>
        <v>566.224023240776</v>
      </c>
      <c r="O74" s="34" t="n">
        <f aca="false">COUNT(Change_mensuel!D149:D154)</f>
        <v>6</v>
      </c>
    </row>
    <row r="75" customFormat="false" ht="15" hidden="false" customHeight="false" outlineLevel="0" collapsed="false">
      <c r="A75" s="10" t="s">
        <v>463</v>
      </c>
      <c r="B75" s="10" t="s">
        <v>1865</v>
      </c>
      <c r="C75" s="10" t="s">
        <v>1865</v>
      </c>
      <c r="D75" s="17" t="n">
        <f aca="false">IFERROR(AVERAGE(Change_mensuel!C150:C150),"")</f>
        <v>561.934174005414</v>
      </c>
      <c r="E75" s="17" t="n">
        <f aca="false">IFERROR(AVERAGE(Change_mensuel!D150:D150),"")</f>
        <v>11.4498</v>
      </c>
      <c r="F75" s="17" t="str">
        <f aca="false">IFERROR(AVERAGE(Change_mensuel!E150:E150),"")</f>
        <v/>
      </c>
      <c r="G75" s="17" t="str">
        <f aca="false">IFERROR(AVERAGE(Change_mensuel!F150:F150),"")</f>
        <v/>
      </c>
      <c r="H75" s="17" t="str">
        <f aca="false">IFERROR(AVERAGE(Change_mensuel!G150:G150),"")</f>
        <v/>
      </c>
      <c r="I75" s="17" t="str">
        <f aca="false">IFERROR(AVERAGE(Change_mensuel!H150:H150),"")</f>
        <v/>
      </c>
      <c r="J75" s="17" t="n">
        <f aca="false">IFERROR(AVERAGE(Change_mensuel!J150:J150),"")</f>
        <v>17594.1455641983</v>
      </c>
      <c r="K75" s="17" t="n">
        <f aca="false">IFERROR(AVERAGE(Change_mensuel!L150:L150),"")</f>
        <v>32.510793955385</v>
      </c>
      <c r="L75" s="17" t="n">
        <f aca="false">IFERROR(AVERAGE(Change_mensuel!N150:N150),"")</f>
        <v>3.95101600246719</v>
      </c>
      <c r="M75" s="17" t="n">
        <f aca="false">IFERROR(AVERAGE(Change_mensuel!O150:O150),"")</f>
        <v>1</v>
      </c>
      <c r="N75" s="17" t="n">
        <f aca="false">IFERROR(AVERAGE(Change_mensuel!P150:P150),"")</f>
        <v>561.934174005414</v>
      </c>
      <c r="O75" s="34" t="n">
        <f aca="false">COUNT(Change_mensuel!D150:D150)</f>
        <v>1</v>
      </c>
    </row>
    <row r="76" customFormat="false" ht="15" hidden="false" customHeight="false" outlineLevel="0" collapsed="false">
      <c r="A76" s="10" t="s">
        <v>469</v>
      </c>
      <c r="B76" s="10" t="s">
        <v>1866</v>
      </c>
      <c r="C76" s="10" t="s">
        <v>1866</v>
      </c>
      <c r="D76" s="17" t="n">
        <f aca="false">IFERROR(AVERAGE(Change_mensuel!C151:C151),"")</f>
        <v>569.505990623372</v>
      </c>
      <c r="E76" s="17" t="n">
        <f aca="false">IFERROR(AVERAGE(Change_mensuel!D151:D151),"")</f>
        <v>11.4068</v>
      </c>
      <c r="F76" s="17" t="str">
        <f aca="false">IFERROR(AVERAGE(Change_mensuel!E151:E151),"")</f>
        <v/>
      </c>
      <c r="G76" s="17" t="str">
        <f aca="false">IFERROR(AVERAGE(Change_mensuel!F151:F151),"")</f>
        <v/>
      </c>
      <c r="H76" s="17" t="str">
        <f aca="false">IFERROR(AVERAGE(Change_mensuel!G151:G151),"")</f>
        <v/>
      </c>
      <c r="I76" s="17" t="str">
        <f aca="false">IFERROR(AVERAGE(Change_mensuel!H151:H151),"")</f>
        <v/>
      </c>
      <c r="J76" s="17" t="n">
        <f aca="false">IFERROR(AVERAGE(Change_mensuel!J151:J151),"")</f>
        <v>17897.8239277652</v>
      </c>
      <c r="K76" s="17" t="n">
        <f aca="false">IFERROR(AVERAGE(Change_mensuel!L151:L151),"")</f>
        <v>32.8824448689009</v>
      </c>
      <c r="L76" s="17" t="n">
        <f aca="false">IFERROR(AVERAGE(Change_mensuel!N151:N151),"")</f>
        <v>4.06893557909359</v>
      </c>
      <c r="M76" s="17" t="n">
        <f aca="false">IFERROR(AVERAGE(Change_mensuel!O151:O151),"")</f>
        <v>1</v>
      </c>
      <c r="N76" s="17" t="n">
        <f aca="false">IFERROR(AVERAGE(Change_mensuel!P151:P151),"")</f>
        <v>569.505990623372</v>
      </c>
      <c r="O76" s="34" t="n">
        <f aca="false">COUNT(Change_mensuel!D151:D151)</f>
        <v>1</v>
      </c>
    </row>
    <row r="77" customFormat="false" ht="15" hidden="false" customHeight="false" outlineLevel="0" collapsed="false">
      <c r="A77" s="10" t="s">
        <v>565</v>
      </c>
      <c r="B77" s="10" t="s">
        <v>1867</v>
      </c>
      <c r="C77" s="10" t="s">
        <v>1867</v>
      </c>
      <c r="D77" s="17" t="n">
        <f aca="false">IFERROR(AVERAGE(Change_mensuel!C152:C152),"")</f>
        <v>574.519946608183</v>
      </c>
      <c r="E77" s="17" t="n">
        <f aca="false">IFERROR(AVERAGE(Change_mensuel!D152:D152),"")</f>
        <v>11.5423</v>
      </c>
      <c r="F77" s="17" t="n">
        <f aca="false">IFERROR(AVERAGE(Change_mensuel!E152:E152),"")</f>
        <v>3678.495</v>
      </c>
      <c r="G77" s="17" t="str">
        <f aca="false">IFERROR(AVERAGE(Change_mensuel!F152:F152),"")</f>
        <v/>
      </c>
      <c r="H77" s="17" t="str">
        <f aca="false">IFERROR(AVERAGE(Change_mensuel!G152:G152),"")</f>
        <v/>
      </c>
      <c r="I77" s="17" t="str">
        <f aca="false">IFERROR(AVERAGE(Change_mensuel!H152:H152),"")</f>
        <v/>
      </c>
      <c r="J77" s="17" t="n">
        <f aca="false">IFERROR(AVERAGE(Change_mensuel!J152:J152),"")</f>
        <v>18010.9754516759</v>
      </c>
      <c r="K77" s="17" t="n">
        <f aca="false">IFERROR(AVERAGE(Change_mensuel!L152:L152),"")</f>
        <v>33.5095835508361</v>
      </c>
      <c r="L77" s="17" t="n">
        <f aca="false">IFERROR(AVERAGE(Change_mensuel!N152:N152),"")</f>
        <v>4.08268724797416</v>
      </c>
      <c r="M77" s="17" t="n">
        <f aca="false">IFERROR(AVERAGE(Change_mensuel!O152:O152),"")</f>
        <v>1</v>
      </c>
      <c r="N77" s="17" t="n">
        <f aca="false">IFERROR(AVERAGE(Change_mensuel!P152:P152),"")</f>
        <v>574.519946608183</v>
      </c>
      <c r="O77" s="34" t="n">
        <f aca="false">COUNT(Change_mensuel!D152:D152)</f>
        <v>1</v>
      </c>
    </row>
    <row r="78" customFormat="false" ht="15" hidden="false" customHeight="false" outlineLevel="0" collapsed="false">
      <c r="A78" s="10" t="s">
        <v>844</v>
      </c>
      <c r="B78" s="10" t="s">
        <v>1868</v>
      </c>
      <c r="C78" s="10" t="s">
        <v>1868</v>
      </c>
      <c r="D78" s="17" t="n">
        <f aca="false">IFERROR(AVERAGE(Change_mensuel!C153:C153),"")</f>
        <v>565.816735816995</v>
      </c>
      <c r="E78" s="17" t="n">
        <f aca="false">IFERROR(AVERAGE(Change_mensuel!D153:D153),"")</f>
        <v>11.3349</v>
      </c>
      <c r="F78" s="17" t="str">
        <f aca="false">IFERROR(AVERAGE(Change_mensuel!E153:E153),"")</f>
        <v/>
      </c>
      <c r="G78" s="17" t="str">
        <f aca="false">IFERROR(AVERAGE(Change_mensuel!F153:F153),"")</f>
        <v/>
      </c>
      <c r="H78" s="17" t="str">
        <f aca="false">IFERROR(AVERAGE(Change_mensuel!G153:G153),"")</f>
        <v/>
      </c>
      <c r="I78" s="17" t="str">
        <f aca="false">IFERROR(AVERAGE(Change_mensuel!H153:H153),"")</f>
        <v/>
      </c>
      <c r="J78" s="17" t="n">
        <f aca="false">IFERROR(AVERAGE(Change_mensuel!J153:J153),"")</f>
        <v>17804.6551828243</v>
      </c>
      <c r="K78" s="17" t="n">
        <f aca="false">IFERROR(AVERAGE(Change_mensuel!L153:L153),"")</f>
        <v>33.0108426564077</v>
      </c>
      <c r="L78" s="17" t="n">
        <f aca="false">IFERROR(AVERAGE(Change_mensuel!N153:N153),"")</f>
        <v>4.06491792531765</v>
      </c>
      <c r="M78" s="17" t="n">
        <f aca="false">IFERROR(AVERAGE(Change_mensuel!O153:O153),"")</f>
        <v>1</v>
      </c>
      <c r="N78" s="17" t="n">
        <f aca="false">IFERROR(AVERAGE(Change_mensuel!P153:P153),"")</f>
        <v>565.816735816995</v>
      </c>
      <c r="O78" s="34" t="n">
        <f aca="false">COUNT(Change_mensuel!D153:D153)</f>
        <v>1</v>
      </c>
    </row>
    <row r="79" customFormat="false" ht="15" hidden="false" customHeight="false" outlineLevel="0" collapsed="false">
      <c r="A79" s="10" t="s">
        <v>434</v>
      </c>
      <c r="B79" s="10" t="s">
        <v>1870</v>
      </c>
      <c r="C79" s="10" t="s">
        <v>1870</v>
      </c>
      <c r="D79" s="17" t="n">
        <f aca="false">IFERROR(AVERAGE(Change_mensuel!C154:C154),"")</f>
        <v>565.226794885052</v>
      </c>
      <c r="E79" s="17" t="n">
        <f aca="false">IFERROR(AVERAGE(Change_mensuel!D154:D154),"")</f>
        <v>11.49</v>
      </c>
      <c r="F79" s="17" t="str">
        <f aca="false">IFERROR(AVERAGE(Change_mensuel!E154:E154),"")</f>
        <v/>
      </c>
      <c r="G79" s="17" t="n">
        <f aca="false">IFERROR(AVERAGE(Change_mensuel!F154:F154),"")</f>
        <v>25970</v>
      </c>
      <c r="H79" s="17" t="str">
        <f aca="false">IFERROR(AVERAGE(Change_mensuel!G154:G154),"")</f>
        <v/>
      </c>
      <c r="I79" s="17" t="n">
        <f aca="false">IFERROR(AVERAGE(Change_mensuel!H154:H154),"")</f>
        <v>1328.81002087683</v>
      </c>
      <c r="J79" s="17" t="n">
        <f aca="false">IFERROR(AVERAGE(Change_mensuel!J154:J154),"")</f>
        <v>17629.7737221246</v>
      </c>
      <c r="K79" s="17" t="n">
        <f aca="false">IFERROR(AVERAGE(Change_mensuel!L154:L154),"")</f>
        <v>33.0387240202668</v>
      </c>
      <c r="L79" s="17" t="n">
        <f aca="false">IFERROR(AVERAGE(Change_mensuel!N154:N154),"")</f>
        <v>4.05602660876159</v>
      </c>
      <c r="M79" s="17" t="n">
        <f aca="false">IFERROR(AVERAGE(Change_mensuel!O154:O154),"")</f>
        <v>1</v>
      </c>
      <c r="N79" s="17" t="n">
        <f aca="false">IFERROR(AVERAGE(Change_mensuel!P154:P154),"")</f>
        <v>565.226794885052</v>
      </c>
      <c r="O79" s="34" t="n">
        <f aca="false">COUNT(Change_mensuel!D154:D154)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80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1966</v>
      </c>
    </row>
    <row r="2" customFormat="false" ht="42" hidden="false" customHeight="true" outlineLevel="0" collapsed="false">
      <c r="A2" s="4"/>
      <c r="B2" s="4" t="s">
        <v>1967</v>
      </c>
      <c r="C2" s="4" t="s">
        <v>1165</v>
      </c>
      <c r="D2" s="4" t="s">
        <v>1968</v>
      </c>
      <c r="E2" s="4" t="s">
        <v>256</v>
      </c>
    </row>
    <row r="3" customFormat="false" ht="15" hidden="false" customHeight="false" outlineLevel="0" collapsed="false">
      <c r="B3" s="10" t="s">
        <v>1969</v>
      </c>
      <c r="C3" s="39" t="n">
        <f aca="false">655.957</f>
        <v>655.957</v>
      </c>
      <c r="D3" s="3" t="s">
        <v>1970</v>
      </c>
      <c r="E3" s="3" t="s">
        <v>1971</v>
      </c>
    </row>
    <row r="4" customFormat="false" ht="15" hidden="false" customHeight="false" outlineLevel="0" collapsed="false">
      <c r="B4" s="10" t="s">
        <v>1972</v>
      </c>
      <c r="C4" s="39" t="n">
        <f aca="false">0.65</f>
        <v>0.65</v>
      </c>
      <c r="D4" s="3" t="s">
        <v>1973</v>
      </c>
      <c r="E4" s="3"/>
    </row>
    <row r="5" customFormat="false" ht="15" hidden="false" customHeight="false" outlineLevel="0" collapsed="false">
      <c r="B5" s="10" t="s">
        <v>1974</v>
      </c>
      <c r="C5" s="39" t="n">
        <f aca="false">(730000*480*0.45359237/1000)/351764</f>
        <v>0.451833520337499</v>
      </c>
      <c r="D5" s="3" t="s">
        <v>1975</v>
      </c>
      <c r="E5" s="3" t="s">
        <v>1690</v>
      </c>
    </row>
    <row r="6" customFormat="false" ht="23.85" hidden="false" customHeight="false" outlineLevel="0" collapsed="false">
      <c r="B6" s="10" t="s">
        <v>1976</v>
      </c>
      <c r="C6" s="39" t="n">
        <f aca="false">0.6</f>
        <v>0.6</v>
      </c>
      <c r="D6" s="3" t="s">
        <v>1977</v>
      </c>
      <c r="E6" s="3" t="s">
        <v>1520</v>
      </c>
    </row>
    <row r="7" customFormat="false" ht="15" hidden="false" customHeight="false" outlineLevel="0" collapsed="false">
      <c r="B7" s="10" t="s">
        <v>1978</v>
      </c>
      <c r="C7" s="39" t="n">
        <f aca="false">0.0220462</f>
        <v>0.0220462</v>
      </c>
      <c r="D7" s="3" t="s">
        <v>1979</v>
      </c>
      <c r="E7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2026-10-01T18:33:31Z</dcterms:created>
  <dc:creator>openpyxl</dc:creator>
  <dc:description/>
  <dc:language>en-US</dc:language>
  <cp:lastModifiedBy/>
  <dcterms:modified xsi:type="dcterms:W3CDTF">2026-10-01T18:33:31Z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